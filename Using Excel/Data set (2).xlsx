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Apana Time Internship\"/>
    </mc:Choice>
  </mc:AlternateContent>
  <xr:revisionPtr revIDLastSave="0" documentId="13_ncr:1_{BF1CA499-0CA1-4625-8EB7-AE196D7B815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Sheet1!$A$1:$S$1108</definedName>
    <definedName name="_xlnm._FilterDatabase" localSheetId="1" hidden="1">Sheet2!$A$1:$S$1108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8" i="1" l="1"/>
  <c r="R39" i="1"/>
  <c r="R68" i="1"/>
  <c r="R114" i="1"/>
  <c r="R172" i="1"/>
  <c r="R193" i="1"/>
  <c r="R198" i="1"/>
  <c r="R209" i="1"/>
  <c r="R229" i="1"/>
  <c r="R263" i="1"/>
  <c r="R304" i="1"/>
  <c r="R329" i="1"/>
  <c r="R374" i="1"/>
  <c r="R453" i="1"/>
  <c r="R533" i="1"/>
  <c r="R564" i="1"/>
  <c r="R579" i="1"/>
  <c r="R589" i="1"/>
  <c r="R634" i="1"/>
  <c r="R692" i="1"/>
  <c r="R714" i="1"/>
  <c r="R719" i="1"/>
  <c r="R729" i="1"/>
  <c r="R754" i="1"/>
  <c r="R788" i="1"/>
  <c r="R824" i="1"/>
  <c r="R839" i="1"/>
  <c r="R850" i="1"/>
  <c r="R974" i="1"/>
  <c r="R979" i="1"/>
  <c r="R1043" i="1"/>
  <c r="Q8" i="1"/>
  <c r="Q39" i="1"/>
  <c r="Q68" i="1"/>
  <c r="Q114" i="1"/>
  <c r="Q172" i="1"/>
  <c r="Q193" i="1"/>
  <c r="Q198" i="1"/>
  <c r="Q209" i="1"/>
  <c r="Q229" i="1"/>
  <c r="Q263" i="1"/>
  <c r="Q304" i="1"/>
  <c r="Q329" i="1"/>
  <c r="Q374" i="1"/>
  <c r="Q432" i="1"/>
  <c r="Q453" i="1"/>
  <c r="Q469" i="1"/>
  <c r="Q494" i="1"/>
  <c r="Q533" i="1"/>
  <c r="Q564" i="1"/>
  <c r="Q579" i="1"/>
  <c r="Q589" i="1"/>
  <c r="Q634" i="1"/>
  <c r="Q692" i="1"/>
  <c r="Q714" i="1"/>
  <c r="Q719" i="1"/>
  <c r="Q729" i="1"/>
  <c r="Q754" i="1"/>
  <c r="Q788" i="1"/>
  <c r="Q824" i="1"/>
  <c r="Q839" i="1"/>
  <c r="Q850" i="1"/>
  <c r="Q894" i="1"/>
  <c r="Q952" i="1"/>
  <c r="Q974" i="1"/>
  <c r="Q979" i="1"/>
  <c r="Q989" i="1"/>
  <c r="Q1014" i="1"/>
  <c r="Q1043" i="1"/>
  <c r="Q1084" i="1"/>
  <c r="Q1101" i="1"/>
  <c r="P8" i="1"/>
  <c r="P193" i="1"/>
  <c r="P198" i="1"/>
  <c r="P263" i="1"/>
  <c r="P453" i="1"/>
  <c r="P533" i="1"/>
  <c r="P788" i="1"/>
  <c r="P1043" i="1"/>
  <c r="N8" i="1"/>
  <c r="N39" i="1"/>
  <c r="N68" i="1"/>
  <c r="N114" i="1"/>
  <c r="N172" i="1"/>
  <c r="N193" i="1"/>
  <c r="N198" i="1" s="1"/>
  <c r="N209" i="1"/>
  <c r="N229" i="1"/>
  <c r="N263" i="1"/>
  <c r="N293" i="1"/>
  <c r="N304" i="1"/>
  <c r="N329" i="1"/>
  <c r="N374" i="1"/>
  <c r="N432" i="1"/>
  <c r="N453" i="1"/>
  <c r="N469" i="1"/>
  <c r="N494" i="1"/>
  <c r="N533" i="1"/>
  <c r="N564" i="1"/>
  <c r="N579" i="1"/>
  <c r="N589" i="1"/>
  <c r="N634" i="1"/>
  <c r="N692" i="1"/>
  <c r="N714" i="1"/>
  <c r="N719" i="1" s="1"/>
  <c r="N729" i="1"/>
  <c r="N754" i="1"/>
  <c r="N788" i="1"/>
  <c r="N824" i="1"/>
  <c r="N839" i="1"/>
  <c r="N850" i="1"/>
  <c r="N894" i="1"/>
  <c r="N952" i="1"/>
  <c r="N974" i="1"/>
  <c r="N979" i="1" s="1"/>
  <c r="N989" i="1"/>
  <c r="N1014" i="1"/>
  <c r="N1043" i="1"/>
  <c r="N1084" i="1"/>
  <c r="N1101" i="1"/>
  <c r="M8" i="1"/>
  <c r="M9" i="1" s="1"/>
  <c r="M19" i="1"/>
  <c r="M23" i="1" s="1"/>
  <c r="M55" i="1"/>
  <c r="M94" i="1"/>
  <c r="M127" i="1"/>
  <c r="M186" i="1"/>
  <c r="M193" i="1"/>
  <c r="M198" i="1" s="1"/>
  <c r="M254" i="1"/>
  <c r="M263" i="1"/>
  <c r="M264" i="1" s="1"/>
  <c r="M280" i="1"/>
  <c r="M316" i="1"/>
  <c r="M354" i="1"/>
  <c r="M388" i="1"/>
  <c r="M414" i="1"/>
  <c r="M447" i="1"/>
  <c r="M454" i="1"/>
  <c r="M514" i="1"/>
  <c r="M533" i="1"/>
  <c r="M534" i="1" s="1"/>
  <c r="M541" i="1"/>
  <c r="M544" i="1" s="1"/>
  <c r="M577" i="1"/>
  <c r="M615" i="1"/>
  <c r="M708" i="1"/>
  <c r="M714" i="1" s="1"/>
  <c r="M775" i="1"/>
  <c r="M788" i="1"/>
  <c r="M789" i="1" s="1"/>
  <c r="M802" i="1"/>
  <c r="M804" i="1" s="1"/>
  <c r="M838" i="1"/>
  <c r="M876" i="1"/>
  <c r="M909" i="1"/>
  <c r="M968" i="1"/>
  <c r="M974" i="1" s="1"/>
  <c r="M1037" i="1"/>
  <c r="M1043" i="1" s="1"/>
  <c r="M1044" i="1" s="1"/>
  <c r="M1066" i="1"/>
  <c r="M1086" i="1"/>
  <c r="M1099" i="1"/>
  <c r="L8" i="1"/>
  <c r="L9" i="1" s="1"/>
  <c r="L19" i="1"/>
  <c r="L23" i="1" s="1"/>
  <c r="L55" i="1"/>
  <c r="L94" i="1"/>
  <c r="L127" i="1"/>
  <c r="L186" i="1"/>
  <c r="L193" i="1"/>
  <c r="L198" i="1" s="1"/>
  <c r="L254" i="1"/>
  <c r="L263" i="1"/>
  <c r="L264" i="1" s="1"/>
  <c r="L280" i="1"/>
  <c r="L316" i="1"/>
  <c r="L354" i="1"/>
  <c r="L388" i="1"/>
  <c r="L414" i="1"/>
  <c r="L447" i="1"/>
  <c r="L454" i="1"/>
  <c r="L514" i="1"/>
  <c r="L533" i="1"/>
  <c r="L534" i="1" s="1"/>
  <c r="L541" i="1"/>
  <c r="L544" i="1" s="1"/>
  <c r="L577" i="1"/>
  <c r="L615" i="1"/>
  <c r="L708" i="1"/>
  <c r="L714" i="1" s="1"/>
  <c r="L775" i="1"/>
  <c r="L788" i="1"/>
  <c r="L789" i="1" s="1"/>
  <c r="L802" i="1"/>
  <c r="L804" i="1" s="1"/>
  <c r="L838" i="1"/>
  <c r="L876" i="1"/>
  <c r="L909" i="1"/>
  <c r="L968" i="1"/>
  <c r="L974" i="1" s="1"/>
  <c r="L1037" i="1"/>
  <c r="L1043" i="1"/>
  <c r="L1044" i="1" s="1"/>
  <c r="L1066" i="1"/>
  <c r="L1086" i="1"/>
  <c r="L1099" i="1"/>
  <c r="K8" i="1"/>
  <c r="K9" i="1"/>
  <c r="K22" i="1"/>
  <c r="K23" i="1" s="1"/>
  <c r="K62" i="1"/>
  <c r="K66" i="1"/>
  <c r="K132" i="1"/>
  <c r="K133" i="1"/>
  <c r="K140" i="1"/>
  <c r="K149" i="1"/>
  <c r="K193" i="1"/>
  <c r="K198" i="1"/>
  <c r="K228" i="1"/>
  <c r="K229" i="1" s="1"/>
  <c r="K263" i="1"/>
  <c r="K264" i="1" s="1"/>
  <c r="K265" i="1" s="1"/>
  <c r="K296" i="1"/>
  <c r="K314" i="1"/>
  <c r="K327" i="1"/>
  <c r="K386" i="1"/>
  <c r="K393" i="1"/>
  <c r="K401" i="1"/>
  <c r="K402" i="1" s="1"/>
  <c r="K454" i="1"/>
  <c r="K480" i="1"/>
  <c r="K525" i="1"/>
  <c r="K533" i="1"/>
  <c r="K534" i="1" s="1"/>
  <c r="K544" i="1"/>
  <c r="K549" i="1" s="1"/>
  <c r="K568" i="1"/>
  <c r="K588" i="1"/>
  <c r="K639" i="1"/>
  <c r="K655" i="1"/>
  <c r="K714" i="1"/>
  <c r="K734" i="1"/>
  <c r="K786" i="1"/>
  <c r="K804" i="1"/>
  <c r="K823" i="1"/>
  <c r="K842" i="1"/>
  <c r="K859" i="1"/>
  <c r="K893" i="1"/>
  <c r="K898" i="1" s="1"/>
  <c r="K914" i="1"/>
  <c r="K929" i="1"/>
  <c r="K974" i="1"/>
  <c r="K1009" i="1"/>
  <c r="K1010" i="1" s="1"/>
  <c r="K1043" i="1"/>
  <c r="K1044" i="1" s="1"/>
  <c r="K1047" i="1" s="1"/>
  <c r="K1066" i="1"/>
  <c r="K1076" i="1"/>
  <c r="K1094" i="1"/>
  <c r="J8" i="1"/>
  <c r="J39" i="1"/>
  <c r="J68" i="1"/>
  <c r="J114" i="1"/>
  <c r="J172" i="1"/>
  <c r="J193" i="1"/>
  <c r="J198" i="1"/>
  <c r="J209" i="1"/>
  <c r="J229" i="1"/>
  <c r="J263" i="1"/>
  <c r="J304" i="1"/>
  <c r="J329" i="1"/>
  <c r="J374" i="1"/>
  <c r="J432" i="1"/>
  <c r="J453" i="1"/>
  <c r="J469" i="1"/>
  <c r="J494" i="1"/>
  <c r="J533" i="1"/>
  <c r="J564" i="1"/>
  <c r="J579" i="1"/>
  <c r="J589" i="1"/>
  <c r="J634" i="1"/>
  <c r="J692" i="1"/>
  <c r="J714" i="1"/>
  <c r="J719" i="1"/>
  <c r="J729" i="1"/>
  <c r="J754" i="1"/>
  <c r="J788" i="1"/>
  <c r="J824" i="1"/>
  <c r="J839" i="1"/>
  <c r="J850" i="1"/>
  <c r="J894" i="1"/>
  <c r="J952" i="1"/>
  <c r="J974" i="1"/>
  <c r="J979" i="1"/>
  <c r="J989" i="1"/>
  <c r="J1014" i="1"/>
  <c r="J1043" i="1"/>
  <c r="J1084" i="1"/>
  <c r="J1101" i="1"/>
  <c r="I8" i="1"/>
  <c r="I39" i="1"/>
  <c r="I68" i="1"/>
  <c r="I114" i="1"/>
  <c r="I172" i="1"/>
  <c r="I193" i="1"/>
  <c r="I198" i="1"/>
  <c r="I209" i="1"/>
  <c r="I229" i="1"/>
  <c r="I263" i="1"/>
  <c r="I304" i="1"/>
  <c r="I329" i="1"/>
  <c r="I374" i="1"/>
  <c r="I432" i="1"/>
  <c r="I453" i="1"/>
  <c r="I469" i="1"/>
  <c r="I494" i="1"/>
  <c r="I533" i="1"/>
  <c r="I564" i="1"/>
  <c r="I579" i="1"/>
  <c r="I589" i="1"/>
  <c r="I634" i="1"/>
  <c r="I692" i="1"/>
  <c r="I714" i="1"/>
  <c r="I719" i="1"/>
  <c r="I729" i="1"/>
  <c r="I754" i="1"/>
  <c r="I788" i="1"/>
  <c r="I824" i="1"/>
  <c r="I839" i="1"/>
  <c r="I850" i="1"/>
  <c r="I894" i="1"/>
  <c r="I952" i="1"/>
  <c r="I974" i="1"/>
  <c r="I979" i="1"/>
  <c r="I989" i="1"/>
  <c r="I1014" i="1"/>
  <c r="I1043" i="1"/>
  <c r="I1084" i="1"/>
  <c r="I1101" i="1"/>
  <c r="H8" i="1"/>
  <c r="H193" i="1"/>
  <c r="H198" i="1"/>
  <c r="H263" i="1"/>
  <c r="H533" i="1"/>
  <c r="H714" i="1"/>
  <c r="H719" i="1"/>
  <c r="H788" i="1"/>
  <c r="H974" i="1"/>
  <c r="H979" i="1"/>
  <c r="H1043" i="1"/>
  <c r="G8" i="1"/>
  <c r="G193" i="1"/>
  <c r="G198" i="1"/>
  <c r="G263" i="1"/>
  <c r="G453" i="1"/>
  <c r="G533" i="1"/>
  <c r="G788" i="1"/>
  <c r="G1043" i="1"/>
  <c r="S4" i="1"/>
  <c r="S8" i="1"/>
  <c r="S10" i="1"/>
  <c r="S23" i="1"/>
  <c r="S39" i="1"/>
  <c r="S133" i="1"/>
  <c r="S164" i="1"/>
  <c r="S174" i="1"/>
  <c r="S193" i="1"/>
  <c r="S215" i="1"/>
  <c r="S247" i="1"/>
  <c r="S259" i="1"/>
  <c r="S263" i="1"/>
  <c r="S271" i="1"/>
  <c r="S276" i="1"/>
  <c r="S292" i="1"/>
  <c r="S341" i="1"/>
  <c r="S362" i="1"/>
  <c r="S378" i="1"/>
  <c r="S403" i="1"/>
  <c r="S418" i="1"/>
  <c r="S428" i="1"/>
  <c r="S476" i="1"/>
  <c r="S500" i="1"/>
  <c r="S513" i="1"/>
  <c r="S533" i="1"/>
  <c r="S532" i="1" s="1"/>
  <c r="S545" i="1"/>
  <c r="S615" i="1"/>
  <c r="S619" i="1"/>
  <c r="S631" i="1"/>
  <c r="S656" i="1"/>
  <c r="S671" i="1"/>
  <c r="S680" i="1"/>
  <c r="S737" i="1"/>
  <c r="S765" i="1"/>
  <c r="S782" i="1"/>
  <c r="S785" i="1"/>
  <c r="S788" i="1"/>
  <c r="S793" i="1"/>
  <c r="S804" i="1"/>
  <c r="S847" i="1"/>
  <c r="S880" i="1"/>
  <c r="S905" i="1"/>
  <c r="S914" i="1"/>
  <c r="S930" i="1"/>
  <c r="S945" i="1"/>
  <c r="S954" i="1"/>
  <c r="S974" i="1"/>
  <c r="S994" i="1"/>
  <c r="S998" i="1"/>
  <c r="S1028" i="1"/>
  <c r="S1039" i="1"/>
  <c r="S1043" i="1"/>
  <c r="S1052" i="1"/>
  <c r="S1056" i="1"/>
  <c r="S1066" i="1"/>
  <c r="S1079" i="1"/>
  <c r="S1099" i="1"/>
  <c r="S2" i="1"/>
  <c r="B8" i="1"/>
  <c r="B9" i="1" s="1"/>
  <c r="C8" i="1"/>
  <c r="C9" i="1" s="1"/>
  <c r="D8" i="1"/>
  <c r="D9" i="1" s="1"/>
  <c r="E8" i="1"/>
  <c r="F8" i="1"/>
  <c r="F9" i="1" s="1"/>
  <c r="B28" i="1"/>
  <c r="C28" i="1"/>
  <c r="D28" i="1"/>
  <c r="F28" i="1"/>
  <c r="B39" i="1"/>
  <c r="C39" i="1"/>
  <c r="D39" i="1"/>
  <c r="E39" i="1"/>
  <c r="F39" i="1"/>
  <c r="B109" i="1"/>
  <c r="C109" i="1"/>
  <c r="D109" i="1"/>
  <c r="F109" i="1"/>
  <c r="B193" i="1"/>
  <c r="C193" i="1"/>
  <c r="D193" i="1"/>
  <c r="E193" i="1"/>
  <c r="B194" i="1"/>
  <c r="C194" i="1"/>
  <c r="D194" i="1"/>
  <c r="F193" i="1"/>
  <c r="F194" i="1" s="1"/>
  <c r="B198" i="1"/>
  <c r="C198" i="1"/>
  <c r="D198" i="1"/>
  <c r="E198" i="1"/>
  <c r="F198" i="1"/>
  <c r="B263" i="1"/>
  <c r="C263" i="1"/>
  <c r="C264" i="1" s="1"/>
  <c r="D263" i="1"/>
  <c r="E263" i="1"/>
  <c r="B264" i="1"/>
  <c r="D264" i="1"/>
  <c r="F263" i="1"/>
  <c r="F264" i="1" s="1"/>
  <c r="B284" i="1"/>
  <c r="C284" i="1"/>
  <c r="D284" i="1"/>
  <c r="F284" i="1"/>
  <c r="B304" i="1"/>
  <c r="C304" i="1"/>
  <c r="D304" i="1"/>
  <c r="F304" i="1"/>
  <c r="B369" i="1"/>
  <c r="C369" i="1"/>
  <c r="D369" i="1"/>
  <c r="F369" i="1"/>
  <c r="B454" i="1"/>
  <c r="C454" i="1"/>
  <c r="D454" i="1"/>
  <c r="B455" i="1"/>
  <c r="C455" i="1"/>
  <c r="D455" i="1"/>
  <c r="F454" i="1"/>
  <c r="F455" i="1"/>
  <c r="B459" i="1"/>
  <c r="C459" i="1"/>
  <c r="D459" i="1"/>
  <c r="F459" i="1"/>
  <c r="B533" i="1"/>
  <c r="C533" i="1"/>
  <c r="D533" i="1"/>
  <c r="E533" i="1"/>
  <c r="B534" i="1"/>
  <c r="C534" i="1"/>
  <c r="D534" i="1"/>
  <c r="F533" i="1"/>
  <c r="F534" i="1" s="1"/>
  <c r="B544" i="1"/>
  <c r="C544" i="1"/>
  <c r="D544" i="1"/>
  <c r="E544" i="1"/>
  <c r="F544" i="1"/>
  <c r="B567" i="1"/>
  <c r="C567" i="1"/>
  <c r="D567" i="1"/>
  <c r="B568" i="1"/>
  <c r="C568" i="1"/>
  <c r="D568" i="1"/>
  <c r="F567" i="1"/>
  <c r="F568" i="1" s="1"/>
  <c r="B629" i="1"/>
  <c r="C629" i="1"/>
  <c r="D629" i="1"/>
  <c r="E629" i="1"/>
  <c r="F629" i="1"/>
  <c r="B644" i="1"/>
  <c r="C644" i="1"/>
  <c r="D644" i="1"/>
  <c r="E644" i="1"/>
  <c r="F644" i="1"/>
  <c r="B714" i="1"/>
  <c r="C714" i="1"/>
  <c r="D714" i="1"/>
  <c r="E714" i="1"/>
  <c r="B715" i="1"/>
  <c r="C715" i="1"/>
  <c r="D715" i="1"/>
  <c r="F714" i="1"/>
  <c r="F715" i="1"/>
  <c r="B719" i="1"/>
  <c r="C719" i="1"/>
  <c r="D719" i="1"/>
  <c r="E719" i="1"/>
  <c r="F719" i="1"/>
  <c r="B788" i="1"/>
  <c r="C788" i="1"/>
  <c r="D788" i="1"/>
  <c r="E788" i="1"/>
  <c r="F788" i="1"/>
  <c r="B789" i="1"/>
  <c r="C789" i="1"/>
  <c r="D789" i="1"/>
  <c r="E789" i="1"/>
  <c r="F789" i="1"/>
  <c r="B804" i="1"/>
  <c r="C804" i="1"/>
  <c r="D804" i="1"/>
  <c r="E804" i="1"/>
  <c r="F804" i="1"/>
  <c r="B809" i="1"/>
  <c r="C809" i="1"/>
  <c r="D809" i="1"/>
  <c r="E809" i="1"/>
  <c r="F809" i="1"/>
  <c r="B824" i="1"/>
  <c r="C824" i="1"/>
  <c r="D824" i="1"/>
  <c r="E824" i="1"/>
  <c r="F824" i="1"/>
  <c r="B889" i="1"/>
  <c r="C889" i="1"/>
  <c r="D889" i="1"/>
  <c r="E889" i="1"/>
  <c r="F889" i="1"/>
  <c r="B974" i="1"/>
  <c r="C974" i="1"/>
  <c r="D974" i="1"/>
  <c r="E974" i="1"/>
  <c r="B975" i="1"/>
  <c r="C975" i="1"/>
  <c r="D975" i="1"/>
  <c r="F974" i="1"/>
  <c r="F975" i="1" s="1"/>
  <c r="B979" i="1"/>
  <c r="C979" i="1"/>
  <c r="D979" i="1"/>
  <c r="E979" i="1"/>
  <c r="F979" i="1"/>
  <c r="B1043" i="1"/>
  <c r="C1043" i="1"/>
  <c r="D1043" i="1"/>
  <c r="E1043" i="1"/>
  <c r="F1043" i="1"/>
  <c r="B1044" i="1"/>
  <c r="C1044" i="1"/>
  <c r="D1044" i="1"/>
  <c r="E1044" i="1"/>
  <c r="F1044" i="1"/>
  <c r="B1069" i="1"/>
  <c r="C1069" i="1"/>
  <c r="D1069" i="1"/>
  <c r="E1069" i="1"/>
  <c r="F1069" i="1"/>
  <c r="B1084" i="1"/>
  <c r="C1084" i="1"/>
  <c r="D1084" i="1"/>
  <c r="E1084" i="1"/>
  <c r="F1084" i="1"/>
  <c r="M715" i="1" l="1"/>
  <c r="M719" i="1" s="1"/>
  <c r="M975" i="1"/>
  <c r="M979" i="1" s="1"/>
  <c r="L715" i="1"/>
  <c r="L719" i="1" s="1"/>
  <c r="L975" i="1"/>
  <c r="L979" i="1" s="1"/>
  <c r="K481" i="1"/>
  <c r="K482" i="1" s="1"/>
  <c r="K715" i="1"/>
  <c r="K719" i="1" s="1"/>
  <c r="K735" i="1"/>
  <c r="K736" i="1" s="1"/>
  <c r="K788" i="1"/>
  <c r="K789" i="1" s="1"/>
  <c r="K975" i="1"/>
  <c r="K979" i="1" s="1"/>
</calcChain>
</file>

<file path=xl/sharedStrings.xml><?xml version="1.0" encoding="utf-8"?>
<sst xmlns="http://schemas.openxmlformats.org/spreadsheetml/2006/main" count="38" uniqueCount="19">
  <si>
    <t>Date</t>
  </si>
  <si>
    <t>Coal_RB_4800_FOB_London_Close_USD</t>
  </si>
  <si>
    <t>Coal_RB_5500_FOB_London_Close_USD</t>
  </si>
  <si>
    <t>Coal_RB_5700_FOB_London_Close_USD</t>
  </si>
  <si>
    <t>Coal_RB_6000_FOB_CurrentWeek_Avg_USD</t>
  </si>
  <si>
    <t>Coal_India_5500_CFR_London_Close_USD</t>
  </si>
  <si>
    <t>Price_WTI</t>
  </si>
  <si>
    <t>Price_Brent_Oil</t>
  </si>
  <si>
    <t>Price_Dubai_Brent_Oil</t>
  </si>
  <si>
    <t>Price_ExxonMobil</t>
  </si>
  <si>
    <t>Price_Shenhua</t>
  </si>
  <si>
    <t>Price_All_Share</t>
  </si>
  <si>
    <t>Price_Mining</t>
  </si>
  <si>
    <t>Price_LNG_Japan_Korea_Marker_PLATTS</t>
  </si>
  <si>
    <t>Price_ZAR_USD</t>
  </si>
  <si>
    <t>Price_Natural_Gas</t>
  </si>
  <si>
    <t>Price_ICE</t>
  </si>
  <si>
    <t>Price_Dutch_TTF</t>
  </si>
  <si>
    <t>Price_Indian_en_exg_rate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</si>
</sst>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d\-m\-yyyy"/>
  </numFmts>
  <fonts count="2" x14ac:knownFonts="1">
    <font>
      <sz val="10"/>
      <color rgb="FF000000"/>
      <name val="Arial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5" fontId="1" fillId="0" borderId="0" xfId="0" applyNumberFormat="1" applyFont="1" applyAlignment="1">
      <alignment horizontal="right"/>
    </xf>
    <xf numFmtId="2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6D9283-7190-4F18-846F-F2988111455B}" name="Table1" displayName="Table1" ref="A1:S1108" totalsRowShown="0">
  <autoFilter ref="A1:S1108" xr:uid="{26D2921E-04ED-4772-A9D1-D9E8E7A4A2C3}"/>
  <tableColumns count="19">
    <tableColumn id="1" xr3:uid="{7A9B7B43-D309-40DE-A56A-4F60F7FA0F74}" name="Date" dataDxfId="0"/>
    <tableColumn id="2" xr3:uid="{3B8ADC65-0D08-447E-8ABA-F1CF5A3AD2CF}" name="Coal_RB_4800_FOB_London_Close_USD"/>
    <tableColumn id="3" xr3:uid="{A150B438-9D98-4CCB-9D37-566333AA5ADF}" name="Coal_RB_5500_FOB_London_Close_USD"/>
    <tableColumn id="4" xr3:uid="{DFD1A2EB-41DE-48FD-88D2-F3D5F0DDC9AC}" name="Coal_RB_5700_FOB_London_Close_USD"/>
    <tableColumn id="5" xr3:uid="{660F399F-1B14-4708-BCA5-4A44F42447FD}" name="Coal_RB_6000_FOB_CurrentWeek_Avg_USD"/>
    <tableColumn id="6" xr3:uid="{7ED31FB2-8934-4DC0-9672-23EED2018C40}" name="Coal_India_5500_CFR_London_Close_USD"/>
    <tableColumn id="7" xr3:uid="{0C0CB8A2-0BDE-499C-9667-39AC12BA7470}" name="Price_WTI"/>
    <tableColumn id="8" xr3:uid="{C6C804FC-A8E7-48E5-8ABF-FBAFE46DDD39}" name="Price_Brent_Oil"/>
    <tableColumn id="9" xr3:uid="{ED2233DF-43F6-4B4C-948A-E39C3FDA91EF}" name="Price_Dubai_Brent_Oil"/>
    <tableColumn id="10" xr3:uid="{54C82DBD-780C-4FF1-9B8E-94A96765DFEE}" name="Price_ExxonMobil"/>
    <tableColumn id="11" xr3:uid="{BC00953F-56C2-4370-8C80-A44AB5C0251C}" name="Price_Shenhua"/>
    <tableColumn id="12" xr3:uid="{C786895B-A5D8-48F9-9F51-B83D17445856}" name="Price_All_Share"/>
    <tableColumn id="13" xr3:uid="{AF920B6B-98B4-4270-A322-28826735884B}" name="Price_Mining"/>
    <tableColumn id="14" xr3:uid="{2BC9D1CD-52C0-4992-9B92-816D11C11042}" name="Price_LNG_Japan_Korea_Marker_PLATTS"/>
    <tableColumn id="15" xr3:uid="{A56F4D1F-C591-4A96-AAB8-296B7F0116C7}" name="Price_ZAR_USD"/>
    <tableColumn id="16" xr3:uid="{14A286D2-B4BF-4D36-AD36-22AB43E4621B}" name="Price_Natural_Gas"/>
    <tableColumn id="17" xr3:uid="{EF4D7DDA-F0D6-4620-8A84-2F19D226FFC4}" name="Price_ICE"/>
    <tableColumn id="18" xr3:uid="{F159F6F3-CEF0-4F96-98B8-C9AB7E4370BE}" name="Price_Dutch_TTF"/>
    <tableColumn id="19" xr3:uid="{152E3D7F-1E88-431A-A26C-4607C5823E6F}" name="Price_Indian_en_exg_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108"/>
  <sheetViews>
    <sheetView workbookViewId="0">
      <selection activeCell="B10" sqref="B10"/>
    </sheetView>
  </sheetViews>
  <sheetFormatPr defaultColWidth="12.6640625" defaultRowHeight="15.75" customHeight="1" x14ac:dyDescent="0.25"/>
  <cols>
    <col min="1" max="1" width="15.109375" customWidth="1"/>
    <col min="2" max="4" width="34.88671875" bestFit="1" customWidth="1"/>
    <col min="5" max="5" width="38.109375" bestFit="1" customWidth="1"/>
    <col min="6" max="6" width="36.44140625" bestFit="1" customWidth="1"/>
    <col min="7" max="7" width="11.5546875" bestFit="1" customWidth="1"/>
    <col min="8" max="8" width="16" bestFit="1" customWidth="1"/>
    <col min="9" max="9" width="21.77734375" bestFit="1" customWidth="1"/>
    <col min="10" max="10" width="17.88671875" bestFit="1" customWidth="1"/>
    <col min="11" max="11" width="15.109375" bestFit="1" customWidth="1"/>
    <col min="12" max="12" width="15.88671875" bestFit="1" customWidth="1"/>
    <col min="13" max="13" width="13.6640625" bestFit="1" customWidth="1"/>
    <col min="14" max="14" width="37.5546875" bestFit="1" customWidth="1"/>
    <col min="15" max="15" width="15.88671875" bestFit="1" customWidth="1"/>
    <col min="16" max="16" width="18.44140625" bestFit="1" customWidth="1"/>
    <col min="17" max="17" width="10.88671875" bestFit="1" customWidth="1"/>
    <col min="18" max="18" width="17" bestFit="1" customWidth="1"/>
    <col min="19" max="19" width="24.6640625" bestFit="1" customWidth="1"/>
  </cols>
  <sheetData>
    <row r="1" spans="1:19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.75" customHeight="1" x14ac:dyDescent="0.3">
      <c r="A2" s="2">
        <v>43923</v>
      </c>
      <c r="B2" s="3">
        <v>41</v>
      </c>
      <c r="C2" s="3">
        <v>53.22</v>
      </c>
      <c r="D2" s="3">
        <v>64.7</v>
      </c>
      <c r="E2" s="3">
        <v>97.56</v>
      </c>
      <c r="F2" s="3">
        <v>60.5</v>
      </c>
      <c r="G2" s="3">
        <v>25.32</v>
      </c>
      <c r="H2" s="3">
        <v>29.94</v>
      </c>
      <c r="I2" s="3">
        <v>26.16</v>
      </c>
      <c r="J2" s="3">
        <v>40.4</v>
      </c>
      <c r="K2" s="3">
        <v>14.58</v>
      </c>
      <c r="L2" s="3">
        <v>45060.69</v>
      </c>
      <c r="M2" s="3">
        <v>35562.370000000003</v>
      </c>
      <c r="N2" s="3">
        <v>2.86</v>
      </c>
      <c r="O2" s="3">
        <v>5.4109999999999998E-2</v>
      </c>
      <c r="P2" s="3">
        <v>1.552</v>
      </c>
      <c r="Q2" s="3">
        <v>81.14</v>
      </c>
      <c r="R2" s="3">
        <v>6.9349999999999996</v>
      </c>
      <c r="S2" s="1">
        <f>S3</f>
        <v>45.02</v>
      </c>
    </row>
    <row r="3" spans="1:19" ht="15.75" customHeight="1" x14ac:dyDescent="0.3">
      <c r="A3" s="2">
        <v>43924</v>
      </c>
      <c r="B3" s="3">
        <v>40.340000000000003</v>
      </c>
      <c r="C3" s="3">
        <v>52.36</v>
      </c>
      <c r="D3" s="3">
        <v>63.1</v>
      </c>
      <c r="E3" s="3">
        <v>70.569999999999993</v>
      </c>
      <c r="F3" s="3">
        <v>62.03</v>
      </c>
      <c r="G3" s="3">
        <v>28.34</v>
      </c>
      <c r="H3" s="3">
        <v>34.11</v>
      </c>
      <c r="I3" s="3">
        <v>29.39</v>
      </c>
      <c r="J3" s="3">
        <v>39.21</v>
      </c>
      <c r="K3" s="3">
        <v>14.14</v>
      </c>
      <c r="L3" s="3">
        <v>44598.7</v>
      </c>
      <c r="M3" s="3">
        <v>35258.300000000003</v>
      </c>
      <c r="N3" s="3">
        <v>2.8450000000000002</v>
      </c>
      <c r="O3" s="3">
        <v>5.2449999999999997E-2</v>
      </c>
      <c r="P3" s="3">
        <v>1.621</v>
      </c>
      <c r="Q3" s="3">
        <v>80.989999999999995</v>
      </c>
      <c r="R3" s="3">
        <v>6.92</v>
      </c>
      <c r="S3" s="3">
        <v>45.02</v>
      </c>
    </row>
    <row r="4" spans="1:19" ht="15.75" customHeight="1" x14ac:dyDescent="0.3">
      <c r="A4" s="2">
        <v>43927</v>
      </c>
      <c r="B4" s="3">
        <v>40.340000000000003</v>
      </c>
      <c r="C4" s="3">
        <v>52.36</v>
      </c>
      <c r="D4" s="3">
        <v>63.1</v>
      </c>
      <c r="E4" s="3">
        <v>70.569999999999993</v>
      </c>
      <c r="F4" s="3">
        <v>62.03</v>
      </c>
      <c r="G4" s="3">
        <v>26.08</v>
      </c>
      <c r="H4" s="3">
        <v>33.049999999999997</v>
      </c>
      <c r="I4" s="3">
        <v>27.45</v>
      </c>
      <c r="J4" s="3">
        <v>40.47</v>
      </c>
      <c r="K4" s="3">
        <v>14.26</v>
      </c>
      <c r="L4" s="3">
        <v>46240.35</v>
      </c>
      <c r="M4" s="3">
        <v>37032.31</v>
      </c>
      <c r="N4" s="3">
        <v>2.85</v>
      </c>
      <c r="O4" s="3">
        <v>5.3510000000000002E-2</v>
      </c>
      <c r="P4" s="3">
        <v>1.7310000000000001</v>
      </c>
      <c r="Q4" s="3">
        <v>84.43</v>
      </c>
      <c r="R4" s="3">
        <v>7.2850000000000001</v>
      </c>
      <c r="S4" s="1">
        <f>S5</f>
        <v>48.32</v>
      </c>
    </row>
    <row r="5" spans="1:19" ht="15.75" customHeight="1" x14ac:dyDescent="0.3">
      <c r="A5" s="2">
        <v>43928</v>
      </c>
      <c r="B5" s="3">
        <v>40.340000000000003</v>
      </c>
      <c r="C5" s="3">
        <v>52.36</v>
      </c>
      <c r="D5" s="3">
        <v>63.1</v>
      </c>
      <c r="E5" s="3">
        <v>70.569999999999993</v>
      </c>
      <c r="F5" s="3">
        <v>62.03</v>
      </c>
      <c r="G5" s="3">
        <v>23.63</v>
      </c>
      <c r="H5" s="3">
        <v>31.87</v>
      </c>
      <c r="I5" s="3">
        <v>26</v>
      </c>
      <c r="J5" s="3">
        <v>41.24</v>
      </c>
      <c r="K5" s="3">
        <v>14.46</v>
      </c>
      <c r="L5" s="3">
        <v>47496.72</v>
      </c>
      <c r="M5" s="3">
        <v>38362.120000000003</v>
      </c>
      <c r="N5" s="3">
        <v>2.8050000000000002</v>
      </c>
      <c r="O5" s="3">
        <v>5.457E-2</v>
      </c>
      <c r="P5" s="3">
        <v>1.8520000000000001</v>
      </c>
      <c r="Q5" s="3">
        <v>82.3</v>
      </c>
      <c r="R5" s="3">
        <v>7.2850000000000001</v>
      </c>
      <c r="S5" s="3">
        <v>48.32</v>
      </c>
    </row>
    <row r="6" spans="1:19" ht="15.75" customHeight="1" x14ac:dyDescent="0.3">
      <c r="A6" s="2">
        <v>43929</v>
      </c>
      <c r="B6" s="3">
        <v>40.340000000000003</v>
      </c>
      <c r="C6" s="3">
        <v>52.36</v>
      </c>
      <c r="D6" s="3">
        <v>63.1</v>
      </c>
      <c r="E6" s="3">
        <v>70.569999999999993</v>
      </c>
      <c r="F6" s="3">
        <v>62.03</v>
      </c>
      <c r="G6" s="3">
        <v>25.09</v>
      </c>
      <c r="H6" s="3">
        <v>32.840000000000003</v>
      </c>
      <c r="I6" s="3">
        <v>26.16</v>
      </c>
      <c r="J6" s="3">
        <v>43.85</v>
      </c>
      <c r="K6" s="3">
        <v>14.24</v>
      </c>
      <c r="L6" s="3">
        <v>46689.9</v>
      </c>
      <c r="M6" s="3">
        <v>37469.17</v>
      </c>
      <c r="N6" s="3">
        <v>2.81</v>
      </c>
      <c r="O6" s="3">
        <v>5.493E-2</v>
      </c>
      <c r="P6" s="3">
        <v>1.7829999999999999</v>
      </c>
      <c r="Q6" s="3">
        <v>85.34</v>
      </c>
      <c r="R6" s="3">
        <v>7.26</v>
      </c>
      <c r="S6" s="3">
        <v>45.75</v>
      </c>
    </row>
    <row r="7" spans="1:19" ht="15.75" customHeight="1" x14ac:dyDescent="0.3">
      <c r="A7" s="2">
        <v>43930</v>
      </c>
      <c r="B7" s="3">
        <v>33.82</v>
      </c>
      <c r="C7" s="3">
        <v>43.58</v>
      </c>
      <c r="D7" s="3">
        <v>54.81</v>
      </c>
      <c r="E7" s="3">
        <v>59.57</v>
      </c>
      <c r="F7" s="3">
        <v>54.74</v>
      </c>
      <c r="G7" s="3">
        <v>22.76</v>
      </c>
      <c r="H7" s="3">
        <v>31.48</v>
      </c>
      <c r="I7" s="3">
        <v>23.26</v>
      </c>
      <c r="J7" s="3">
        <v>43.13</v>
      </c>
      <c r="K7" s="3">
        <v>14.16</v>
      </c>
      <c r="L7" s="3">
        <v>48011.56</v>
      </c>
      <c r="M7" s="3">
        <v>38905.32</v>
      </c>
      <c r="N7" s="3">
        <v>2.8050000000000002</v>
      </c>
      <c r="O7" s="3">
        <v>5.5440000000000003E-2</v>
      </c>
      <c r="P7" s="3">
        <v>1.7330000000000001</v>
      </c>
      <c r="Q7" s="3">
        <v>87.38</v>
      </c>
      <c r="R7" s="3">
        <v>7.28</v>
      </c>
      <c r="S7" s="3">
        <v>48.33</v>
      </c>
    </row>
    <row r="8" spans="1:19" ht="15.75" customHeight="1" x14ac:dyDescent="0.3">
      <c r="A8" s="2">
        <v>43931</v>
      </c>
      <c r="B8" s="1">
        <f t="shared" ref="B8:E8" si="0">B7</f>
        <v>33.82</v>
      </c>
      <c r="C8" s="1">
        <f t="shared" si="0"/>
        <v>43.58</v>
      </c>
      <c r="D8" s="1">
        <f t="shared" si="0"/>
        <v>54.81</v>
      </c>
      <c r="E8" s="1">
        <f t="shared" si="0"/>
        <v>59.57</v>
      </c>
      <c r="F8" s="1">
        <f t="shared" ref="F8:F9" si="1">F7</f>
        <v>54.74</v>
      </c>
      <c r="G8" s="5">
        <f>(G7+G9)/2</f>
        <v>22.585000000000001</v>
      </c>
      <c r="H8" s="1">
        <f>(H7+H9)/2</f>
        <v>31.61</v>
      </c>
      <c r="I8" s="1">
        <f>(I7+I9)/2</f>
        <v>24</v>
      </c>
      <c r="J8" s="1">
        <f>(J7+J9)/2</f>
        <v>42.945</v>
      </c>
      <c r="K8" s="5">
        <f t="shared" ref="K8:K9" si="2">FORECAST(A8,K2:K7,A2:A7)</f>
        <v>14.197939914163044</v>
      </c>
      <c r="L8" s="5">
        <f t="shared" ref="L8:L9" si="3">FORECAST(A8,L2:L7,A2:A7)</f>
        <v>48197.506695277989</v>
      </c>
      <c r="M8" s="5">
        <f t="shared" ref="M8:M9" si="4">FORECAST(A8,M2:M7,A2:A7)</f>
        <v>39146.580987125635</v>
      </c>
      <c r="N8" s="5">
        <f>FORECAST(A8,N2:N7,A2:A7)</f>
        <v>2.7963519313304346</v>
      </c>
      <c r="O8" s="3">
        <v>5.561E-2</v>
      </c>
      <c r="P8" s="1">
        <f>AVERAGE(P7,P9)</f>
        <v>1.7284999999999999</v>
      </c>
      <c r="Q8" s="1">
        <f>AVERAGE(Q7,Q9)</f>
        <v>86.28</v>
      </c>
      <c r="R8" s="5">
        <f>AVERAGE(R7,R9)</f>
        <v>7.28</v>
      </c>
      <c r="S8" s="1">
        <f>S9</f>
        <v>47.75</v>
      </c>
    </row>
    <row r="9" spans="1:19" ht="15.75" customHeight="1" x14ac:dyDescent="0.3">
      <c r="A9" s="2">
        <v>43934</v>
      </c>
      <c r="B9" s="1">
        <f t="shared" ref="B9:D9" si="5">B8</f>
        <v>33.82</v>
      </c>
      <c r="C9" s="1">
        <f t="shared" si="5"/>
        <v>43.58</v>
      </c>
      <c r="D9" s="1">
        <f t="shared" si="5"/>
        <v>54.81</v>
      </c>
      <c r="E9" s="3">
        <v>59.57</v>
      </c>
      <c r="F9" s="1">
        <f t="shared" si="1"/>
        <v>54.74</v>
      </c>
      <c r="G9" s="3">
        <v>22.41</v>
      </c>
      <c r="H9" s="3">
        <v>31.74</v>
      </c>
      <c r="I9" s="3">
        <v>24.74</v>
      </c>
      <c r="J9" s="3">
        <v>42.76</v>
      </c>
      <c r="K9" s="5">
        <f t="shared" si="2"/>
        <v>14.260173993736203</v>
      </c>
      <c r="L9" s="5">
        <f t="shared" si="3"/>
        <v>49861.254434518516</v>
      </c>
      <c r="M9" s="5">
        <f t="shared" si="4"/>
        <v>40903.981234192848</v>
      </c>
      <c r="N9" s="3">
        <v>2.8050000000000002</v>
      </c>
      <c r="O9" s="3">
        <v>5.5160000000000001E-2</v>
      </c>
      <c r="P9" s="3">
        <v>1.724</v>
      </c>
      <c r="Q9" s="3">
        <v>85.18</v>
      </c>
      <c r="R9" s="3">
        <v>7.28</v>
      </c>
      <c r="S9" s="3">
        <v>47.75</v>
      </c>
    </row>
    <row r="10" spans="1:19" ht="15.75" customHeight="1" x14ac:dyDescent="0.3">
      <c r="A10" s="2">
        <v>43935</v>
      </c>
      <c r="B10" s="3">
        <v>33.82</v>
      </c>
      <c r="C10" s="3">
        <v>43.58</v>
      </c>
      <c r="D10" s="3">
        <v>54.81</v>
      </c>
      <c r="E10" s="3">
        <v>59.57</v>
      </c>
      <c r="F10" s="3">
        <v>54.74</v>
      </c>
      <c r="G10" s="3">
        <v>20.11</v>
      </c>
      <c r="H10" s="3">
        <v>29.6</v>
      </c>
      <c r="I10" s="3">
        <v>21.96</v>
      </c>
      <c r="J10" s="3">
        <v>42.43</v>
      </c>
      <c r="K10" s="3">
        <v>14.36</v>
      </c>
      <c r="L10" s="3">
        <v>49874.51</v>
      </c>
      <c r="M10" s="3">
        <v>41941.82</v>
      </c>
      <c r="N10" s="3">
        <v>2.8</v>
      </c>
      <c r="O10" s="3">
        <v>5.4539999999999998E-2</v>
      </c>
      <c r="P10" s="3">
        <v>1.65</v>
      </c>
      <c r="Q10" s="3">
        <v>87</v>
      </c>
      <c r="R10" s="3">
        <v>6.875</v>
      </c>
      <c r="S10" s="1">
        <f>S11</f>
        <v>49.25</v>
      </c>
    </row>
    <row r="11" spans="1:19" ht="15.75" customHeight="1" x14ac:dyDescent="0.3">
      <c r="A11" s="2">
        <v>43936</v>
      </c>
      <c r="B11" s="3">
        <v>33.82</v>
      </c>
      <c r="C11" s="3">
        <v>43.58</v>
      </c>
      <c r="D11" s="3">
        <v>54.81</v>
      </c>
      <c r="E11" s="3">
        <v>59.57</v>
      </c>
      <c r="F11" s="3">
        <v>54.74</v>
      </c>
      <c r="G11" s="3">
        <v>19.87</v>
      </c>
      <c r="H11" s="3">
        <v>27.69</v>
      </c>
      <c r="I11" s="3">
        <v>21.46</v>
      </c>
      <c r="J11" s="3">
        <v>40.479999999999997</v>
      </c>
      <c r="K11" s="3">
        <v>14.12</v>
      </c>
      <c r="L11" s="3">
        <v>48301.279999999999</v>
      </c>
      <c r="M11" s="3">
        <v>40023.440000000002</v>
      </c>
      <c r="N11" s="3">
        <v>2.7949999999999999</v>
      </c>
      <c r="O11" s="3">
        <v>5.3429999999999998E-2</v>
      </c>
      <c r="P11" s="3">
        <v>1.5980000000000001</v>
      </c>
      <c r="Q11" s="3">
        <v>86.25</v>
      </c>
      <c r="R11" s="3">
        <v>6.65</v>
      </c>
      <c r="S11" s="3">
        <v>49.25</v>
      </c>
    </row>
    <row r="12" spans="1:19" ht="15.75" customHeight="1" x14ac:dyDescent="0.3">
      <c r="A12" s="2">
        <v>43937</v>
      </c>
      <c r="B12" s="3">
        <v>33.82</v>
      </c>
      <c r="C12" s="3">
        <v>43.58</v>
      </c>
      <c r="D12" s="3">
        <v>54.81</v>
      </c>
      <c r="E12" s="3">
        <v>59.57</v>
      </c>
      <c r="F12" s="3">
        <v>54.74</v>
      </c>
      <c r="G12" s="3">
        <v>19.87</v>
      </c>
      <c r="H12" s="3">
        <v>27.82</v>
      </c>
      <c r="I12" s="3">
        <v>21.71</v>
      </c>
      <c r="J12" s="3">
        <v>39.15</v>
      </c>
      <c r="K12" s="3">
        <v>14.12</v>
      </c>
      <c r="L12" s="3">
        <v>48245.11</v>
      </c>
      <c r="M12" s="3">
        <v>39594</v>
      </c>
      <c r="N12" s="3">
        <v>2.4700000000000002</v>
      </c>
      <c r="O12" s="3">
        <v>5.2929999999999998E-2</v>
      </c>
      <c r="P12" s="3">
        <v>1.6859999999999999</v>
      </c>
      <c r="Q12" s="3">
        <v>88.1</v>
      </c>
      <c r="R12" s="3">
        <v>6.9050000000000002</v>
      </c>
      <c r="S12" s="3">
        <v>50.93</v>
      </c>
    </row>
    <row r="13" spans="1:19" ht="15.75" customHeight="1" x14ac:dyDescent="0.3">
      <c r="A13" s="2">
        <v>43938</v>
      </c>
      <c r="B13" s="3">
        <v>31.49</v>
      </c>
      <c r="C13" s="3">
        <v>38.44</v>
      </c>
      <c r="D13" s="3">
        <v>51.1</v>
      </c>
      <c r="E13" s="3">
        <v>51.7</v>
      </c>
      <c r="F13" s="3">
        <v>48.89</v>
      </c>
      <c r="G13" s="3">
        <v>18.27</v>
      </c>
      <c r="H13" s="3">
        <v>28.08</v>
      </c>
      <c r="I13" s="3">
        <v>22.23</v>
      </c>
      <c r="J13" s="3">
        <v>43.22</v>
      </c>
      <c r="K13" s="3">
        <v>14.24</v>
      </c>
      <c r="L13" s="3">
        <v>49134.65</v>
      </c>
      <c r="M13" s="3">
        <v>40768.620000000003</v>
      </c>
      <c r="N13" s="3">
        <v>2.3450000000000002</v>
      </c>
      <c r="O13" s="3">
        <v>5.3179999999999998E-2</v>
      </c>
      <c r="P13" s="3">
        <v>1.7529999999999999</v>
      </c>
      <c r="Q13" s="3">
        <v>90.4</v>
      </c>
      <c r="R13" s="3">
        <v>6.9950000000000001</v>
      </c>
      <c r="S13" s="3">
        <v>51.75</v>
      </c>
    </row>
    <row r="14" spans="1:19" ht="15.75" customHeight="1" x14ac:dyDescent="0.3">
      <c r="A14" s="2">
        <v>43941</v>
      </c>
      <c r="B14" s="3">
        <v>31.49</v>
      </c>
      <c r="C14" s="3">
        <v>38.44</v>
      </c>
      <c r="D14" s="3">
        <v>51.1</v>
      </c>
      <c r="E14" s="3">
        <v>51.7</v>
      </c>
      <c r="F14" s="3">
        <v>48.89</v>
      </c>
      <c r="G14" s="3">
        <v>-37.630000000000003</v>
      </c>
      <c r="H14" s="3">
        <v>25.57</v>
      </c>
      <c r="I14" s="3">
        <v>21.47</v>
      </c>
      <c r="J14" s="3">
        <v>41.18</v>
      </c>
      <c r="K14" s="3">
        <v>14.08</v>
      </c>
      <c r="L14" s="3">
        <v>48849.52</v>
      </c>
      <c r="M14" s="3">
        <v>40688.449999999997</v>
      </c>
      <c r="N14" s="3">
        <v>2.27</v>
      </c>
      <c r="O14" s="3">
        <v>5.2999999999999999E-2</v>
      </c>
      <c r="P14" s="3">
        <v>1.9239999999999999</v>
      </c>
      <c r="Q14" s="3">
        <v>89.4</v>
      </c>
      <c r="R14" s="3">
        <v>6.62</v>
      </c>
      <c r="S14" s="3">
        <v>54.25</v>
      </c>
    </row>
    <row r="15" spans="1:19" ht="15.75" customHeight="1" x14ac:dyDescent="0.3">
      <c r="A15" s="2">
        <v>43942</v>
      </c>
      <c r="B15" s="3">
        <v>31.49</v>
      </c>
      <c r="C15" s="3">
        <v>38.44</v>
      </c>
      <c r="D15" s="3">
        <v>51.1</v>
      </c>
      <c r="E15" s="3">
        <v>51.7</v>
      </c>
      <c r="F15" s="3">
        <v>48.89</v>
      </c>
      <c r="G15" s="3">
        <v>10.01</v>
      </c>
      <c r="H15" s="3">
        <v>19.329999999999998</v>
      </c>
      <c r="I15" s="3">
        <v>19.07</v>
      </c>
      <c r="J15" s="3">
        <v>40.96</v>
      </c>
      <c r="K15" s="3">
        <v>13.84</v>
      </c>
      <c r="L15" s="3">
        <v>47628.87</v>
      </c>
      <c r="M15" s="3">
        <v>38702.92</v>
      </c>
      <c r="N15" s="3">
        <v>2.105</v>
      </c>
      <c r="O15" s="3">
        <v>5.2659999999999998E-2</v>
      </c>
      <c r="P15" s="3">
        <v>1.821</v>
      </c>
      <c r="Q15" s="3">
        <v>87.53</v>
      </c>
      <c r="R15" s="3">
        <v>6.3150000000000004</v>
      </c>
      <c r="S15" s="3">
        <v>51.82</v>
      </c>
    </row>
    <row r="16" spans="1:19" ht="15.75" customHeight="1" x14ac:dyDescent="0.3">
      <c r="A16" s="2">
        <v>43943</v>
      </c>
      <c r="B16" s="3">
        <v>31.49</v>
      </c>
      <c r="C16" s="3">
        <v>38.44</v>
      </c>
      <c r="D16" s="3">
        <v>51.1</v>
      </c>
      <c r="E16" s="3">
        <v>51.7</v>
      </c>
      <c r="F16" s="3">
        <v>48.89</v>
      </c>
      <c r="G16" s="3">
        <v>13.78</v>
      </c>
      <c r="H16" s="3">
        <v>20.37</v>
      </c>
      <c r="I16" s="3">
        <v>20</v>
      </c>
      <c r="J16" s="3">
        <v>42.13</v>
      </c>
      <c r="K16" s="3">
        <v>13.66</v>
      </c>
      <c r="L16" s="3">
        <v>48108.49</v>
      </c>
      <c r="M16" s="3">
        <v>39991.74</v>
      </c>
      <c r="N16" s="3">
        <v>2.0750000000000002</v>
      </c>
      <c r="O16" s="3">
        <v>5.2549999999999999E-2</v>
      </c>
      <c r="P16" s="3">
        <v>1.9390000000000001</v>
      </c>
      <c r="Q16" s="3">
        <v>89.19</v>
      </c>
      <c r="R16" s="3">
        <v>6.2249999999999996</v>
      </c>
      <c r="S16" s="3">
        <v>52.03</v>
      </c>
    </row>
    <row r="17" spans="1:19" ht="15.75" customHeight="1" x14ac:dyDescent="0.3">
      <c r="A17" s="2">
        <v>43944</v>
      </c>
      <c r="B17" s="3">
        <v>31.49</v>
      </c>
      <c r="C17" s="3">
        <v>38.44</v>
      </c>
      <c r="D17" s="3">
        <v>51.1</v>
      </c>
      <c r="E17" s="3">
        <v>51.7</v>
      </c>
      <c r="F17" s="3">
        <v>48.89</v>
      </c>
      <c r="G17" s="3">
        <v>16.5</v>
      </c>
      <c r="H17" s="3">
        <v>21.33</v>
      </c>
      <c r="I17" s="3">
        <v>20.45</v>
      </c>
      <c r="J17" s="3">
        <v>43.45</v>
      </c>
      <c r="K17" s="3">
        <v>13.7</v>
      </c>
      <c r="L17" s="3">
        <v>49601.82</v>
      </c>
      <c r="M17" s="3">
        <v>42588.88</v>
      </c>
      <c r="N17" s="3">
        <v>2.0499999999999998</v>
      </c>
      <c r="O17" s="3">
        <v>5.2389999999999999E-2</v>
      </c>
      <c r="P17" s="3">
        <v>1.8149999999999999</v>
      </c>
      <c r="Q17" s="3">
        <v>88.5</v>
      </c>
      <c r="R17" s="3">
        <v>6.0549999999999997</v>
      </c>
      <c r="S17" s="3">
        <v>52.32</v>
      </c>
    </row>
    <row r="18" spans="1:19" ht="15.75" customHeight="1" x14ac:dyDescent="0.3">
      <c r="A18" s="2">
        <v>43945</v>
      </c>
      <c r="B18" s="3">
        <v>26.75</v>
      </c>
      <c r="C18" s="3">
        <v>34.56</v>
      </c>
      <c r="D18" s="3">
        <v>44.69</v>
      </c>
      <c r="E18" s="3">
        <v>44.53</v>
      </c>
      <c r="F18" s="3">
        <v>41.81</v>
      </c>
      <c r="G18" s="3">
        <v>16.940000000000001</v>
      </c>
      <c r="H18" s="3">
        <v>21.44</v>
      </c>
      <c r="I18" s="3">
        <v>20.45</v>
      </c>
      <c r="J18" s="3">
        <v>43.73</v>
      </c>
      <c r="K18" s="3">
        <v>13.64</v>
      </c>
      <c r="L18" s="3">
        <v>49527.23</v>
      </c>
      <c r="M18" s="3">
        <v>42857.87</v>
      </c>
      <c r="N18" s="3">
        <v>2.0249999999999999</v>
      </c>
      <c r="O18" s="3">
        <v>5.2540000000000003E-2</v>
      </c>
      <c r="P18" s="3">
        <v>1.746</v>
      </c>
      <c r="Q18" s="3">
        <v>88.92</v>
      </c>
      <c r="R18" s="3">
        <v>5.77</v>
      </c>
      <c r="S18" s="3">
        <v>52.1</v>
      </c>
    </row>
    <row r="19" spans="1:19" ht="15.75" customHeight="1" x14ac:dyDescent="0.3">
      <c r="A19" s="2">
        <v>43948</v>
      </c>
      <c r="B19" s="3">
        <v>26.75</v>
      </c>
      <c r="C19" s="3">
        <v>34.56</v>
      </c>
      <c r="D19" s="3">
        <v>44.69</v>
      </c>
      <c r="E19" s="3">
        <v>44.53</v>
      </c>
      <c r="F19" s="3">
        <v>41.81</v>
      </c>
      <c r="G19" s="3">
        <v>12.78</v>
      </c>
      <c r="H19" s="3">
        <v>19.989999999999998</v>
      </c>
      <c r="I19" s="3">
        <v>20.37</v>
      </c>
      <c r="J19" s="3">
        <v>43.94</v>
      </c>
      <c r="K19" s="3">
        <v>13.8</v>
      </c>
      <c r="L19" s="5">
        <f>FORECAST(A19,L13:L18,A13:A18)</f>
        <v>49129.53513513552</v>
      </c>
      <c r="M19" s="5">
        <f>FORECAST(A19,M13:M18,A13:A18)</f>
        <v>42644.693513514474</v>
      </c>
      <c r="N19" s="3">
        <v>1.9950000000000001</v>
      </c>
      <c r="O19" s="3">
        <v>5.3199999999999997E-2</v>
      </c>
      <c r="P19" s="3">
        <v>1.819</v>
      </c>
      <c r="Q19" s="3">
        <v>92.35</v>
      </c>
      <c r="R19" s="3">
        <v>5.94</v>
      </c>
      <c r="S19" s="3">
        <v>51.93</v>
      </c>
    </row>
    <row r="20" spans="1:19" ht="15.75" customHeight="1" x14ac:dyDescent="0.3">
      <c r="A20" s="2">
        <v>43949</v>
      </c>
      <c r="B20" s="3">
        <v>26.75</v>
      </c>
      <c r="C20" s="3">
        <v>34.56</v>
      </c>
      <c r="D20" s="3">
        <v>44.69</v>
      </c>
      <c r="E20" s="3">
        <v>44.53</v>
      </c>
      <c r="F20" s="3">
        <v>41.81</v>
      </c>
      <c r="G20" s="3">
        <v>12.34</v>
      </c>
      <c r="H20" s="3">
        <v>20.46</v>
      </c>
      <c r="I20" s="3">
        <v>20.41</v>
      </c>
      <c r="J20" s="3">
        <v>44.97</v>
      </c>
      <c r="K20" s="3">
        <v>13.94</v>
      </c>
      <c r="L20" s="3">
        <v>50029.22</v>
      </c>
      <c r="M20" s="3">
        <v>41940.99</v>
      </c>
      <c r="N20" s="3">
        <v>2</v>
      </c>
      <c r="O20" s="3">
        <v>5.3519999999999998E-2</v>
      </c>
      <c r="P20" s="3">
        <v>1.794</v>
      </c>
      <c r="Q20" s="3">
        <v>90.29</v>
      </c>
      <c r="R20" s="3">
        <v>6.1449999999999996</v>
      </c>
      <c r="S20" s="3">
        <v>52.07</v>
      </c>
    </row>
    <row r="21" spans="1:19" ht="15.75" customHeight="1" x14ac:dyDescent="0.3">
      <c r="A21" s="2">
        <v>43950</v>
      </c>
      <c r="B21" s="3">
        <v>26.75</v>
      </c>
      <c r="C21" s="3">
        <v>34.56</v>
      </c>
      <c r="D21" s="3">
        <v>44.69</v>
      </c>
      <c r="E21" s="3">
        <v>44.53</v>
      </c>
      <c r="F21" s="3">
        <v>41.81</v>
      </c>
      <c r="G21" s="3">
        <v>15.06</v>
      </c>
      <c r="H21" s="3">
        <v>22.54</v>
      </c>
      <c r="I21" s="3">
        <v>20.38</v>
      </c>
      <c r="J21" s="3">
        <v>47.46</v>
      </c>
      <c r="K21" s="3">
        <v>13.86</v>
      </c>
      <c r="L21" s="3">
        <v>50857.25</v>
      </c>
      <c r="M21" s="3">
        <v>43399.68</v>
      </c>
      <c r="N21" s="3">
        <v>2</v>
      </c>
      <c r="O21" s="3">
        <v>5.5059999999999998E-2</v>
      </c>
      <c r="P21" s="3">
        <v>1.869</v>
      </c>
      <c r="Q21" s="3">
        <v>90.7</v>
      </c>
      <c r="R21" s="3">
        <v>6.0149999999999997</v>
      </c>
      <c r="S21" s="3">
        <v>51.93</v>
      </c>
    </row>
    <row r="22" spans="1:19" ht="15.75" customHeight="1" x14ac:dyDescent="0.3">
      <c r="A22" s="2">
        <v>43951</v>
      </c>
      <c r="B22" s="3">
        <v>26.75</v>
      </c>
      <c r="C22" s="3">
        <v>34.56</v>
      </c>
      <c r="D22" s="3">
        <v>44.69</v>
      </c>
      <c r="E22" s="3">
        <v>44.53</v>
      </c>
      <c r="F22" s="3">
        <v>41.81</v>
      </c>
      <c r="G22" s="3">
        <v>18.84</v>
      </c>
      <c r="H22" s="3">
        <v>25.27</v>
      </c>
      <c r="I22" s="3">
        <v>20.39</v>
      </c>
      <c r="J22" s="3">
        <v>46.47</v>
      </c>
      <c r="K22" s="5">
        <f t="shared" ref="K22:K23" si="6">FORECAST(A22,K16:K21,A16:A21)</f>
        <v>13.933654618473838</v>
      </c>
      <c r="L22" s="3">
        <v>50336.72</v>
      </c>
      <c r="M22" s="3">
        <v>42395.73</v>
      </c>
      <c r="N22" s="3">
        <v>2.0049999999999999</v>
      </c>
      <c r="O22" s="3">
        <v>5.3929999999999999E-2</v>
      </c>
      <c r="P22" s="3">
        <v>1.9490000000000001</v>
      </c>
      <c r="Q22" s="3">
        <v>89.45</v>
      </c>
      <c r="R22" s="3">
        <v>6.22</v>
      </c>
      <c r="S22" s="3">
        <v>49.97</v>
      </c>
    </row>
    <row r="23" spans="1:19" ht="15.75" customHeight="1" x14ac:dyDescent="0.3">
      <c r="A23" s="2">
        <v>43952</v>
      </c>
      <c r="B23" s="3">
        <v>30</v>
      </c>
      <c r="C23" s="3">
        <v>37.97</v>
      </c>
      <c r="D23" s="3">
        <v>47.89</v>
      </c>
      <c r="E23" s="3">
        <v>49.47</v>
      </c>
      <c r="F23" s="3">
        <v>42.99</v>
      </c>
      <c r="G23" s="3">
        <v>19.78</v>
      </c>
      <c r="H23" s="3">
        <v>26.44</v>
      </c>
      <c r="I23" s="3">
        <v>25.3</v>
      </c>
      <c r="J23" s="3">
        <v>43.14</v>
      </c>
      <c r="K23" s="5">
        <f t="shared" si="6"/>
        <v>13.978932381887944</v>
      </c>
      <c r="L23" s="5">
        <f>FORECAST(A23,L17:L22,A17:A22)</f>
        <v>50522.914509917609</v>
      </c>
      <c r="M23" s="5">
        <f>FORECAST(A23,M17:M22,A17:A22)</f>
        <v>42598.959317944769</v>
      </c>
      <c r="N23" s="3">
        <v>2</v>
      </c>
      <c r="O23" s="3">
        <v>5.3120000000000001E-2</v>
      </c>
      <c r="P23" s="3">
        <v>1.89</v>
      </c>
      <c r="Q23" s="3">
        <v>88.67</v>
      </c>
      <c r="R23" s="3">
        <v>5.8449999999999998</v>
      </c>
      <c r="S23" s="1">
        <f>S24</f>
        <v>48.18</v>
      </c>
    </row>
    <row r="24" spans="1:19" ht="15.75" customHeight="1" x14ac:dyDescent="0.3">
      <c r="A24" s="2">
        <v>43955</v>
      </c>
      <c r="B24" s="3">
        <v>30</v>
      </c>
      <c r="C24" s="3">
        <v>37.97</v>
      </c>
      <c r="D24" s="3">
        <v>47.89</v>
      </c>
      <c r="E24" s="3">
        <v>49.47</v>
      </c>
      <c r="F24" s="3">
        <v>42.99</v>
      </c>
      <c r="G24" s="3">
        <v>20.39</v>
      </c>
      <c r="H24" s="3">
        <v>27.2</v>
      </c>
      <c r="I24" s="3">
        <v>26.2</v>
      </c>
      <c r="J24" s="3">
        <v>44.88</v>
      </c>
      <c r="K24" s="3">
        <v>13.12</v>
      </c>
      <c r="L24" s="3">
        <v>49186.59</v>
      </c>
      <c r="M24" s="3">
        <v>41596.42</v>
      </c>
      <c r="N24" s="3">
        <v>2</v>
      </c>
      <c r="O24" s="3">
        <v>5.3740000000000003E-2</v>
      </c>
      <c r="P24" s="3">
        <v>1.9930000000000001</v>
      </c>
      <c r="Q24" s="3">
        <v>89.67</v>
      </c>
      <c r="R24" s="3">
        <v>5.74</v>
      </c>
      <c r="S24" s="3">
        <v>48.18</v>
      </c>
    </row>
    <row r="25" spans="1:19" ht="15.75" customHeight="1" x14ac:dyDescent="0.3">
      <c r="A25" s="2">
        <v>43956</v>
      </c>
      <c r="B25" s="3">
        <v>30</v>
      </c>
      <c r="C25" s="3">
        <v>37.97</v>
      </c>
      <c r="D25" s="3">
        <v>47.89</v>
      </c>
      <c r="E25" s="3">
        <v>49.47</v>
      </c>
      <c r="F25" s="3">
        <v>42.99</v>
      </c>
      <c r="G25" s="3">
        <v>24.56</v>
      </c>
      <c r="H25" s="3">
        <v>30.97</v>
      </c>
      <c r="I25" s="3">
        <v>28.94</v>
      </c>
      <c r="J25" s="3">
        <v>44.83</v>
      </c>
      <c r="K25" s="3">
        <v>13.2</v>
      </c>
      <c r="L25" s="3">
        <v>49184.160000000003</v>
      </c>
      <c r="M25" s="3">
        <v>40974.9</v>
      </c>
      <c r="N25" s="3">
        <v>2.02</v>
      </c>
      <c r="O25" s="3">
        <v>5.3969999999999997E-2</v>
      </c>
      <c r="P25" s="3">
        <v>2.1339999999999999</v>
      </c>
      <c r="Q25" s="3">
        <v>92.97</v>
      </c>
      <c r="R25" s="3">
        <v>5.6749999999999998</v>
      </c>
      <c r="S25" s="3">
        <v>47.25</v>
      </c>
    </row>
    <row r="26" spans="1:19" ht="15.75" customHeight="1" x14ac:dyDescent="0.3">
      <c r="A26" s="2">
        <v>43957</v>
      </c>
      <c r="B26" s="3">
        <v>30</v>
      </c>
      <c r="C26" s="3">
        <v>37.97</v>
      </c>
      <c r="D26" s="3">
        <v>47.89</v>
      </c>
      <c r="E26" s="3">
        <v>49.47</v>
      </c>
      <c r="F26" s="3">
        <v>42.99</v>
      </c>
      <c r="G26" s="3">
        <v>23.99</v>
      </c>
      <c r="H26" s="3">
        <v>29.72</v>
      </c>
      <c r="I26" s="3">
        <v>27.35</v>
      </c>
      <c r="J26" s="3">
        <v>43.99</v>
      </c>
      <c r="K26" s="3">
        <v>13.5</v>
      </c>
      <c r="L26" s="3">
        <v>49831.99</v>
      </c>
      <c r="M26" s="3">
        <v>42138.64</v>
      </c>
      <c r="N26" s="3">
        <v>2.02</v>
      </c>
      <c r="O26" s="3">
        <v>5.3319999999999999E-2</v>
      </c>
      <c r="P26" s="3">
        <v>1.944</v>
      </c>
      <c r="Q26" s="3">
        <v>91.74</v>
      </c>
      <c r="R26" s="3">
        <v>5.7649999999999997</v>
      </c>
      <c r="S26" s="3">
        <v>48.65</v>
      </c>
    </row>
    <row r="27" spans="1:19" ht="15.75" customHeight="1" x14ac:dyDescent="0.3">
      <c r="A27" s="2">
        <v>43958</v>
      </c>
      <c r="B27" s="3">
        <v>31.61</v>
      </c>
      <c r="C27" s="3">
        <v>40.68</v>
      </c>
      <c r="D27" s="3">
        <v>50.66</v>
      </c>
      <c r="E27" s="3">
        <v>51.91</v>
      </c>
      <c r="F27" s="3">
        <v>45.77</v>
      </c>
      <c r="G27" s="3">
        <v>23.55</v>
      </c>
      <c r="H27" s="3">
        <v>29.46</v>
      </c>
      <c r="I27" s="3">
        <v>27.14</v>
      </c>
      <c r="J27" s="3">
        <v>44.24</v>
      </c>
      <c r="K27" s="3">
        <v>13.4</v>
      </c>
      <c r="L27" s="3">
        <v>50019.7</v>
      </c>
      <c r="M27" s="3">
        <v>42515.31</v>
      </c>
      <c r="N27" s="3">
        <v>2.0249999999999999</v>
      </c>
      <c r="O27" s="3">
        <v>5.3760000000000002E-2</v>
      </c>
      <c r="P27" s="3">
        <v>1.8939999999999999</v>
      </c>
      <c r="Q27" s="3">
        <v>93.09</v>
      </c>
      <c r="R27" s="3">
        <v>5.8449999999999998</v>
      </c>
      <c r="S27" s="3">
        <v>48.23</v>
      </c>
    </row>
    <row r="28" spans="1:19" ht="15.75" customHeight="1" x14ac:dyDescent="0.3">
      <c r="A28" s="2">
        <v>43959</v>
      </c>
      <c r="B28" s="1">
        <f t="shared" ref="B28:D28" si="7">B27</f>
        <v>31.61</v>
      </c>
      <c r="C28" s="1">
        <f t="shared" si="7"/>
        <v>40.68</v>
      </c>
      <c r="D28" s="1">
        <f t="shared" si="7"/>
        <v>50.66</v>
      </c>
      <c r="E28" s="3">
        <v>51.91</v>
      </c>
      <c r="F28" s="1">
        <f>F27</f>
        <v>45.77</v>
      </c>
      <c r="G28" s="3">
        <v>24.74</v>
      </c>
      <c r="H28" s="3">
        <v>30.97</v>
      </c>
      <c r="I28" s="3">
        <v>28.54</v>
      </c>
      <c r="J28" s="3">
        <v>46.18</v>
      </c>
      <c r="K28" s="3">
        <v>13.5</v>
      </c>
      <c r="L28" s="3">
        <v>51003.58</v>
      </c>
      <c r="M28" s="3">
        <v>43637.3</v>
      </c>
      <c r="N28" s="3">
        <v>2.0299999999999998</v>
      </c>
      <c r="O28" s="3">
        <v>5.4460000000000001E-2</v>
      </c>
      <c r="P28" s="3">
        <v>1.823</v>
      </c>
      <c r="Q28" s="3">
        <v>93.52</v>
      </c>
      <c r="R28" s="3">
        <v>5.83</v>
      </c>
      <c r="S28" s="3">
        <v>48</v>
      </c>
    </row>
    <row r="29" spans="1:19" ht="15.75" customHeight="1" x14ac:dyDescent="0.3">
      <c r="A29" s="2">
        <v>43962</v>
      </c>
      <c r="B29" s="3">
        <v>31.61</v>
      </c>
      <c r="C29" s="3">
        <v>40.68</v>
      </c>
      <c r="D29" s="3">
        <v>50.66</v>
      </c>
      <c r="E29" s="3">
        <v>51.91</v>
      </c>
      <c r="F29" s="3">
        <v>45.77</v>
      </c>
      <c r="G29" s="3">
        <v>24.14</v>
      </c>
      <c r="H29" s="3">
        <v>29.63</v>
      </c>
      <c r="I29" s="3">
        <v>27.27</v>
      </c>
      <c r="J29" s="3">
        <v>45.74</v>
      </c>
      <c r="K29" s="3">
        <v>13.58</v>
      </c>
      <c r="L29" s="3">
        <v>50202.85</v>
      </c>
      <c r="M29" s="3">
        <v>41414.199999999997</v>
      </c>
      <c r="N29" s="3">
        <v>2.04</v>
      </c>
      <c r="O29" s="3">
        <v>5.4239999999999997E-2</v>
      </c>
      <c r="P29" s="3">
        <v>1.8260000000000001</v>
      </c>
      <c r="Q29" s="3">
        <v>94.1</v>
      </c>
      <c r="R29" s="3">
        <v>5.7050000000000001</v>
      </c>
      <c r="S29" s="3">
        <v>48.35</v>
      </c>
    </row>
    <row r="30" spans="1:19" ht="15.75" customHeight="1" x14ac:dyDescent="0.3">
      <c r="A30" s="2">
        <v>43963</v>
      </c>
      <c r="B30" s="3">
        <v>31.61</v>
      </c>
      <c r="C30" s="3">
        <v>40.68</v>
      </c>
      <c r="D30" s="3">
        <v>50.66</v>
      </c>
      <c r="E30" s="3">
        <v>51.91</v>
      </c>
      <c r="F30" s="3">
        <v>45.77</v>
      </c>
      <c r="G30" s="3">
        <v>25.78</v>
      </c>
      <c r="H30" s="3">
        <v>29.98</v>
      </c>
      <c r="I30" s="3">
        <v>26.81</v>
      </c>
      <c r="J30" s="3">
        <v>44.12</v>
      </c>
      <c r="K30" s="3">
        <v>13.4</v>
      </c>
      <c r="L30" s="3">
        <v>50319.41</v>
      </c>
      <c r="M30" s="3">
        <v>42000.21</v>
      </c>
      <c r="N30" s="3">
        <v>2.1150000000000002</v>
      </c>
      <c r="O30" s="3">
        <v>5.4239999999999997E-2</v>
      </c>
      <c r="P30" s="3">
        <v>1.72</v>
      </c>
      <c r="Q30" s="3">
        <v>92.55</v>
      </c>
      <c r="R30" s="3">
        <v>5.3150000000000004</v>
      </c>
      <c r="S30" s="3">
        <v>48.17</v>
      </c>
    </row>
    <row r="31" spans="1:19" ht="15.75" customHeight="1" x14ac:dyDescent="0.3">
      <c r="A31" s="2">
        <v>43964</v>
      </c>
      <c r="B31" s="3">
        <v>31.61</v>
      </c>
      <c r="C31" s="3">
        <v>40.68</v>
      </c>
      <c r="D31" s="3">
        <v>50.66</v>
      </c>
      <c r="E31" s="3">
        <v>51.91</v>
      </c>
      <c r="F31" s="3">
        <v>45.77</v>
      </c>
      <c r="G31" s="3">
        <v>25.29</v>
      </c>
      <c r="H31" s="3">
        <v>29.19</v>
      </c>
      <c r="I31" s="3">
        <v>26.68</v>
      </c>
      <c r="J31" s="3">
        <v>41.93</v>
      </c>
      <c r="K31" s="3">
        <v>13.36</v>
      </c>
      <c r="L31" s="3">
        <v>50152.05</v>
      </c>
      <c r="M31" s="3">
        <v>41336.720000000001</v>
      </c>
      <c r="N31" s="3">
        <v>2.1150000000000002</v>
      </c>
      <c r="O31" s="3">
        <v>5.4030000000000002E-2</v>
      </c>
      <c r="P31" s="3">
        <v>1.6160000000000001</v>
      </c>
      <c r="Q31" s="3">
        <v>93.3</v>
      </c>
      <c r="R31" s="3">
        <v>5.12</v>
      </c>
      <c r="S31" s="3">
        <v>51.6</v>
      </c>
    </row>
    <row r="32" spans="1:19" ht="15.75" customHeight="1" x14ac:dyDescent="0.3">
      <c r="A32" s="2">
        <v>43965</v>
      </c>
      <c r="B32" s="3">
        <v>31.61</v>
      </c>
      <c r="C32" s="3">
        <v>40.68</v>
      </c>
      <c r="D32" s="3">
        <v>50.66</v>
      </c>
      <c r="E32" s="3">
        <v>51.91</v>
      </c>
      <c r="F32" s="3">
        <v>45.77</v>
      </c>
      <c r="G32" s="3">
        <v>27.56</v>
      </c>
      <c r="H32" s="3">
        <v>31.13</v>
      </c>
      <c r="I32" s="3">
        <v>29.2</v>
      </c>
      <c r="J32" s="3">
        <v>42.3</v>
      </c>
      <c r="K32" s="3">
        <v>13.16</v>
      </c>
      <c r="L32" s="3">
        <v>49113.06</v>
      </c>
      <c r="M32" s="3">
        <v>41249.56</v>
      </c>
      <c r="N32" s="3">
        <v>2.11</v>
      </c>
      <c r="O32" s="3">
        <v>5.4239999999999997E-2</v>
      </c>
      <c r="P32" s="3">
        <v>1.681</v>
      </c>
      <c r="Q32" s="3">
        <v>93.25</v>
      </c>
      <c r="R32" s="3">
        <v>5.2649999999999997</v>
      </c>
      <c r="S32" s="3">
        <v>51.72</v>
      </c>
    </row>
    <row r="33" spans="1:19" ht="15.75" customHeight="1" x14ac:dyDescent="0.3">
      <c r="A33" s="2">
        <v>43966</v>
      </c>
      <c r="B33" s="3">
        <v>32.979999999999997</v>
      </c>
      <c r="C33" s="3">
        <v>42.39</v>
      </c>
      <c r="D33" s="3">
        <v>52.37</v>
      </c>
      <c r="E33" s="3">
        <v>53.17</v>
      </c>
      <c r="F33" s="3">
        <v>48.75</v>
      </c>
      <c r="G33" s="3">
        <v>29.43</v>
      </c>
      <c r="H33" s="3">
        <v>32.5</v>
      </c>
      <c r="I33" s="3">
        <v>29.8</v>
      </c>
      <c r="J33" s="3">
        <v>42</v>
      </c>
      <c r="K33" s="3">
        <v>13.14</v>
      </c>
      <c r="L33" s="3">
        <v>49628.72</v>
      </c>
      <c r="M33" s="3">
        <v>43330.28</v>
      </c>
      <c r="N33" s="3">
        <v>2.105</v>
      </c>
      <c r="O33" s="3">
        <v>5.3839999999999999E-2</v>
      </c>
      <c r="P33" s="3">
        <v>1.6459999999999999</v>
      </c>
      <c r="Q33" s="3">
        <v>93.47</v>
      </c>
      <c r="R33" s="3">
        <v>5.22</v>
      </c>
      <c r="S33" s="3">
        <v>53.37</v>
      </c>
    </row>
    <row r="34" spans="1:19" ht="15.75" customHeight="1" x14ac:dyDescent="0.3">
      <c r="A34" s="2">
        <v>43969</v>
      </c>
      <c r="B34" s="3">
        <v>32.979999999999997</v>
      </c>
      <c r="C34" s="3">
        <v>42.39</v>
      </c>
      <c r="D34" s="3">
        <v>52.37</v>
      </c>
      <c r="E34" s="3">
        <v>53.17</v>
      </c>
      <c r="F34" s="3">
        <v>48.75</v>
      </c>
      <c r="G34" s="3">
        <v>31.82</v>
      </c>
      <c r="H34" s="3">
        <v>34.81</v>
      </c>
      <c r="I34" s="3">
        <v>30.55</v>
      </c>
      <c r="J34" s="3">
        <v>45.34</v>
      </c>
      <c r="K34" s="3">
        <v>13.48</v>
      </c>
      <c r="L34" s="3">
        <v>51382.06</v>
      </c>
      <c r="M34" s="3">
        <v>46198.33</v>
      </c>
      <c r="N34" s="3">
        <v>2.2799999999999998</v>
      </c>
      <c r="O34" s="3">
        <v>5.4460000000000001E-2</v>
      </c>
      <c r="P34" s="3">
        <v>1.7829999999999999</v>
      </c>
      <c r="Q34" s="3">
        <v>96</v>
      </c>
      <c r="R34" s="3">
        <v>4.92</v>
      </c>
      <c r="S34" s="3">
        <v>53.02</v>
      </c>
    </row>
    <row r="35" spans="1:19" ht="14.4" x14ac:dyDescent="0.3">
      <c r="A35" s="2">
        <v>43970</v>
      </c>
      <c r="B35" s="3">
        <v>32.979999999999997</v>
      </c>
      <c r="C35" s="3">
        <v>42.39</v>
      </c>
      <c r="D35" s="3">
        <v>52.37</v>
      </c>
      <c r="E35" s="3">
        <v>53.17</v>
      </c>
      <c r="F35" s="3">
        <v>48.75</v>
      </c>
      <c r="G35" s="3">
        <v>32.5</v>
      </c>
      <c r="H35" s="3">
        <v>34.65</v>
      </c>
      <c r="I35" s="3">
        <v>30.42</v>
      </c>
      <c r="J35" s="3">
        <v>43.94</v>
      </c>
      <c r="K35" s="3">
        <v>14</v>
      </c>
      <c r="L35" s="3">
        <v>51950.14</v>
      </c>
      <c r="M35" s="3">
        <v>46576.23</v>
      </c>
      <c r="N35" s="3">
        <v>2.2149999999999999</v>
      </c>
      <c r="O35" s="3">
        <v>5.4519999999999999E-2</v>
      </c>
      <c r="P35" s="3">
        <v>1.83</v>
      </c>
      <c r="Q35" s="3">
        <v>92.96</v>
      </c>
      <c r="R35" s="3">
        <v>4.6100000000000003</v>
      </c>
      <c r="S35" s="3">
        <v>54.47</v>
      </c>
    </row>
    <row r="36" spans="1:19" ht="14.4" x14ac:dyDescent="0.3">
      <c r="A36" s="2">
        <v>43971</v>
      </c>
      <c r="B36" s="3">
        <v>32.979999999999997</v>
      </c>
      <c r="C36" s="3">
        <v>42.39</v>
      </c>
      <c r="D36" s="3">
        <v>52.37</v>
      </c>
      <c r="E36" s="3">
        <v>53.17</v>
      </c>
      <c r="F36" s="3">
        <v>48.75</v>
      </c>
      <c r="G36" s="3">
        <v>33.49</v>
      </c>
      <c r="H36" s="3">
        <v>35.75</v>
      </c>
      <c r="I36" s="3">
        <v>30.57</v>
      </c>
      <c r="J36" s="3">
        <v>45.37</v>
      </c>
      <c r="K36" s="3">
        <v>14.04</v>
      </c>
      <c r="L36" s="3">
        <v>52142.75</v>
      </c>
      <c r="M36" s="3">
        <v>46237.15</v>
      </c>
      <c r="N36" s="3">
        <v>2.1949999999999998</v>
      </c>
      <c r="O36" s="3">
        <v>5.5759999999999997E-2</v>
      </c>
      <c r="P36" s="3">
        <v>1.7709999999999999</v>
      </c>
      <c r="Q36" s="3">
        <v>93.45</v>
      </c>
      <c r="R36" s="3">
        <v>4.46</v>
      </c>
      <c r="S36" s="3">
        <v>54.68</v>
      </c>
    </row>
    <row r="37" spans="1:19" ht="14.4" x14ac:dyDescent="0.3">
      <c r="A37" s="2">
        <v>43972</v>
      </c>
      <c r="B37" s="3">
        <v>32.979999999999997</v>
      </c>
      <c r="C37" s="3">
        <v>42.39</v>
      </c>
      <c r="D37" s="3">
        <v>52.37</v>
      </c>
      <c r="E37" s="3">
        <v>53.17</v>
      </c>
      <c r="F37" s="3">
        <v>48.75</v>
      </c>
      <c r="G37" s="3">
        <v>33.92</v>
      </c>
      <c r="H37" s="3">
        <v>36.06</v>
      </c>
      <c r="I37" s="3">
        <v>30.62</v>
      </c>
      <c r="J37" s="3">
        <v>44.56</v>
      </c>
      <c r="K37" s="3">
        <v>14.04</v>
      </c>
      <c r="L37" s="3">
        <v>51022.76</v>
      </c>
      <c r="M37" s="3">
        <v>44356.55</v>
      </c>
      <c r="N37" s="3">
        <v>2.0950000000000002</v>
      </c>
      <c r="O37" s="3">
        <v>5.6840000000000002E-2</v>
      </c>
      <c r="P37" s="3">
        <v>1.71</v>
      </c>
      <c r="Q37" s="3">
        <v>92.86</v>
      </c>
      <c r="R37" s="3">
        <v>3.8250000000000002</v>
      </c>
      <c r="S37" s="3">
        <v>54.67</v>
      </c>
    </row>
    <row r="38" spans="1:19" ht="14.4" x14ac:dyDescent="0.3">
      <c r="A38" s="2">
        <v>43973</v>
      </c>
      <c r="B38" s="3">
        <v>33.86</v>
      </c>
      <c r="C38" s="3">
        <v>42.98</v>
      </c>
      <c r="D38" s="3">
        <v>52.33</v>
      </c>
      <c r="E38" s="3">
        <v>54.93</v>
      </c>
      <c r="F38" s="3">
        <v>50.16</v>
      </c>
      <c r="G38" s="3">
        <v>33.25</v>
      </c>
      <c r="H38" s="3">
        <v>35.130000000000003</v>
      </c>
      <c r="I38" s="3">
        <v>30.34</v>
      </c>
      <c r="J38" s="3">
        <v>44.6</v>
      </c>
      <c r="K38" s="3">
        <v>13.3</v>
      </c>
      <c r="L38" s="3">
        <v>50147.21</v>
      </c>
      <c r="M38" s="3">
        <v>43810.47</v>
      </c>
      <c r="N38" s="3">
        <v>2.0049999999999999</v>
      </c>
      <c r="O38" s="3">
        <v>5.6809999999999999E-2</v>
      </c>
      <c r="P38" s="3">
        <v>1.7310000000000001</v>
      </c>
      <c r="Q38" s="3">
        <v>93.77</v>
      </c>
      <c r="R38" s="3">
        <v>3.89</v>
      </c>
      <c r="S38" s="3">
        <v>54.92</v>
      </c>
    </row>
    <row r="39" spans="1:19" ht="14.4" x14ac:dyDescent="0.3">
      <c r="A39" s="2">
        <v>43976</v>
      </c>
      <c r="B39" s="1">
        <f t="shared" ref="B39:F39" si="8">B38</f>
        <v>33.86</v>
      </c>
      <c r="C39" s="1">
        <f t="shared" si="8"/>
        <v>42.98</v>
      </c>
      <c r="D39" s="1">
        <f t="shared" si="8"/>
        <v>52.33</v>
      </c>
      <c r="E39" s="1">
        <f t="shared" si="8"/>
        <v>54.93</v>
      </c>
      <c r="F39" s="1">
        <f t="shared" si="8"/>
        <v>50.16</v>
      </c>
      <c r="G39" s="3">
        <v>33.92</v>
      </c>
      <c r="H39" s="3">
        <v>35.53</v>
      </c>
      <c r="I39" s="1">
        <f>(I38+I40)/2</f>
        <v>30.465</v>
      </c>
      <c r="J39" s="1">
        <f>(J38+J40)/2</f>
        <v>45.254999999999995</v>
      </c>
      <c r="K39" s="3">
        <v>13.54</v>
      </c>
      <c r="L39" s="3">
        <v>50074.21</v>
      </c>
      <c r="M39" s="3">
        <v>44102.49</v>
      </c>
      <c r="N39" s="5">
        <f>FORECAST(A39,N33:N38,A33:A38)</f>
        <v>2.0641891891891646</v>
      </c>
      <c r="O39" s="3">
        <v>5.663E-2</v>
      </c>
      <c r="P39" s="3">
        <v>1.8640000000000001</v>
      </c>
      <c r="Q39" s="1">
        <f>AVERAGE(Q38,Q40)</f>
        <v>94</v>
      </c>
      <c r="R39" s="5">
        <f>AVERAGE(R38,R40)</f>
        <v>4.0075000000000003</v>
      </c>
      <c r="S39" s="1">
        <f>S40</f>
        <v>54.83</v>
      </c>
    </row>
    <row r="40" spans="1:19" ht="14.4" x14ac:dyDescent="0.3">
      <c r="A40" s="2">
        <v>43977</v>
      </c>
      <c r="B40" s="3">
        <v>33.86</v>
      </c>
      <c r="C40" s="3">
        <v>42.98</v>
      </c>
      <c r="D40" s="3">
        <v>52.33</v>
      </c>
      <c r="E40" s="3">
        <v>54.93</v>
      </c>
      <c r="F40" s="3">
        <v>50.16</v>
      </c>
      <c r="G40" s="3">
        <v>34.35</v>
      </c>
      <c r="H40" s="3">
        <v>36.17</v>
      </c>
      <c r="I40" s="3">
        <v>30.59</v>
      </c>
      <c r="J40" s="3">
        <v>45.91</v>
      </c>
      <c r="K40" s="3">
        <v>13.64</v>
      </c>
      <c r="L40" s="3">
        <v>50602.5</v>
      </c>
      <c r="M40" s="3">
        <v>43454.42</v>
      </c>
      <c r="N40" s="3">
        <v>2.1</v>
      </c>
      <c r="O40" s="3">
        <v>5.7430000000000002E-2</v>
      </c>
      <c r="P40" s="3">
        <v>1.7929999999999999</v>
      </c>
      <c r="Q40" s="3">
        <v>94.23</v>
      </c>
      <c r="R40" s="3">
        <v>4.125</v>
      </c>
      <c r="S40" s="3">
        <v>54.83</v>
      </c>
    </row>
    <row r="41" spans="1:19" ht="14.4" x14ac:dyDescent="0.3">
      <c r="A41" s="2">
        <v>43978</v>
      </c>
      <c r="B41" s="3">
        <v>33.86</v>
      </c>
      <c r="C41" s="3">
        <v>42.98</v>
      </c>
      <c r="D41" s="3">
        <v>52.33</v>
      </c>
      <c r="E41" s="3">
        <v>54.93</v>
      </c>
      <c r="F41" s="3">
        <v>50.16</v>
      </c>
      <c r="G41" s="3">
        <v>32.81</v>
      </c>
      <c r="H41" s="3">
        <v>34.74</v>
      </c>
      <c r="I41" s="3">
        <v>30.43</v>
      </c>
      <c r="J41" s="3">
        <v>46.24</v>
      </c>
      <c r="K41" s="3">
        <v>13.84</v>
      </c>
      <c r="L41" s="3">
        <v>50495.95</v>
      </c>
      <c r="M41" s="3">
        <v>43374.39</v>
      </c>
      <c r="N41" s="3">
        <v>2</v>
      </c>
      <c r="O41" s="3">
        <v>5.7480000000000003E-2</v>
      </c>
      <c r="P41" s="3">
        <v>1.722</v>
      </c>
      <c r="Q41" s="3">
        <v>92.83</v>
      </c>
      <c r="R41" s="3">
        <v>3.6949999999999998</v>
      </c>
      <c r="S41" s="3">
        <v>54.73</v>
      </c>
    </row>
    <row r="42" spans="1:19" ht="14.4" x14ac:dyDescent="0.3">
      <c r="A42" s="2">
        <v>43979</v>
      </c>
      <c r="B42" s="3">
        <v>33.86</v>
      </c>
      <c r="C42" s="3">
        <v>42.98</v>
      </c>
      <c r="D42" s="3">
        <v>52.33</v>
      </c>
      <c r="E42" s="3">
        <v>54.93</v>
      </c>
      <c r="F42" s="3">
        <v>50.16</v>
      </c>
      <c r="G42" s="3">
        <v>33.71</v>
      </c>
      <c r="H42" s="3">
        <v>35.29</v>
      </c>
      <c r="I42" s="3">
        <v>30.51</v>
      </c>
      <c r="J42" s="3">
        <v>45.04</v>
      </c>
      <c r="K42" s="3">
        <v>14.14</v>
      </c>
      <c r="L42" s="3">
        <v>51389.120000000003</v>
      </c>
      <c r="M42" s="3">
        <v>44957.26</v>
      </c>
      <c r="N42" s="3">
        <v>2.02</v>
      </c>
      <c r="O42" s="3">
        <v>5.7049999999999997E-2</v>
      </c>
      <c r="P42" s="3">
        <v>1.827</v>
      </c>
      <c r="Q42" s="3">
        <v>94.87</v>
      </c>
      <c r="R42" s="3">
        <v>3.51</v>
      </c>
      <c r="S42" s="3">
        <v>54.87</v>
      </c>
    </row>
    <row r="43" spans="1:19" ht="14.4" x14ac:dyDescent="0.3">
      <c r="A43" s="2">
        <v>43980</v>
      </c>
      <c r="B43" s="3">
        <v>34.53</v>
      </c>
      <c r="C43" s="3">
        <v>43.62</v>
      </c>
      <c r="D43" s="3">
        <v>53.26</v>
      </c>
      <c r="E43" s="3">
        <v>55.27</v>
      </c>
      <c r="F43" s="3">
        <v>50.96</v>
      </c>
      <c r="G43" s="3">
        <v>35.49</v>
      </c>
      <c r="H43" s="3">
        <v>35.33</v>
      </c>
      <c r="I43" s="3">
        <v>30.47</v>
      </c>
      <c r="J43" s="3">
        <v>45.47</v>
      </c>
      <c r="K43" s="3">
        <v>14.16</v>
      </c>
      <c r="L43" s="3">
        <v>50483</v>
      </c>
      <c r="M43" s="3">
        <v>44896.14</v>
      </c>
      <c r="N43" s="3">
        <v>2.0649999999999999</v>
      </c>
      <c r="O43" s="3">
        <v>5.6959999999999997E-2</v>
      </c>
      <c r="P43" s="3">
        <v>1.849</v>
      </c>
      <c r="Q43" s="3">
        <v>97.25</v>
      </c>
      <c r="R43" s="3">
        <v>4.3849999999999998</v>
      </c>
      <c r="S43" s="3">
        <v>54.6</v>
      </c>
    </row>
    <row r="44" spans="1:19" ht="14.4" x14ac:dyDescent="0.3">
      <c r="A44" s="2">
        <v>43983</v>
      </c>
      <c r="B44" s="3">
        <v>34.53</v>
      </c>
      <c r="C44" s="3">
        <v>43.62</v>
      </c>
      <c r="D44" s="3">
        <v>53.26</v>
      </c>
      <c r="E44" s="3">
        <v>55.27</v>
      </c>
      <c r="F44" s="3">
        <v>50.96</v>
      </c>
      <c r="G44" s="3">
        <v>35.44</v>
      </c>
      <c r="H44" s="3">
        <v>38.32</v>
      </c>
      <c r="I44" s="3">
        <v>38.32</v>
      </c>
      <c r="J44" s="3">
        <v>46.28</v>
      </c>
      <c r="K44" s="3">
        <v>14.32</v>
      </c>
      <c r="L44" s="3">
        <v>50929.59</v>
      </c>
      <c r="M44" s="3">
        <v>45207.98</v>
      </c>
      <c r="N44" s="3">
        <v>2</v>
      </c>
      <c r="O44" s="3">
        <v>5.7540000000000001E-2</v>
      </c>
      <c r="P44" s="3">
        <v>1.774</v>
      </c>
      <c r="Q44" s="3">
        <v>97.62</v>
      </c>
      <c r="R44" s="3">
        <v>4.0549999999999997</v>
      </c>
      <c r="S44" s="3">
        <v>57.7</v>
      </c>
    </row>
    <row r="45" spans="1:19" ht="14.4" x14ac:dyDescent="0.3">
      <c r="A45" s="2">
        <v>43984</v>
      </c>
      <c r="B45" s="3">
        <v>34.53</v>
      </c>
      <c r="C45" s="3">
        <v>43.62</v>
      </c>
      <c r="D45" s="3">
        <v>53.26</v>
      </c>
      <c r="E45" s="3">
        <v>55.27</v>
      </c>
      <c r="F45" s="3">
        <v>50.96</v>
      </c>
      <c r="G45" s="3">
        <v>36.81</v>
      </c>
      <c r="H45" s="3">
        <v>39.57</v>
      </c>
      <c r="I45" s="3">
        <v>39.17</v>
      </c>
      <c r="J45" s="3">
        <v>47.31</v>
      </c>
      <c r="K45" s="3">
        <v>14.54</v>
      </c>
      <c r="L45" s="3">
        <v>52496.86</v>
      </c>
      <c r="M45" s="3">
        <v>46637.55</v>
      </c>
      <c r="N45" s="3">
        <v>2.105</v>
      </c>
      <c r="O45" s="3">
        <v>5.824E-2</v>
      </c>
      <c r="P45" s="3">
        <v>1.7769999999999999</v>
      </c>
      <c r="Q45" s="3">
        <v>96.35</v>
      </c>
      <c r="R45" s="3">
        <v>4.8499999999999996</v>
      </c>
      <c r="S45" s="3">
        <v>56.48</v>
      </c>
    </row>
    <row r="46" spans="1:19" ht="14.4" x14ac:dyDescent="0.3">
      <c r="A46" s="2">
        <v>43985</v>
      </c>
      <c r="B46" s="3">
        <v>34.53</v>
      </c>
      <c r="C46" s="3">
        <v>43.62</v>
      </c>
      <c r="D46" s="3">
        <v>53.26</v>
      </c>
      <c r="E46" s="3">
        <v>55.27</v>
      </c>
      <c r="F46" s="3">
        <v>50.96</v>
      </c>
      <c r="G46" s="3">
        <v>37.29</v>
      </c>
      <c r="H46" s="3">
        <v>39.79</v>
      </c>
      <c r="I46" s="3">
        <v>39.26</v>
      </c>
      <c r="J46" s="3">
        <v>49.24</v>
      </c>
      <c r="K46" s="3">
        <v>14.64</v>
      </c>
      <c r="L46" s="3">
        <v>53645.279999999999</v>
      </c>
      <c r="M46" s="3">
        <v>46120</v>
      </c>
      <c r="N46" s="3">
        <v>2.1</v>
      </c>
      <c r="O46" s="3">
        <v>5.9029999999999999E-2</v>
      </c>
      <c r="P46" s="3">
        <v>1.821</v>
      </c>
      <c r="Q46" s="3">
        <v>97.88</v>
      </c>
      <c r="R46" s="3">
        <v>5.33</v>
      </c>
      <c r="S46" s="3">
        <v>58</v>
      </c>
    </row>
    <row r="47" spans="1:19" ht="14.4" x14ac:dyDescent="0.3">
      <c r="A47" s="2">
        <v>43986</v>
      </c>
      <c r="B47" s="3">
        <v>34.53</v>
      </c>
      <c r="C47" s="3">
        <v>43.62</v>
      </c>
      <c r="D47" s="3">
        <v>53.26</v>
      </c>
      <c r="E47" s="3">
        <v>55.27</v>
      </c>
      <c r="F47" s="3">
        <v>50.96</v>
      </c>
      <c r="G47" s="3">
        <v>37.409999999999997</v>
      </c>
      <c r="H47" s="3">
        <v>39.99</v>
      </c>
      <c r="I47" s="3">
        <v>39.15</v>
      </c>
      <c r="J47" s="3">
        <v>49.1</v>
      </c>
      <c r="K47" s="3">
        <v>13.08</v>
      </c>
      <c r="L47" s="3">
        <v>53204.79</v>
      </c>
      <c r="M47" s="3">
        <v>45911.11</v>
      </c>
      <c r="N47" s="3">
        <v>2.0699999999999998</v>
      </c>
      <c r="O47" s="3">
        <v>5.9089999999999997E-2</v>
      </c>
      <c r="P47" s="3">
        <v>1.8220000000000001</v>
      </c>
      <c r="Q47" s="3">
        <v>95.79</v>
      </c>
      <c r="R47" s="3">
        <v>5.39</v>
      </c>
      <c r="S47" s="3">
        <v>59.87</v>
      </c>
    </row>
    <row r="48" spans="1:19" ht="14.4" x14ac:dyDescent="0.3">
      <c r="A48" s="2">
        <v>43987</v>
      </c>
      <c r="B48" s="3">
        <v>36.700000000000003</v>
      </c>
      <c r="C48" s="3">
        <v>45.35</v>
      </c>
      <c r="D48" s="3">
        <v>55.02</v>
      </c>
      <c r="E48" s="3">
        <v>59.32</v>
      </c>
      <c r="F48" s="3">
        <v>53.47</v>
      </c>
      <c r="G48" s="3">
        <v>39.549999999999997</v>
      </c>
      <c r="H48" s="3">
        <v>42.3</v>
      </c>
      <c r="I48" s="3">
        <v>41.32</v>
      </c>
      <c r="J48" s="3">
        <v>53.08</v>
      </c>
      <c r="K48" s="3">
        <v>13.1</v>
      </c>
      <c r="L48" s="3">
        <v>54722.38</v>
      </c>
      <c r="M48" s="3">
        <v>46815.83</v>
      </c>
      <c r="N48" s="3">
        <v>2.0699999999999998</v>
      </c>
      <c r="O48" s="3">
        <v>5.9240000000000001E-2</v>
      </c>
      <c r="P48" s="3">
        <v>1.782</v>
      </c>
      <c r="Q48" s="3">
        <v>97.81</v>
      </c>
      <c r="R48" s="3">
        <v>5.71</v>
      </c>
      <c r="S48" s="3">
        <v>58.38</v>
      </c>
    </row>
    <row r="49" spans="1:19" ht="14.4" x14ac:dyDescent="0.3">
      <c r="A49" s="2">
        <v>43990</v>
      </c>
      <c r="B49" s="3">
        <v>36.700000000000003</v>
      </c>
      <c r="C49" s="3">
        <v>45.35</v>
      </c>
      <c r="D49" s="3">
        <v>55.02</v>
      </c>
      <c r="E49" s="3">
        <v>59.32</v>
      </c>
      <c r="F49" s="3">
        <v>53.47</v>
      </c>
      <c r="G49" s="3">
        <v>38.19</v>
      </c>
      <c r="H49" s="3">
        <v>40.799999999999997</v>
      </c>
      <c r="I49" s="3">
        <v>40.69</v>
      </c>
      <c r="J49" s="3">
        <v>54.74</v>
      </c>
      <c r="K49" s="3">
        <v>13.14</v>
      </c>
      <c r="L49" s="3">
        <v>54684.32</v>
      </c>
      <c r="M49" s="3">
        <v>47256.23</v>
      </c>
      <c r="N49" s="3">
        <v>2.0699999999999998</v>
      </c>
      <c r="O49" s="3">
        <v>5.994E-2</v>
      </c>
      <c r="P49" s="3">
        <v>1.7889999999999999</v>
      </c>
      <c r="Q49" s="3">
        <v>97.48</v>
      </c>
      <c r="R49" s="3">
        <v>5.25</v>
      </c>
      <c r="S49" s="3">
        <v>55.85</v>
      </c>
    </row>
    <row r="50" spans="1:19" ht="14.4" x14ac:dyDescent="0.3">
      <c r="A50" s="2">
        <v>43991</v>
      </c>
      <c r="B50" s="3">
        <v>36.700000000000003</v>
      </c>
      <c r="C50" s="3">
        <v>45.35</v>
      </c>
      <c r="D50" s="3">
        <v>55.02</v>
      </c>
      <c r="E50" s="3">
        <v>59.32</v>
      </c>
      <c r="F50" s="3">
        <v>53.47</v>
      </c>
      <c r="G50" s="3">
        <v>38.94</v>
      </c>
      <c r="H50" s="3">
        <v>41.18</v>
      </c>
      <c r="I50" s="3">
        <v>40.82</v>
      </c>
      <c r="J50" s="3">
        <v>53.52</v>
      </c>
      <c r="K50" s="3">
        <v>13.3</v>
      </c>
      <c r="L50" s="3">
        <v>54483.48</v>
      </c>
      <c r="M50" s="3">
        <v>47327.7</v>
      </c>
      <c r="N50" s="3">
        <v>2.06</v>
      </c>
      <c r="O50" s="3">
        <v>6.0080000000000001E-2</v>
      </c>
      <c r="P50" s="3">
        <v>1.7669999999999999</v>
      </c>
      <c r="Q50" s="3">
        <v>97.44</v>
      </c>
      <c r="R50" s="3">
        <v>4.8049999999999997</v>
      </c>
      <c r="S50" s="3">
        <v>54.8</v>
      </c>
    </row>
    <row r="51" spans="1:19" ht="14.4" x14ac:dyDescent="0.3">
      <c r="A51" s="2">
        <v>43992</v>
      </c>
      <c r="B51" s="3">
        <v>36.700000000000003</v>
      </c>
      <c r="C51" s="3">
        <v>45.35</v>
      </c>
      <c r="D51" s="3">
        <v>55.02</v>
      </c>
      <c r="E51" s="3">
        <v>59.32</v>
      </c>
      <c r="F51" s="3">
        <v>53.47</v>
      </c>
      <c r="G51" s="3">
        <v>39.6</v>
      </c>
      <c r="H51" s="3">
        <v>41.73</v>
      </c>
      <c r="I51" s="3">
        <v>41.52</v>
      </c>
      <c r="J51" s="3">
        <v>50.65</v>
      </c>
      <c r="K51" s="3">
        <v>13.08</v>
      </c>
      <c r="L51" s="3">
        <v>53672.63</v>
      </c>
      <c r="M51" s="3">
        <v>46300.61</v>
      </c>
      <c r="N51" s="3">
        <v>2.0699999999999998</v>
      </c>
      <c r="O51" s="3">
        <v>6.0560000000000003E-2</v>
      </c>
      <c r="P51" s="3">
        <v>1.78</v>
      </c>
      <c r="Q51" s="3">
        <v>97.31</v>
      </c>
      <c r="R51" s="3">
        <v>4.8</v>
      </c>
      <c r="S51" s="3">
        <v>57.75</v>
      </c>
    </row>
    <row r="52" spans="1:19" ht="14.4" x14ac:dyDescent="0.3">
      <c r="A52" s="2">
        <v>43993</v>
      </c>
      <c r="B52" s="3">
        <v>36.700000000000003</v>
      </c>
      <c r="C52" s="3">
        <v>45.35</v>
      </c>
      <c r="D52" s="3">
        <v>55.02</v>
      </c>
      <c r="E52" s="3">
        <v>59.32</v>
      </c>
      <c r="F52" s="3">
        <v>53.47</v>
      </c>
      <c r="G52" s="3">
        <v>36.340000000000003</v>
      </c>
      <c r="H52" s="3">
        <v>38.549999999999997</v>
      </c>
      <c r="I52" s="3">
        <v>39.44</v>
      </c>
      <c r="J52" s="3">
        <v>46.18</v>
      </c>
      <c r="K52" s="3">
        <v>12.76</v>
      </c>
      <c r="L52" s="3">
        <v>53295.3</v>
      </c>
      <c r="M52" s="3">
        <v>46560.26</v>
      </c>
      <c r="N52" s="3">
        <v>2.0699999999999998</v>
      </c>
      <c r="O52" s="3">
        <v>5.8180000000000003E-2</v>
      </c>
      <c r="P52" s="3">
        <v>1.8129999999999999</v>
      </c>
      <c r="Q52" s="3">
        <v>92.04</v>
      </c>
      <c r="R52" s="3">
        <v>4.99</v>
      </c>
      <c r="S52" s="3">
        <v>57.95</v>
      </c>
    </row>
    <row r="53" spans="1:19" ht="14.4" x14ac:dyDescent="0.3">
      <c r="A53" s="2">
        <v>43994</v>
      </c>
      <c r="B53" s="3">
        <v>34.1</v>
      </c>
      <c r="C53" s="3">
        <v>42</v>
      </c>
      <c r="D53" s="3">
        <v>51.58</v>
      </c>
      <c r="E53" s="3">
        <v>55.34</v>
      </c>
      <c r="F53" s="3">
        <v>50.81</v>
      </c>
      <c r="G53" s="3">
        <v>36.26</v>
      </c>
      <c r="H53" s="3">
        <v>38.729999999999997</v>
      </c>
      <c r="I53" s="3">
        <v>39.5</v>
      </c>
      <c r="J53" s="3">
        <v>47.17</v>
      </c>
      <c r="K53" s="3">
        <v>12.5</v>
      </c>
      <c r="L53" s="3">
        <v>53639.64</v>
      </c>
      <c r="M53" s="3">
        <v>46736.38</v>
      </c>
      <c r="N53" s="3">
        <v>2.0649999999999999</v>
      </c>
      <c r="O53" s="3">
        <v>5.858E-2</v>
      </c>
      <c r="P53" s="3">
        <v>1.7310000000000001</v>
      </c>
      <c r="Q53" s="3">
        <v>93.26</v>
      </c>
      <c r="R53" s="3">
        <v>5.2750000000000004</v>
      </c>
      <c r="S53" s="3">
        <v>57.22</v>
      </c>
    </row>
    <row r="54" spans="1:19" ht="14.4" x14ac:dyDescent="0.3">
      <c r="A54" s="2">
        <v>43997</v>
      </c>
      <c r="B54" s="3">
        <v>34.1</v>
      </c>
      <c r="C54" s="3">
        <v>42</v>
      </c>
      <c r="D54" s="3">
        <v>51.58</v>
      </c>
      <c r="E54" s="3">
        <v>55.34</v>
      </c>
      <c r="F54" s="3">
        <v>50.81</v>
      </c>
      <c r="G54" s="3">
        <v>37.119999999999997</v>
      </c>
      <c r="H54" s="3">
        <v>39.72</v>
      </c>
      <c r="I54" s="3">
        <v>39.85</v>
      </c>
      <c r="J54" s="3">
        <v>47.14</v>
      </c>
      <c r="K54" s="3">
        <v>12.34</v>
      </c>
      <c r="L54" s="3">
        <v>52270.2</v>
      </c>
      <c r="M54" s="3">
        <v>45144.32</v>
      </c>
      <c r="N54" s="3">
        <v>2.0630000000000002</v>
      </c>
      <c r="O54" s="3">
        <v>5.8409999999999997E-2</v>
      </c>
      <c r="P54" s="3">
        <v>1.669</v>
      </c>
      <c r="Q54" s="3">
        <v>93.77</v>
      </c>
      <c r="R54" s="3">
        <v>5.5149999999999997</v>
      </c>
      <c r="S54" s="3">
        <v>59.62</v>
      </c>
    </row>
    <row r="55" spans="1:19" ht="14.4" x14ac:dyDescent="0.3">
      <c r="A55" s="2">
        <v>43998</v>
      </c>
      <c r="B55" s="3">
        <v>34.1</v>
      </c>
      <c r="C55" s="3">
        <v>42</v>
      </c>
      <c r="D55" s="3">
        <v>51.58</v>
      </c>
      <c r="E55" s="3">
        <v>55.34</v>
      </c>
      <c r="F55" s="3">
        <v>50.81</v>
      </c>
      <c r="G55" s="3">
        <v>38.380000000000003</v>
      </c>
      <c r="H55" s="3">
        <v>40.96</v>
      </c>
      <c r="I55" s="3">
        <v>40.28</v>
      </c>
      <c r="J55" s="3">
        <v>48.2</v>
      </c>
      <c r="K55" s="3">
        <v>12.5</v>
      </c>
      <c r="L55" s="5">
        <f>FORECAST(A55,L49:L54,A49:A54)</f>
        <v>51948.67627027072</v>
      </c>
      <c r="M55" s="5">
        <f>FORECAST(A55,M49:M54,A49:A54)</f>
        <v>45070.139243243262</v>
      </c>
      <c r="N55" s="3">
        <v>2.25</v>
      </c>
      <c r="O55" s="3">
        <v>5.7970000000000001E-2</v>
      </c>
      <c r="P55" s="3">
        <v>1.6140000000000001</v>
      </c>
      <c r="Q55" s="3">
        <v>94.66</v>
      </c>
      <c r="R55" s="3">
        <v>5.26</v>
      </c>
      <c r="S55" s="3">
        <v>61.75</v>
      </c>
    </row>
    <row r="56" spans="1:19" ht="14.4" x14ac:dyDescent="0.3">
      <c r="A56" s="2">
        <v>43999</v>
      </c>
      <c r="B56" s="3">
        <v>34.1</v>
      </c>
      <c r="C56" s="3">
        <v>42</v>
      </c>
      <c r="D56" s="3">
        <v>51.58</v>
      </c>
      <c r="E56" s="3">
        <v>55.34</v>
      </c>
      <c r="F56" s="3">
        <v>50.81</v>
      </c>
      <c r="G56" s="3">
        <v>37.96</v>
      </c>
      <c r="H56" s="3">
        <v>40.71</v>
      </c>
      <c r="I56" s="3">
        <v>40.229999999999997</v>
      </c>
      <c r="J56" s="3">
        <v>46.63</v>
      </c>
      <c r="K56" s="3">
        <v>12.52</v>
      </c>
      <c r="L56" s="3">
        <v>54027.42</v>
      </c>
      <c r="M56" s="3">
        <v>46378.02</v>
      </c>
      <c r="N56" s="3">
        <v>2.2000000000000002</v>
      </c>
      <c r="O56" s="3">
        <v>5.8110000000000002E-2</v>
      </c>
      <c r="P56" s="3">
        <v>1.6379999999999999</v>
      </c>
      <c r="Q56" s="3">
        <v>94.62</v>
      </c>
      <c r="R56" s="3">
        <v>5.21</v>
      </c>
      <c r="S56" s="3">
        <v>60.92</v>
      </c>
    </row>
    <row r="57" spans="1:19" ht="14.4" x14ac:dyDescent="0.3">
      <c r="A57" s="2">
        <v>44000</v>
      </c>
      <c r="B57" s="3">
        <v>34.1</v>
      </c>
      <c r="C57" s="3">
        <v>42</v>
      </c>
      <c r="D57" s="3">
        <v>51.58</v>
      </c>
      <c r="E57" s="3">
        <v>55.34</v>
      </c>
      <c r="F57" s="3">
        <v>50.81</v>
      </c>
      <c r="G57" s="3">
        <v>38.840000000000003</v>
      </c>
      <c r="H57" s="3">
        <v>41.51</v>
      </c>
      <c r="I57" s="3">
        <v>40.630000000000003</v>
      </c>
      <c r="J57" s="3">
        <v>46.92</v>
      </c>
      <c r="K57" s="3">
        <v>12.88</v>
      </c>
      <c r="L57" s="3">
        <v>53941.22</v>
      </c>
      <c r="M57" s="3">
        <v>46046.52</v>
      </c>
      <c r="N57" s="3">
        <v>2.2000000000000002</v>
      </c>
      <c r="O57" s="3">
        <v>5.7180000000000002E-2</v>
      </c>
      <c r="P57" s="3">
        <v>1.6379999999999999</v>
      </c>
      <c r="Q57" s="3">
        <v>94.39</v>
      </c>
      <c r="R57" s="3">
        <v>5.45</v>
      </c>
      <c r="S57" s="3">
        <v>60.08</v>
      </c>
    </row>
    <row r="58" spans="1:19" ht="14.4" x14ac:dyDescent="0.3">
      <c r="A58" s="2">
        <v>44001</v>
      </c>
      <c r="B58" s="3">
        <v>32.909999999999997</v>
      </c>
      <c r="C58" s="3">
        <v>40.96</v>
      </c>
      <c r="D58" s="3">
        <v>50.86</v>
      </c>
      <c r="E58" s="3">
        <v>54.15</v>
      </c>
      <c r="F58" s="3">
        <v>51.71</v>
      </c>
      <c r="G58" s="3">
        <v>39.75</v>
      </c>
      <c r="H58" s="3">
        <v>42.19</v>
      </c>
      <c r="I58" s="3">
        <v>41.07</v>
      </c>
      <c r="J58" s="3">
        <v>45.98</v>
      </c>
      <c r="K58" s="3">
        <v>12.88</v>
      </c>
      <c r="L58" s="3">
        <v>54224.4</v>
      </c>
      <c r="M58" s="3">
        <v>46798.76</v>
      </c>
      <c r="N58" s="3">
        <v>2.2200000000000002</v>
      </c>
      <c r="O58" s="3">
        <v>5.7669999999999999E-2</v>
      </c>
      <c r="P58" s="3">
        <v>1.669</v>
      </c>
      <c r="Q58" s="3">
        <v>94.52</v>
      </c>
      <c r="R58" s="3">
        <v>5.6150000000000002</v>
      </c>
      <c r="S58" s="3">
        <v>63.1</v>
      </c>
    </row>
    <row r="59" spans="1:19" ht="14.4" x14ac:dyDescent="0.3">
      <c r="A59" s="2">
        <v>44004</v>
      </c>
      <c r="B59" s="3">
        <v>32.909999999999997</v>
      </c>
      <c r="C59" s="3">
        <v>40.96</v>
      </c>
      <c r="D59" s="3">
        <v>50.86</v>
      </c>
      <c r="E59" s="3">
        <v>54.15</v>
      </c>
      <c r="F59" s="3">
        <v>51.71</v>
      </c>
      <c r="G59" s="3">
        <v>40.46</v>
      </c>
      <c r="H59" s="3">
        <v>43.08</v>
      </c>
      <c r="I59" s="3">
        <v>41.12</v>
      </c>
      <c r="J59" s="3">
        <v>46.42</v>
      </c>
      <c r="K59" s="3">
        <v>12.52</v>
      </c>
      <c r="L59" s="3">
        <v>54230.17</v>
      </c>
      <c r="M59" s="3">
        <v>47053.91</v>
      </c>
      <c r="N59" s="3">
        <v>2.25</v>
      </c>
      <c r="O59" s="3">
        <v>5.7669999999999999E-2</v>
      </c>
      <c r="P59" s="3">
        <v>1.6639999999999999</v>
      </c>
      <c r="Q59" s="3">
        <v>94.31</v>
      </c>
      <c r="R59" s="3">
        <v>5.4950000000000001</v>
      </c>
      <c r="S59" s="3">
        <v>63.25</v>
      </c>
    </row>
    <row r="60" spans="1:19" ht="14.4" x14ac:dyDescent="0.3">
      <c r="A60" s="2">
        <v>44005</v>
      </c>
      <c r="B60" s="3">
        <v>32.909999999999997</v>
      </c>
      <c r="C60" s="3">
        <v>40.96</v>
      </c>
      <c r="D60" s="3">
        <v>50.86</v>
      </c>
      <c r="E60" s="3">
        <v>54.15</v>
      </c>
      <c r="F60" s="3">
        <v>51.71</v>
      </c>
      <c r="G60" s="3">
        <v>40.369999999999997</v>
      </c>
      <c r="H60" s="3">
        <v>42.63</v>
      </c>
      <c r="I60" s="3">
        <v>41.04</v>
      </c>
      <c r="J60" s="3">
        <v>46.7</v>
      </c>
      <c r="K60" s="3">
        <v>12.38</v>
      </c>
      <c r="L60" s="3">
        <v>55474.93</v>
      </c>
      <c r="M60" s="3">
        <v>49066.64</v>
      </c>
      <c r="N60" s="3">
        <v>2.2999999999999998</v>
      </c>
      <c r="O60" s="3">
        <v>5.7930000000000002E-2</v>
      </c>
      <c r="P60" s="3">
        <v>1.637</v>
      </c>
      <c r="Q60" s="3">
        <v>93.5</v>
      </c>
      <c r="R60" s="3">
        <v>5.83</v>
      </c>
      <c r="S60" s="3">
        <v>62.27</v>
      </c>
    </row>
    <row r="61" spans="1:19" ht="14.4" x14ac:dyDescent="0.3">
      <c r="A61" s="2">
        <v>44006</v>
      </c>
      <c r="B61" s="3">
        <v>32.909999999999997</v>
      </c>
      <c r="C61" s="3">
        <v>40.96</v>
      </c>
      <c r="D61" s="3">
        <v>50.86</v>
      </c>
      <c r="E61" s="3">
        <v>54.15</v>
      </c>
      <c r="F61" s="3">
        <v>51.71</v>
      </c>
      <c r="G61" s="3">
        <v>38.01</v>
      </c>
      <c r="H61" s="3">
        <v>40.31</v>
      </c>
      <c r="I61" s="3">
        <v>40.64</v>
      </c>
      <c r="J61" s="3">
        <v>44.5</v>
      </c>
      <c r="K61" s="3">
        <v>12.2</v>
      </c>
      <c r="L61" s="3">
        <v>54447.73</v>
      </c>
      <c r="M61" s="3">
        <v>47941.46</v>
      </c>
      <c r="N61" s="3">
        <v>2.2400000000000002</v>
      </c>
      <c r="O61" s="3">
        <v>5.7439999999999998E-2</v>
      </c>
      <c r="P61" s="3">
        <v>1.597</v>
      </c>
      <c r="Q61" s="3">
        <v>90.71</v>
      </c>
      <c r="R61" s="3">
        <v>5.665</v>
      </c>
      <c r="S61" s="3">
        <v>61.65</v>
      </c>
    </row>
    <row r="62" spans="1:19" ht="14.4" x14ac:dyDescent="0.3">
      <c r="A62" s="2">
        <v>44007</v>
      </c>
      <c r="B62" s="3">
        <v>32.909999999999997</v>
      </c>
      <c r="C62" s="3">
        <v>40.96</v>
      </c>
      <c r="D62" s="3">
        <v>50.86</v>
      </c>
      <c r="E62" s="3">
        <v>54.15</v>
      </c>
      <c r="F62" s="3">
        <v>51.71</v>
      </c>
      <c r="G62" s="3">
        <v>38.72</v>
      </c>
      <c r="H62" s="3">
        <v>41.05</v>
      </c>
      <c r="I62" s="3">
        <v>40.78</v>
      </c>
      <c r="J62" s="3">
        <v>45.17</v>
      </c>
      <c r="K62" s="5">
        <f>FORECAST(A62,K56:K61,A56:A61)</f>
        <v>12.247791164658793</v>
      </c>
      <c r="L62" s="3">
        <v>53914.05</v>
      </c>
      <c r="M62" s="3">
        <v>47861.82</v>
      </c>
      <c r="N62" s="3">
        <v>2.2200000000000002</v>
      </c>
      <c r="O62" s="3">
        <v>5.8299999999999998E-2</v>
      </c>
      <c r="P62" s="3">
        <v>1.482</v>
      </c>
      <c r="Q62" s="3">
        <v>92.83</v>
      </c>
      <c r="R62" s="3">
        <v>5.2549999999999999</v>
      </c>
      <c r="S62" s="3">
        <v>61.58</v>
      </c>
    </row>
    <row r="63" spans="1:19" ht="14.4" x14ac:dyDescent="0.3">
      <c r="A63" s="2">
        <v>44008</v>
      </c>
      <c r="B63" s="3">
        <v>32.54</v>
      </c>
      <c r="C63" s="3">
        <v>40.299999999999997</v>
      </c>
      <c r="D63" s="3">
        <v>48.43</v>
      </c>
      <c r="E63" s="3">
        <v>50.05</v>
      </c>
      <c r="F63" s="3">
        <v>51.45</v>
      </c>
      <c r="G63" s="3">
        <v>38.49</v>
      </c>
      <c r="H63" s="3">
        <v>41.02</v>
      </c>
      <c r="I63" s="3">
        <v>40.81</v>
      </c>
      <c r="J63" s="3">
        <v>43.62</v>
      </c>
      <c r="K63" s="3">
        <v>12.06</v>
      </c>
      <c r="L63" s="3">
        <v>53648.05</v>
      </c>
      <c r="M63" s="3">
        <v>47591.24</v>
      </c>
      <c r="N63" s="3">
        <v>2.2000000000000002</v>
      </c>
      <c r="O63" s="3">
        <v>5.8000000000000003E-2</v>
      </c>
      <c r="P63" s="3">
        <v>1.4950000000000001</v>
      </c>
      <c r="Q63" s="3">
        <v>90.4</v>
      </c>
      <c r="R63" s="3">
        <v>5.1050000000000004</v>
      </c>
      <c r="S63" s="3">
        <v>62.03</v>
      </c>
    </row>
    <row r="64" spans="1:19" ht="14.4" x14ac:dyDescent="0.3">
      <c r="A64" s="2">
        <v>44011</v>
      </c>
      <c r="B64" s="3">
        <v>32.54</v>
      </c>
      <c r="C64" s="3">
        <v>40.299999999999997</v>
      </c>
      <c r="D64" s="3">
        <v>48.43</v>
      </c>
      <c r="E64" s="3">
        <v>50.05</v>
      </c>
      <c r="F64" s="3">
        <v>51.45</v>
      </c>
      <c r="G64" s="3">
        <v>39.700000000000003</v>
      </c>
      <c r="H64" s="3">
        <v>41.71</v>
      </c>
      <c r="I64" s="3">
        <v>40.799999999999997</v>
      </c>
      <c r="J64" s="3">
        <v>44.32</v>
      </c>
      <c r="K64" s="3">
        <v>12.16</v>
      </c>
      <c r="L64" s="3">
        <v>54141.5</v>
      </c>
      <c r="M64" s="3">
        <v>48221.440000000002</v>
      </c>
      <c r="N64" s="3">
        <v>2.2000000000000002</v>
      </c>
      <c r="O64" s="3">
        <v>5.7840000000000003E-2</v>
      </c>
      <c r="P64" s="3">
        <v>1.7090000000000001</v>
      </c>
      <c r="Q64" s="3">
        <v>90.4</v>
      </c>
      <c r="R64" s="3">
        <v>5.84</v>
      </c>
      <c r="S64" s="3">
        <v>61.03</v>
      </c>
    </row>
    <row r="65" spans="1:19" ht="14.4" x14ac:dyDescent="0.3">
      <c r="A65" s="2">
        <v>44012</v>
      </c>
      <c r="B65" s="3">
        <v>32.54</v>
      </c>
      <c r="C65" s="3">
        <v>40.299999999999997</v>
      </c>
      <c r="D65" s="3">
        <v>48.43</v>
      </c>
      <c r="E65" s="3">
        <v>50.05</v>
      </c>
      <c r="F65" s="3">
        <v>51.45</v>
      </c>
      <c r="G65" s="3">
        <v>39.270000000000003</v>
      </c>
      <c r="H65" s="3">
        <v>41.15</v>
      </c>
      <c r="I65" s="3">
        <v>40.79</v>
      </c>
      <c r="J65" s="3">
        <v>44.72</v>
      </c>
      <c r="K65" s="3">
        <v>12.12</v>
      </c>
      <c r="L65" s="3">
        <v>54362.36</v>
      </c>
      <c r="M65" s="3">
        <v>48805.82</v>
      </c>
      <c r="N65" s="3">
        <v>2.15</v>
      </c>
      <c r="O65" s="3">
        <v>5.7700000000000001E-2</v>
      </c>
      <c r="P65" s="3">
        <v>1.7509999999999999</v>
      </c>
      <c r="Q65" s="3">
        <v>91.6</v>
      </c>
      <c r="R65" s="3">
        <v>6.165</v>
      </c>
      <c r="S65" s="3">
        <v>59.92</v>
      </c>
    </row>
    <row r="66" spans="1:19" ht="14.4" x14ac:dyDescent="0.3">
      <c r="A66" s="2">
        <v>44013</v>
      </c>
      <c r="B66" s="3">
        <v>32.54</v>
      </c>
      <c r="C66" s="3">
        <v>40.299999999999997</v>
      </c>
      <c r="D66" s="3">
        <v>48.43</v>
      </c>
      <c r="E66" s="3">
        <v>50.05</v>
      </c>
      <c r="F66" s="3">
        <v>51.45</v>
      </c>
      <c r="G66" s="3">
        <v>39.82</v>
      </c>
      <c r="H66" s="3">
        <v>42.03</v>
      </c>
      <c r="I66" s="3">
        <v>42.26</v>
      </c>
      <c r="J66" s="3">
        <v>43.71</v>
      </c>
      <c r="K66" s="5">
        <f>FORECAST(A66,K60:K65,A60:A65)</f>
        <v>12.067377492803871</v>
      </c>
      <c r="L66" s="3">
        <v>53787.72</v>
      </c>
      <c r="M66" s="3">
        <v>47584.49</v>
      </c>
      <c r="N66" s="3">
        <v>2.2000000000000002</v>
      </c>
      <c r="O66" s="3">
        <v>5.8630000000000002E-2</v>
      </c>
      <c r="P66" s="3">
        <v>1.671</v>
      </c>
      <c r="Q66" s="3">
        <v>93.3</v>
      </c>
      <c r="R66" s="3">
        <v>5.8650000000000002</v>
      </c>
      <c r="S66" s="3">
        <v>59.95</v>
      </c>
    </row>
    <row r="67" spans="1:19" ht="14.4" x14ac:dyDescent="0.3">
      <c r="A67" s="2">
        <v>44014</v>
      </c>
      <c r="B67" s="3">
        <v>32.54</v>
      </c>
      <c r="C67" s="3">
        <v>40.299999999999997</v>
      </c>
      <c r="D67" s="3">
        <v>48.43</v>
      </c>
      <c r="E67" s="3">
        <v>50.05</v>
      </c>
      <c r="F67" s="3">
        <v>51.45</v>
      </c>
      <c r="G67" s="3">
        <v>40.65</v>
      </c>
      <c r="H67" s="3">
        <v>43.14</v>
      </c>
      <c r="I67" s="3">
        <v>43.2</v>
      </c>
      <c r="J67" s="3">
        <v>44.08</v>
      </c>
      <c r="K67" s="3">
        <v>12.76</v>
      </c>
      <c r="L67" s="3">
        <v>54617.19</v>
      </c>
      <c r="M67" s="3">
        <v>48478.48</v>
      </c>
      <c r="N67" s="3">
        <v>2.2000000000000002</v>
      </c>
      <c r="O67" s="3">
        <v>5.8819999999999997E-2</v>
      </c>
      <c r="P67" s="3">
        <v>1.734</v>
      </c>
      <c r="Q67" s="3">
        <v>92.26</v>
      </c>
      <c r="R67" s="3">
        <v>5.9450000000000003</v>
      </c>
      <c r="S67" s="3">
        <v>61.28</v>
      </c>
    </row>
    <row r="68" spans="1:19" ht="14.4" x14ac:dyDescent="0.3">
      <c r="A68" s="2">
        <v>44015</v>
      </c>
      <c r="B68" s="3">
        <v>32.61</v>
      </c>
      <c r="C68" s="3">
        <v>40.200000000000003</v>
      </c>
      <c r="D68" s="3">
        <v>49.91</v>
      </c>
      <c r="E68" s="3">
        <v>53.15</v>
      </c>
      <c r="F68" s="3">
        <v>49.92</v>
      </c>
      <c r="G68" s="3">
        <v>40.28</v>
      </c>
      <c r="H68" s="3">
        <v>42.8</v>
      </c>
      <c r="I68" s="1">
        <f>(I67+I69)/2</f>
        <v>43.045000000000002</v>
      </c>
      <c r="J68" s="1">
        <f>(J67+J69)/2</f>
        <v>44.234999999999999</v>
      </c>
      <c r="K68" s="3">
        <v>13.28</v>
      </c>
      <c r="L68" s="3">
        <v>54521.9</v>
      </c>
      <c r="M68" s="3">
        <v>47750.3</v>
      </c>
      <c r="N68" s="5">
        <f>FORECAST(A68,N62:N67,A62:A67)</f>
        <v>2.1805150214592288</v>
      </c>
      <c r="O68" s="3">
        <v>5.8720000000000001E-2</v>
      </c>
      <c r="P68" s="3">
        <v>1.746</v>
      </c>
      <c r="Q68" s="1">
        <f>AVERAGE(Q67,Q69)</f>
        <v>92.39500000000001</v>
      </c>
      <c r="R68" s="5">
        <f>AVERAGE(R67,R69)</f>
        <v>6.02</v>
      </c>
      <c r="S68" s="3">
        <v>62.62</v>
      </c>
    </row>
    <row r="69" spans="1:19" ht="14.4" x14ac:dyDescent="0.3">
      <c r="A69" s="2">
        <v>44018</v>
      </c>
      <c r="B69" s="3">
        <v>32.61</v>
      </c>
      <c r="C69" s="3">
        <v>40.200000000000003</v>
      </c>
      <c r="D69" s="3">
        <v>49.91</v>
      </c>
      <c r="E69" s="3">
        <v>53.15</v>
      </c>
      <c r="F69" s="3">
        <v>49.92</v>
      </c>
      <c r="G69" s="3">
        <v>40.630000000000003</v>
      </c>
      <c r="H69" s="3">
        <v>43.1</v>
      </c>
      <c r="I69" s="3">
        <v>42.89</v>
      </c>
      <c r="J69" s="3">
        <v>44.39</v>
      </c>
      <c r="K69" s="3">
        <v>13.92</v>
      </c>
      <c r="L69" s="3">
        <v>54846.28</v>
      </c>
      <c r="M69" s="3">
        <v>48736.58</v>
      </c>
      <c r="N69" s="3">
        <v>2.1949999999999998</v>
      </c>
      <c r="O69" s="3">
        <v>5.8869999999999999E-2</v>
      </c>
      <c r="P69" s="3">
        <v>1.83</v>
      </c>
      <c r="Q69" s="3">
        <v>92.53</v>
      </c>
      <c r="R69" s="3">
        <v>6.0949999999999998</v>
      </c>
      <c r="S69" s="3">
        <v>63.65</v>
      </c>
    </row>
    <row r="70" spans="1:19" ht="14.4" x14ac:dyDescent="0.3">
      <c r="A70" s="2">
        <v>44019</v>
      </c>
      <c r="B70" s="3">
        <v>32.61</v>
      </c>
      <c r="C70" s="3">
        <v>40.200000000000003</v>
      </c>
      <c r="D70" s="3">
        <v>49.91</v>
      </c>
      <c r="E70" s="3">
        <v>53.15</v>
      </c>
      <c r="F70" s="3">
        <v>49.92</v>
      </c>
      <c r="G70" s="3">
        <v>40.619999999999997</v>
      </c>
      <c r="H70" s="3">
        <v>43.08</v>
      </c>
      <c r="I70" s="3">
        <v>43.09</v>
      </c>
      <c r="J70" s="3">
        <v>43.24</v>
      </c>
      <c r="K70" s="3">
        <v>13.9</v>
      </c>
      <c r="L70" s="3">
        <v>55243.8</v>
      </c>
      <c r="M70" s="3">
        <v>49722.43</v>
      </c>
      <c r="N70" s="3">
        <v>2.1949999999999998</v>
      </c>
      <c r="O70" s="3">
        <v>5.8189999999999999E-2</v>
      </c>
      <c r="P70" s="3">
        <v>1.8759999999999999</v>
      </c>
      <c r="Q70" s="3">
        <v>92.57</v>
      </c>
      <c r="R70" s="3">
        <v>6.125</v>
      </c>
      <c r="S70" s="3">
        <v>62.87</v>
      </c>
    </row>
    <row r="71" spans="1:19" ht="14.4" x14ac:dyDescent="0.3">
      <c r="A71" s="2">
        <v>44020</v>
      </c>
      <c r="B71" s="3">
        <v>32.61</v>
      </c>
      <c r="C71" s="3">
        <v>40.200000000000003</v>
      </c>
      <c r="D71" s="3">
        <v>49.91</v>
      </c>
      <c r="E71" s="3">
        <v>53.15</v>
      </c>
      <c r="F71" s="3">
        <v>49.92</v>
      </c>
      <c r="G71" s="3">
        <v>40.9</v>
      </c>
      <c r="H71" s="3">
        <v>43.29</v>
      </c>
      <c r="I71" s="3">
        <v>43.29</v>
      </c>
      <c r="J71" s="3">
        <v>43.14</v>
      </c>
      <c r="K71" s="3">
        <v>13.9</v>
      </c>
      <c r="L71" s="3">
        <v>55870.69</v>
      </c>
      <c r="M71" s="3">
        <v>50734.25</v>
      </c>
      <c r="N71" s="3">
        <v>2.19</v>
      </c>
      <c r="O71" s="3">
        <v>5.8990000000000001E-2</v>
      </c>
      <c r="P71" s="3">
        <v>1.8240000000000001</v>
      </c>
      <c r="Q71" s="3">
        <v>93.84</v>
      </c>
      <c r="R71" s="3">
        <v>5.9349999999999996</v>
      </c>
      <c r="S71" s="3">
        <v>62.48</v>
      </c>
    </row>
    <row r="72" spans="1:19" ht="14.4" x14ac:dyDescent="0.3">
      <c r="A72" s="2">
        <v>44021</v>
      </c>
      <c r="B72" s="3">
        <v>32.61</v>
      </c>
      <c r="C72" s="3">
        <v>40.200000000000003</v>
      </c>
      <c r="D72" s="3">
        <v>49.91</v>
      </c>
      <c r="E72" s="3">
        <v>53.15</v>
      </c>
      <c r="F72" s="3">
        <v>49.92</v>
      </c>
      <c r="G72" s="3">
        <v>39.619999999999997</v>
      </c>
      <c r="H72" s="3">
        <v>42.35</v>
      </c>
      <c r="I72" s="3">
        <v>42.79</v>
      </c>
      <c r="J72" s="3">
        <v>41.36</v>
      </c>
      <c r="K72" s="3">
        <v>14.04</v>
      </c>
      <c r="L72" s="3">
        <v>55787.9</v>
      </c>
      <c r="M72" s="3">
        <v>50530.67</v>
      </c>
      <c r="N72" s="3">
        <v>2.17</v>
      </c>
      <c r="O72" s="3">
        <v>5.9360000000000003E-2</v>
      </c>
      <c r="P72" s="3">
        <v>1.7789999999999999</v>
      </c>
      <c r="Q72" s="3">
        <v>92.14</v>
      </c>
      <c r="R72" s="3">
        <v>5.7549999999999999</v>
      </c>
      <c r="S72" s="3">
        <v>62.08</v>
      </c>
    </row>
    <row r="73" spans="1:19" ht="14.4" x14ac:dyDescent="0.3">
      <c r="A73" s="2">
        <v>44022</v>
      </c>
      <c r="B73" s="3">
        <v>33.5</v>
      </c>
      <c r="C73" s="3">
        <v>40.83</v>
      </c>
      <c r="D73" s="3">
        <v>50.12</v>
      </c>
      <c r="E73" s="3">
        <v>53.56</v>
      </c>
      <c r="F73" s="3">
        <v>51.16</v>
      </c>
      <c r="G73" s="3">
        <v>40.549999999999997</v>
      </c>
      <c r="H73" s="3">
        <v>43.24</v>
      </c>
      <c r="I73" s="3">
        <v>43.4</v>
      </c>
      <c r="J73" s="3">
        <v>42.65</v>
      </c>
      <c r="K73" s="3">
        <v>13.56</v>
      </c>
      <c r="L73" s="3">
        <v>55417.89</v>
      </c>
      <c r="M73" s="3">
        <v>50535.49</v>
      </c>
      <c r="N73" s="3">
        <v>2.1749999999999998</v>
      </c>
      <c r="O73" s="3">
        <v>5.9589999999999997E-2</v>
      </c>
      <c r="P73" s="3">
        <v>1.8049999999999999</v>
      </c>
      <c r="Q73" s="3">
        <v>92.55</v>
      </c>
      <c r="R73" s="3">
        <v>5.4749999999999996</v>
      </c>
      <c r="S73" s="3">
        <v>61.77</v>
      </c>
    </row>
    <row r="74" spans="1:19" ht="14.4" x14ac:dyDescent="0.3">
      <c r="A74" s="2">
        <v>44025</v>
      </c>
      <c r="B74" s="3">
        <v>33.5</v>
      </c>
      <c r="C74" s="3">
        <v>40.83</v>
      </c>
      <c r="D74" s="3">
        <v>50.12</v>
      </c>
      <c r="E74" s="3">
        <v>53.56</v>
      </c>
      <c r="F74" s="3">
        <v>51.16</v>
      </c>
      <c r="G74" s="3">
        <v>40.1</v>
      </c>
      <c r="H74" s="3">
        <v>42.72</v>
      </c>
      <c r="I74" s="3">
        <v>43.1</v>
      </c>
      <c r="J74" s="3">
        <v>42.66</v>
      </c>
      <c r="K74" s="3">
        <v>13.56</v>
      </c>
      <c r="L74" s="3">
        <v>56199.46</v>
      </c>
      <c r="M74" s="3">
        <v>51325.85</v>
      </c>
      <c r="N74" s="3">
        <v>2.1549999999999998</v>
      </c>
      <c r="O74" s="3">
        <v>5.9310000000000002E-2</v>
      </c>
      <c r="P74" s="3">
        <v>1.7390000000000001</v>
      </c>
      <c r="Q74" s="3">
        <v>91.83</v>
      </c>
      <c r="R74" s="3">
        <v>5.1100000000000003</v>
      </c>
      <c r="S74" s="3">
        <v>61.95</v>
      </c>
    </row>
    <row r="75" spans="1:19" ht="14.4" x14ac:dyDescent="0.3">
      <c r="A75" s="2">
        <v>44026</v>
      </c>
      <c r="B75" s="3">
        <v>33.5</v>
      </c>
      <c r="C75" s="3">
        <v>40.83</v>
      </c>
      <c r="D75" s="3">
        <v>50.12</v>
      </c>
      <c r="E75" s="3">
        <v>53.56</v>
      </c>
      <c r="F75" s="3">
        <v>51.16</v>
      </c>
      <c r="G75" s="3">
        <v>40.29</v>
      </c>
      <c r="H75" s="3">
        <v>42.9</v>
      </c>
      <c r="I75" s="3">
        <v>43.22</v>
      </c>
      <c r="J75" s="3">
        <v>44.07</v>
      </c>
      <c r="K75" s="3">
        <v>13.38</v>
      </c>
      <c r="L75" s="3">
        <v>55531.05</v>
      </c>
      <c r="M75" s="3">
        <v>51211.29</v>
      </c>
      <c r="N75" s="3">
        <v>2.16</v>
      </c>
      <c r="O75" s="3">
        <v>5.9720000000000002E-2</v>
      </c>
      <c r="P75" s="3">
        <v>1.746</v>
      </c>
      <c r="Q75" s="3">
        <v>91.72</v>
      </c>
      <c r="R75" s="3">
        <v>5.085</v>
      </c>
      <c r="S75" s="3">
        <v>62.65</v>
      </c>
    </row>
    <row r="76" spans="1:19" ht="14.4" x14ac:dyDescent="0.3">
      <c r="A76" s="2">
        <v>44027</v>
      </c>
      <c r="B76" s="3">
        <v>33.5</v>
      </c>
      <c r="C76" s="3">
        <v>40.83</v>
      </c>
      <c r="D76" s="3">
        <v>50.12</v>
      </c>
      <c r="E76" s="3">
        <v>53.56</v>
      </c>
      <c r="F76" s="3">
        <v>51.16</v>
      </c>
      <c r="G76" s="3">
        <v>41.2</v>
      </c>
      <c r="H76" s="3">
        <v>43.79</v>
      </c>
      <c r="I76" s="3">
        <v>43.78</v>
      </c>
      <c r="J76" s="3">
        <v>44.63</v>
      </c>
      <c r="K76" s="3">
        <v>13.34</v>
      </c>
      <c r="L76" s="3">
        <v>55947.05</v>
      </c>
      <c r="M76" s="3">
        <v>51674.79</v>
      </c>
      <c r="N76" s="3">
        <v>2.1640000000000001</v>
      </c>
      <c r="O76" s="3">
        <v>6.0220000000000003E-2</v>
      </c>
      <c r="P76" s="3">
        <v>1.778</v>
      </c>
      <c r="Q76" s="3">
        <v>93.24</v>
      </c>
      <c r="R76" s="3">
        <v>5.2249999999999996</v>
      </c>
      <c r="S76" s="3">
        <v>62.53</v>
      </c>
    </row>
    <row r="77" spans="1:19" ht="14.4" x14ac:dyDescent="0.3">
      <c r="A77" s="2">
        <v>44028</v>
      </c>
      <c r="B77" s="3">
        <v>33.5</v>
      </c>
      <c r="C77" s="3">
        <v>40.83</v>
      </c>
      <c r="D77" s="3">
        <v>50.12</v>
      </c>
      <c r="E77" s="3">
        <v>53.56</v>
      </c>
      <c r="F77" s="3">
        <v>51.16</v>
      </c>
      <c r="G77" s="3">
        <v>40.75</v>
      </c>
      <c r="H77" s="3">
        <v>43.37</v>
      </c>
      <c r="I77" s="3">
        <v>43.3</v>
      </c>
      <c r="J77" s="3">
        <v>44.28</v>
      </c>
      <c r="K77" s="3">
        <v>13.2</v>
      </c>
      <c r="L77" s="3">
        <v>55729.45</v>
      </c>
      <c r="M77" s="3">
        <v>51778.85</v>
      </c>
      <c r="N77" s="3">
        <v>2.5</v>
      </c>
      <c r="O77" s="3">
        <v>5.9540000000000003E-2</v>
      </c>
      <c r="P77" s="3">
        <v>1.7230000000000001</v>
      </c>
      <c r="Q77" s="3">
        <v>92.37</v>
      </c>
      <c r="R77" s="3">
        <v>5.0599999999999996</v>
      </c>
      <c r="S77" s="3">
        <v>61.83</v>
      </c>
    </row>
    <row r="78" spans="1:19" ht="14.4" x14ac:dyDescent="0.3">
      <c r="A78" s="2">
        <v>44029</v>
      </c>
      <c r="B78" s="3">
        <v>33.01</v>
      </c>
      <c r="C78" s="3">
        <v>40.43</v>
      </c>
      <c r="D78" s="3">
        <v>49.88</v>
      </c>
      <c r="E78" s="3">
        <v>54.84</v>
      </c>
      <c r="F78" s="3">
        <v>51.88</v>
      </c>
      <c r="G78" s="3">
        <v>40.590000000000003</v>
      </c>
      <c r="H78" s="3">
        <v>43.14</v>
      </c>
      <c r="I78" s="3">
        <v>43</v>
      </c>
      <c r="J78" s="3">
        <v>43.52</v>
      </c>
      <c r="K78" s="3">
        <v>13.3</v>
      </c>
      <c r="L78" s="3">
        <v>55911.8</v>
      </c>
      <c r="M78" s="3">
        <v>52466.41</v>
      </c>
      <c r="N78" s="3">
        <v>2.5049999999999999</v>
      </c>
      <c r="O78" s="3">
        <v>5.9900000000000002E-2</v>
      </c>
      <c r="P78" s="3">
        <v>1.718</v>
      </c>
      <c r="Q78" s="3">
        <v>93.83</v>
      </c>
      <c r="R78" s="3">
        <v>5.1150000000000002</v>
      </c>
      <c r="S78" s="3">
        <v>62.15</v>
      </c>
    </row>
    <row r="79" spans="1:19" ht="14.4" x14ac:dyDescent="0.3">
      <c r="A79" s="2">
        <v>44032</v>
      </c>
      <c r="B79" s="3">
        <v>33.01</v>
      </c>
      <c r="C79" s="3">
        <v>40.43</v>
      </c>
      <c r="D79" s="3">
        <v>49.88</v>
      </c>
      <c r="E79" s="3">
        <v>54.84</v>
      </c>
      <c r="F79" s="3">
        <v>51.88</v>
      </c>
      <c r="G79" s="3">
        <v>40.81</v>
      </c>
      <c r="H79" s="3">
        <v>43.28</v>
      </c>
      <c r="I79" s="3">
        <v>43.05</v>
      </c>
      <c r="J79" s="3">
        <v>42.5</v>
      </c>
      <c r="K79" s="3">
        <v>13.66</v>
      </c>
      <c r="L79" s="3">
        <v>56265.36</v>
      </c>
      <c r="M79" s="3">
        <v>53362.03</v>
      </c>
      <c r="N79" s="3">
        <v>2.4500000000000002</v>
      </c>
      <c r="O79" s="3">
        <v>6.0109999999999997E-2</v>
      </c>
      <c r="P79" s="3">
        <v>1.641</v>
      </c>
      <c r="Q79" s="3">
        <v>94.25</v>
      </c>
      <c r="R79" s="3">
        <v>4.7300000000000004</v>
      </c>
      <c r="S79" s="3">
        <v>58.6</v>
      </c>
    </row>
    <row r="80" spans="1:19" ht="14.4" x14ac:dyDescent="0.3">
      <c r="A80" s="2">
        <v>44033</v>
      </c>
      <c r="B80" s="3">
        <v>33.01</v>
      </c>
      <c r="C80" s="3">
        <v>40.43</v>
      </c>
      <c r="D80" s="3">
        <v>49.88</v>
      </c>
      <c r="E80" s="3">
        <v>54.84</v>
      </c>
      <c r="F80" s="3">
        <v>51.88</v>
      </c>
      <c r="G80" s="3">
        <v>41.96</v>
      </c>
      <c r="H80" s="3">
        <v>44.32</v>
      </c>
      <c r="I80" s="3">
        <v>43.58</v>
      </c>
      <c r="J80" s="3">
        <v>44.65</v>
      </c>
      <c r="K80" s="3">
        <v>13.72</v>
      </c>
      <c r="L80" s="3">
        <v>56422.14</v>
      </c>
      <c r="M80" s="3">
        <v>52407.81</v>
      </c>
      <c r="N80" s="3">
        <v>2.4750000000000001</v>
      </c>
      <c r="O80" s="3">
        <v>6.089E-2</v>
      </c>
      <c r="P80" s="3">
        <v>1.675</v>
      </c>
      <c r="Q80" s="3">
        <v>95.11</v>
      </c>
      <c r="R80" s="3">
        <v>4.79</v>
      </c>
      <c r="S80" s="3">
        <v>57.63</v>
      </c>
    </row>
    <row r="81" spans="1:19" ht="14.4" x14ac:dyDescent="0.3">
      <c r="A81" s="2">
        <v>44034</v>
      </c>
      <c r="B81" s="3">
        <v>33.01</v>
      </c>
      <c r="C81" s="3">
        <v>40.43</v>
      </c>
      <c r="D81" s="3">
        <v>49.88</v>
      </c>
      <c r="E81" s="3">
        <v>54.84</v>
      </c>
      <c r="F81" s="3">
        <v>51.88</v>
      </c>
      <c r="G81" s="3">
        <v>41.9</v>
      </c>
      <c r="H81" s="3">
        <v>44.29</v>
      </c>
      <c r="I81" s="3">
        <v>43.62</v>
      </c>
      <c r="J81" s="3">
        <v>43.61</v>
      </c>
      <c r="K81" s="3">
        <v>13.5</v>
      </c>
      <c r="L81" s="3">
        <v>55834.239999999998</v>
      </c>
      <c r="M81" s="3">
        <v>52215.199999999997</v>
      </c>
      <c r="N81" s="3">
        <v>2.5</v>
      </c>
      <c r="O81" s="3">
        <v>6.0630000000000003E-2</v>
      </c>
      <c r="P81" s="3">
        <v>1.681</v>
      </c>
      <c r="Q81" s="3">
        <v>96.06</v>
      </c>
      <c r="R81" s="3">
        <v>4.83</v>
      </c>
      <c r="S81" s="3">
        <v>58.17</v>
      </c>
    </row>
    <row r="82" spans="1:19" ht="14.4" x14ac:dyDescent="0.3">
      <c r="A82" s="2">
        <v>44035</v>
      </c>
      <c r="B82" s="3">
        <v>33.01</v>
      </c>
      <c r="C82" s="3">
        <v>40.43</v>
      </c>
      <c r="D82" s="3">
        <v>49.88</v>
      </c>
      <c r="E82" s="3">
        <v>54.84</v>
      </c>
      <c r="F82" s="3">
        <v>51.88</v>
      </c>
      <c r="G82" s="3">
        <v>41.07</v>
      </c>
      <c r="H82" s="3">
        <v>43.31</v>
      </c>
      <c r="I82" s="3">
        <v>43.3</v>
      </c>
      <c r="J82" s="3">
        <v>43.7</v>
      </c>
      <c r="K82" s="3">
        <v>13.36</v>
      </c>
      <c r="L82" s="3">
        <v>56070.7</v>
      </c>
      <c r="M82" s="3">
        <v>53412.49</v>
      </c>
      <c r="N82" s="3">
        <v>2.57</v>
      </c>
      <c r="O82" s="3">
        <v>5.9959999999999999E-2</v>
      </c>
      <c r="P82" s="3">
        <v>1.7849999999999999</v>
      </c>
      <c r="Q82" s="3">
        <v>95.85</v>
      </c>
      <c r="R82" s="3">
        <v>4.9850000000000003</v>
      </c>
      <c r="S82" s="3">
        <v>57.68</v>
      </c>
    </row>
    <row r="83" spans="1:19" ht="14.4" x14ac:dyDescent="0.3">
      <c r="A83" s="2">
        <v>44036</v>
      </c>
      <c r="B83" s="3">
        <v>32.56</v>
      </c>
      <c r="C83" s="3">
        <v>40.01</v>
      </c>
      <c r="D83" s="3">
        <v>49.17</v>
      </c>
      <c r="E83" s="3">
        <v>53.33</v>
      </c>
      <c r="F83" s="3">
        <v>50.61</v>
      </c>
      <c r="G83" s="3">
        <v>41.29</v>
      </c>
      <c r="H83" s="3">
        <v>43.34</v>
      </c>
      <c r="I83" s="3">
        <v>43.28</v>
      </c>
      <c r="J83" s="3">
        <v>43.43</v>
      </c>
      <c r="K83" s="3">
        <v>13.12</v>
      </c>
      <c r="L83" s="3">
        <v>55645.65</v>
      </c>
      <c r="M83" s="3">
        <v>53819.09</v>
      </c>
      <c r="N83" s="3">
        <v>2.5950000000000002</v>
      </c>
      <c r="O83" s="3">
        <v>6.0100000000000001E-2</v>
      </c>
      <c r="P83" s="3">
        <v>1.8080000000000001</v>
      </c>
      <c r="Q83" s="3">
        <v>96.32</v>
      </c>
      <c r="R83" s="3">
        <v>5.01</v>
      </c>
      <c r="S83" s="3">
        <v>58.3</v>
      </c>
    </row>
    <row r="84" spans="1:19" ht="14.4" x14ac:dyDescent="0.3">
      <c r="A84" s="2">
        <v>44039</v>
      </c>
      <c r="B84" s="3">
        <v>32.56</v>
      </c>
      <c r="C84" s="3">
        <v>40.01</v>
      </c>
      <c r="D84" s="3">
        <v>49.17</v>
      </c>
      <c r="E84" s="3">
        <v>53.33</v>
      </c>
      <c r="F84" s="3">
        <v>50.61</v>
      </c>
      <c r="G84" s="3">
        <v>41.6</v>
      </c>
      <c r="H84" s="3">
        <v>43.41</v>
      </c>
      <c r="I84" s="3">
        <v>43.33</v>
      </c>
      <c r="J84" s="3">
        <v>44.07</v>
      </c>
      <c r="K84" s="3">
        <v>13.3</v>
      </c>
      <c r="L84" s="3">
        <v>56326.2</v>
      </c>
      <c r="M84" s="3">
        <v>55785.440000000002</v>
      </c>
      <c r="N84" s="3">
        <v>2.6850000000000001</v>
      </c>
      <c r="O84" s="3">
        <v>6.087E-2</v>
      </c>
      <c r="P84" s="3">
        <v>1.734</v>
      </c>
      <c r="Q84" s="3">
        <v>94.54</v>
      </c>
      <c r="R84" s="3">
        <v>4.7850000000000001</v>
      </c>
      <c r="S84" s="3">
        <v>57.75</v>
      </c>
    </row>
    <row r="85" spans="1:19" ht="14.4" x14ac:dyDescent="0.3">
      <c r="A85" s="2">
        <v>44040</v>
      </c>
      <c r="B85" s="3">
        <v>32.56</v>
      </c>
      <c r="C85" s="3">
        <v>40.01</v>
      </c>
      <c r="D85" s="3">
        <v>49.17</v>
      </c>
      <c r="E85" s="3">
        <v>53.33</v>
      </c>
      <c r="F85" s="3">
        <v>50.61</v>
      </c>
      <c r="G85" s="3">
        <v>41.04</v>
      </c>
      <c r="H85" s="3">
        <v>43.22</v>
      </c>
      <c r="I85" s="3">
        <v>43.28</v>
      </c>
      <c r="J85" s="3">
        <v>43.55</v>
      </c>
      <c r="K85" s="3">
        <v>13.12</v>
      </c>
      <c r="L85" s="3">
        <v>56488.11</v>
      </c>
      <c r="M85" s="3">
        <v>55496.23</v>
      </c>
      <c r="N85" s="3">
        <v>2.7</v>
      </c>
      <c r="O85" s="3">
        <v>6.0479999999999999E-2</v>
      </c>
      <c r="P85" s="3">
        <v>1.8</v>
      </c>
      <c r="Q85" s="3">
        <v>92.92</v>
      </c>
      <c r="R85" s="3">
        <v>4.96</v>
      </c>
      <c r="S85" s="3">
        <v>58.45</v>
      </c>
    </row>
    <row r="86" spans="1:19" ht="14.4" x14ac:dyDescent="0.3">
      <c r="A86" s="2">
        <v>44041</v>
      </c>
      <c r="B86" s="3">
        <v>32.56</v>
      </c>
      <c r="C86" s="3">
        <v>40.01</v>
      </c>
      <c r="D86" s="3">
        <v>49.17</v>
      </c>
      <c r="E86" s="3">
        <v>53.33</v>
      </c>
      <c r="F86" s="3">
        <v>50.61</v>
      </c>
      <c r="G86" s="3">
        <v>41.27</v>
      </c>
      <c r="H86" s="3">
        <v>43.75</v>
      </c>
      <c r="I86" s="3">
        <v>43.29</v>
      </c>
      <c r="J86" s="3">
        <v>44.03</v>
      </c>
      <c r="K86" s="3">
        <v>13.1</v>
      </c>
      <c r="L86" s="3">
        <v>56707.74</v>
      </c>
      <c r="M86" s="3">
        <v>54658.65</v>
      </c>
      <c r="N86" s="3">
        <v>2.66</v>
      </c>
      <c r="O86" s="3">
        <v>6.037E-2</v>
      </c>
      <c r="P86" s="3">
        <v>1.8540000000000001</v>
      </c>
      <c r="Q86" s="3">
        <v>94.3</v>
      </c>
      <c r="R86" s="3">
        <v>5.1749999999999998</v>
      </c>
      <c r="S86" s="3">
        <v>60.4</v>
      </c>
    </row>
    <row r="87" spans="1:19" ht="14.4" x14ac:dyDescent="0.3">
      <c r="A87" s="2">
        <v>44042</v>
      </c>
      <c r="B87" s="3">
        <v>32.56</v>
      </c>
      <c r="C87" s="3">
        <v>40.01</v>
      </c>
      <c r="D87" s="3">
        <v>49.17</v>
      </c>
      <c r="E87" s="3">
        <v>53.33</v>
      </c>
      <c r="F87" s="3">
        <v>50.61</v>
      </c>
      <c r="G87" s="3">
        <v>39.92</v>
      </c>
      <c r="H87" s="3">
        <v>42.94</v>
      </c>
      <c r="I87" s="3">
        <v>43.28</v>
      </c>
      <c r="J87" s="3">
        <v>41.87</v>
      </c>
      <c r="K87" s="3">
        <v>12.88</v>
      </c>
      <c r="L87" s="3">
        <v>55844.9</v>
      </c>
      <c r="M87" s="3">
        <v>53698.98</v>
      </c>
      <c r="N87" s="3">
        <v>2.6150000000000002</v>
      </c>
      <c r="O87" s="3">
        <v>5.9619999999999999E-2</v>
      </c>
      <c r="P87" s="3">
        <v>1.829</v>
      </c>
      <c r="Q87" s="3">
        <v>94.37</v>
      </c>
      <c r="R87" s="3">
        <v>5.2249999999999996</v>
      </c>
      <c r="S87" s="3">
        <v>60.03</v>
      </c>
    </row>
    <row r="88" spans="1:19" ht="14.4" x14ac:dyDescent="0.3">
      <c r="A88" s="2">
        <v>44043</v>
      </c>
      <c r="B88" s="3">
        <v>32.07</v>
      </c>
      <c r="C88" s="3">
        <v>39.97</v>
      </c>
      <c r="D88" s="3">
        <v>48.83</v>
      </c>
      <c r="E88" s="3">
        <v>52.12</v>
      </c>
      <c r="F88" s="3">
        <v>49.7</v>
      </c>
      <c r="G88" s="3">
        <v>40.270000000000003</v>
      </c>
      <c r="H88" s="3">
        <v>43.3</v>
      </c>
      <c r="I88" s="3">
        <v>42.54</v>
      </c>
      <c r="J88" s="3">
        <v>42.08</v>
      </c>
      <c r="K88" s="3">
        <v>12.92</v>
      </c>
      <c r="L88" s="3">
        <v>55721.8</v>
      </c>
      <c r="M88" s="3">
        <v>53888.94</v>
      </c>
      <c r="N88" s="3">
        <v>2.56</v>
      </c>
      <c r="O88" s="3">
        <v>5.8549999999999998E-2</v>
      </c>
      <c r="P88" s="3">
        <v>1.7989999999999999</v>
      </c>
      <c r="Q88" s="3">
        <v>96.78</v>
      </c>
      <c r="R88" s="3">
        <v>6.0250000000000004</v>
      </c>
      <c r="S88" s="3">
        <v>59.73</v>
      </c>
    </row>
    <row r="89" spans="1:19" ht="14.4" x14ac:dyDescent="0.3">
      <c r="A89" s="2">
        <v>44046</v>
      </c>
      <c r="B89" s="3">
        <v>32.07</v>
      </c>
      <c r="C89" s="3">
        <v>39.97</v>
      </c>
      <c r="D89" s="3">
        <v>48.83</v>
      </c>
      <c r="E89" s="3">
        <v>52.12</v>
      </c>
      <c r="F89" s="3">
        <v>49.7</v>
      </c>
      <c r="G89" s="3">
        <v>41.01</v>
      </c>
      <c r="H89" s="3">
        <v>44.15</v>
      </c>
      <c r="I89" s="3">
        <v>43.39</v>
      </c>
      <c r="J89" s="3">
        <v>42.25</v>
      </c>
      <c r="K89" s="3">
        <v>13</v>
      </c>
      <c r="L89" s="3">
        <v>55829.4</v>
      </c>
      <c r="M89" s="3">
        <v>54766.82</v>
      </c>
      <c r="N89" s="3">
        <v>2.6850000000000001</v>
      </c>
      <c r="O89" s="3">
        <v>5.8130000000000001E-2</v>
      </c>
      <c r="P89" s="3">
        <v>2.101</v>
      </c>
      <c r="Q89" s="3">
        <v>96.28</v>
      </c>
      <c r="R89" s="3">
        <v>6.8</v>
      </c>
      <c r="S89" s="3">
        <v>58.52</v>
      </c>
    </row>
    <row r="90" spans="1:19" ht="14.4" x14ac:dyDescent="0.3">
      <c r="A90" s="2">
        <v>44047</v>
      </c>
      <c r="B90" s="3">
        <v>32.07</v>
      </c>
      <c r="C90" s="3">
        <v>39.97</v>
      </c>
      <c r="D90" s="3">
        <v>48.83</v>
      </c>
      <c r="E90" s="3">
        <v>52.12</v>
      </c>
      <c r="F90" s="3">
        <v>49.7</v>
      </c>
      <c r="G90" s="3">
        <v>41.7</v>
      </c>
      <c r="H90" s="3">
        <v>44.43</v>
      </c>
      <c r="I90" s="3">
        <v>43.4</v>
      </c>
      <c r="J90" s="3">
        <v>43.47</v>
      </c>
      <c r="K90" s="3">
        <v>13.02</v>
      </c>
      <c r="L90" s="3">
        <v>56248.93</v>
      </c>
      <c r="M90" s="3">
        <v>55414.080000000002</v>
      </c>
      <c r="N90" s="3">
        <v>2.6850000000000001</v>
      </c>
      <c r="O90" s="3">
        <v>5.7480000000000003E-2</v>
      </c>
      <c r="P90" s="3">
        <v>2.1930000000000001</v>
      </c>
      <c r="Q90" s="3">
        <v>95.78</v>
      </c>
      <c r="R90" s="3">
        <v>7.3550000000000004</v>
      </c>
      <c r="S90" s="3">
        <v>59.68</v>
      </c>
    </row>
    <row r="91" spans="1:19" ht="14.4" x14ac:dyDescent="0.3">
      <c r="A91" s="2">
        <v>44048</v>
      </c>
      <c r="B91" s="3">
        <v>32.07</v>
      </c>
      <c r="C91" s="3">
        <v>39.97</v>
      </c>
      <c r="D91" s="3">
        <v>48.83</v>
      </c>
      <c r="E91" s="3">
        <v>52.12</v>
      </c>
      <c r="F91" s="3">
        <v>49.7</v>
      </c>
      <c r="G91" s="3">
        <v>42.19</v>
      </c>
      <c r="H91" s="3">
        <v>45.17</v>
      </c>
      <c r="I91" s="3">
        <v>43.88</v>
      </c>
      <c r="J91" s="3">
        <v>43.85</v>
      </c>
      <c r="K91" s="3">
        <v>13.1</v>
      </c>
      <c r="L91" s="3">
        <v>57629.36</v>
      </c>
      <c r="M91" s="3">
        <v>58112.92</v>
      </c>
      <c r="N91" s="3">
        <v>2.73</v>
      </c>
      <c r="O91" s="3">
        <v>5.7700000000000001E-2</v>
      </c>
      <c r="P91" s="3">
        <v>2.1909999999999998</v>
      </c>
      <c r="Q91" s="3">
        <v>96.16</v>
      </c>
      <c r="R91" s="3">
        <v>7.32</v>
      </c>
      <c r="S91" s="3">
        <v>60.87</v>
      </c>
    </row>
    <row r="92" spans="1:19" ht="14.4" x14ac:dyDescent="0.3">
      <c r="A92" s="2">
        <v>44049</v>
      </c>
      <c r="B92" s="3">
        <v>32.07</v>
      </c>
      <c r="C92" s="3">
        <v>39.97</v>
      </c>
      <c r="D92" s="3">
        <v>48.83</v>
      </c>
      <c r="E92" s="3">
        <v>52.12</v>
      </c>
      <c r="F92" s="3">
        <v>49.7</v>
      </c>
      <c r="G92" s="3">
        <v>41.95</v>
      </c>
      <c r="H92" s="3">
        <v>45.09</v>
      </c>
      <c r="I92" s="3">
        <v>43.61</v>
      </c>
      <c r="J92" s="3">
        <v>43.64</v>
      </c>
      <c r="K92" s="3">
        <v>12.9</v>
      </c>
      <c r="L92" s="3">
        <v>57656.69</v>
      </c>
      <c r="M92" s="3">
        <v>58099.68</v>
      </c>
      <c r="N92" s="3">
        <v>2.7749999999999999</v>
      </c>
      <c r="O92" s="3">
        <v>5.7349999999999998E-2</v>
      </c>
      <c r="P92" s="3">
        <v>2.165</v>
      </c>
      <c r="Q92" s="3">
        <v>97.46</v>
      </c>
      <c r="R92" s="3">
        <v>7.94</v>
      </c>
      <c r="S92" s="3">
        <v>62.35</v>
      </c>
    </row>
    <row r="93" spans="1:19" ht="14.4" x14ac:dyDescent="0.3">
      <c r="A93" s="2">
        <v>44050</v>
      </c>
      <c r="B93" s="3">
        <v>33.21</v>
      </c>
      <c r="C93" s="3">
        <v>41.52</v>
      </c>
      <c r="D93" s="3">
        <v>50.12</v>
      </c>
      <c r="E93" s="3">
        <v>54.02</v>
      </c>
      <c r="F93" s="3">
        <v>51.84</v>
      </c>
      <c r="G93" s="3">
        <v>41.22</v>
      </c>
      <c r="H93" s="3">
        <v>44.4</v>
      </c>
      <c r="I93" s="3">
        <v>43.33</v>
      </c>
      <c r="J93" s="3">
        <v>43.44</v>
      </c>
      <c r="K93" s="3">
        <v>12.8</v>
      </c>
      <c r="L93" s="3">
        <v>56757.73</v>
      </c>
      <c r="M93" s="3">
        <v>56818.48</v>
      </c>
      <c r="N93" s="3">
        <v>2.7850000000000001</v>
      </c>
      <c r="O93" s="3">
        <v>5.6669999999999998E-2</v>
      </c>
      <c r="P93" s="3">
        <v>2.238</v>
      </c>
      <c r="Q93" s="3">
        <v>100.96</v>
      </c>
      <c r="R93" s="3">
        <v>7.93</v>
      </c>
      <c r="S93" s="3">
        <v>61.18</v>
      </c>
    </row>
    <row r="94" spans="1:19" ht="14.4" x14ac:dyDescent="0.3">
      <c r="A94" s="2">
        <v>44053</v>
      </c>
      <c r="B94" s="3">
        <v>33.21</v>
      </c>
      <c r="C94" s="3">
        <v>41.52</v>
      </c>
      <c r="D94" s="3">
        <v>50.12</v>
      </c>
      <c r="E94" s="3">
        <v>54.02</v>
      </c>
      <c r="F94" s="3">
        <v>51.84</v>
      </c>
      <c r="G94" s="3">
        <v>41.94</v>
      </c>
      <c r="H94" s="3">
        <v>44.99</v>
      </c>
      <c r="I94" s="3">
        <v>43.78</v>
      </c>
      <c r="J94" s="3">
        <v>44.51</v>
      </c>
      <c r="K94" s="3">
        <v>12.6</v>
      </c>
      <c r="L94" s="5">
        <f>FORECAST(A94,L88:L93,A88:A93)</f>
        <v>58127.428648650646</v>
      </c>
      <c r="M94" s="5">
        <f>FORECAST(A94,M88:M93,A88:A93)</f>
        <v>59638.394054058939</v>
      </c>
      <c r="N94" s="3">
        <v>2.84</v>
      </c>
      <c r="O94" s="3">
        <v>5.6500000000000002E-2</v>
      </c>
      <c r="P94" s="3">
        <v>2.153</v>
      </c>
      <c r="Q94" s="3">
        <v>99.16</v>
      </c>
      <c r="R94" s="3">
        <v>7.59</v>
      </c>
      <c r="S94" s="3">
        <v>64.819999999999993</v>
      </c>
    </row>
    <row r="95" spans="1:19" ht="14.4" x14ac:dyDescent="0.3">
      <c r="A95" s="2">
        <v>44054</v>
      </c>
      <c r="B95" s="3">
        <v>33.21</v>
      </c>
      <c r="C95" s="3">
        <v>41.52</v>
      </c>
      <c r="D95" s="3">
        <v>50.12</v>
      </c>
      <c r="E95" s="3">
        <v>54.02</v>
      </c>
      <c r="F95" s="3">
        <v>51.84</v>
      </c>
      <c r="G95" s="3">
        <v>41.61</v>
      </c>
      <c r="H95" s="3">
        <v>44.5</v>
      </c>
      <c r="I95" s="3">
        <v>43.38</v>
      </c>
      <c r="J95" s="3">
        <v>44.97</v>
      </c>
      <c r="K95" s="3">
        <v>12.72</v>
      </c>
      <c r="L95" s="3">
        <v>57168.24</v>
      </c>
      <c r="M95" s="3">
        <v>56212.480000000003</v>
      </c>
      <c r="N95" s="3">
        <v>2.875</v>
      </c>
      <c r="O95" s="3">
        <v>5.7169999999999999E-2</v>
      </c>
      <c r="P95" s="3">
        <v>2.1709999999999998</v>
      </c>
      <c r="Q95" s="3">
        <v>98.61</v>
      </c>
      <c r="R95" s="3">
        <v>7.415</v>
      </c>
      <c r="S95" s="3">
        <v>63.78</v>
      </c>
    </row>
    <row r="96" spans="1:19" ht="14.4" x14ac:dyDescent="0.3">
      <c r="A96" s="2">
        <v>44055</v>
      </c>
      <c r="B96" s="3">
        <v>33.21</v>
      </c>
      <c r="C96" s="3">
        <v>41.52</v>
      </c>
      <c r="D96" s="3">
        <v>50.12</v>
      </c>
      <c r="E96" s="3">
        <v>54.02</v>
      </c>
      <c r="F96" s="3">
        <v>51.84</v>
      </c>
      <c r="G96" s="3">
        <v>42.67</v>
      </c>
      <c r="H96" s="3">
        <v>45.43</v>
      </c>
      <c r="I96" s="3">
        <v>43.97</v>
      </c>
      <c r="J96" s="3">
        <v>44.09</v>
      </c>
      <c r="K96" s="3">
        <v>13</v>
      </c>
      <c r="L96" s="3">
        <v>57417.279999999999</v>
      </c>
      <c r="M96" s="3">
        <v>56591.18</v>
      </c>
      <c r="N96" s="3">
        <v>2.88</v>
      </c>
      <c r="O96" s="3">
        <v>5.7230000000000003E-2</v>
      </c>
      <c r="P96" s="3">
        <v>2.1520000000000001</v>
      </c>
      <c r="Q96" s="3">
        <v>99.43</v>
      </c>
      <c r="R96" s="3">
        <v>7.17</v>
      </c>
      <c r="S96" s="3">
        <v>64.08</v>
      </c>
    </row>
    <row r="97" spans="1:19" ht="14.4" x14ac:dyDescent="0.3">
      <c r="A97" s="2">
        <v>44056</v>
      </c>
      <c r="B97" s="3">
        <v>33.21</v>
      </c>
      <c r="C97" s="3">
        <v>41.52</v>
      </c>
      <c r="D97" s="3">
        <v>50.12</v>
      </c>
      <c r="E97" s="3">
        <v>54.02</v>
      </c>
      <c r="F97" s="3">
        <v>51.84</v>
      </c>
      <c r="G97" s="3">
        <v>42.24</v>
      </c>
      <c r="H97" s="3">
        <v>44.96</v>
      </c>
      <c r="I97" s="3">
        <v>43.59</v>
      </c>
      <c r="J97" s="3">
        <v>43.01</v>
      </c>
      <c r="K97" s="3">
        <v>13.02</v>
      </c>
      <c r="L97" s="3">
        <v>57419.46</v>
      </c>
      <c r="M97" s="3">
        <v>56655.72</v>
      </c>
      <c r="N97" s="3">
        <v>2.8849999999999998</v>
      </c>
      <c r="O97" s="3">
        <v>5.7349999999999998E-2</v>
      </c>
      <c r="P97" s="3">
        <v>2.1819999999999999</v>
      </c>
      <c r="Q97" s="3">
        <v>100.2</v>
      </c>
      <c r="R97" s="3">
        <v>7.31</v>
      </c>
      <c r="S97" s="3">
        <v>63.33</v>
      </c>
    </row>
    <row r="98" spans="1:19" ht="14.4" x14ac:dyDescent="0.3">
      <c r="A98" s="2">
        <v>44057</v>
      </c>
      <c r="B98" s="3">
        <v>32.24</v>
      </c>
      <c r="C98" s="3">
        <v>41.5</v>
      </c>
      <c r="D98" s="3">
        <v>49.83</v>
      </c>
      <c r="E98" s="3">
        <v>54.21</v>
      </c>
      <c r="F98" s="3">
        <v>53.43</v>
      </c>
      <c r="G98" s="3">
        <v>42.01</v>
      </c>
      <c r="H98" s="3">
        <v>44.8</v>
      </c>
      <c r="I98" s="3">
        <v>43.39</v>
      </c>
      <c r="J98" s="3">
        <v>43.2</v>
      </c>
      <c r="K98" s="3">
        <v>12.86</v>
      </c>
      <c r="L98" s="3">
        <v>57077.48</v>
      </c>
      <c r="M98" s="3">
        <v>56628.52</v>
      </c>
      <c r="N98" s="3">
        <v>2.8980000000000001</v>
      </c>
      <c r="O98" s="3">
        <v>5.747E-2</v>
      </c>
      <c r="P98" s="3">
        <v>2.3559999999999999</v>
      </c>
      <c r="Q98" s="3">
        <v>102.49</v>
      </c>
      <c r="R98" s="3">
        <v>8.02</v>
      </c>
      <c r="S98" s="3">
        <v>61.8</v>
      </c>
    </row>
    <row r="99" spans="1:19" ht="14.4" x14ac:dyDescent="0.3">
      <c r="A99" s="2">
        <v>44060</v>
      </c>
      <c r="B99" s="3">
        <v>32.24</v>
      </c>
      <c r="C99" s="3">
        <v>41.5</v>
      </c>
      <c r="D99" s="3">
        <v>49.83</v>
      </c>
      <c r="E99" s="3">
        <v>54.21</v>
      </c>
      <c r="F99" s="3">
        <v>53.43</v>
      </c>
      <c r="G99" s="3">
        <v>42.89</v>
      </c>
      <c r="H99" s="3">
        <v>45.37</v>
      </c>
      <c r="I99" s="3">
        <v>43.78</v>
      </c>
      <c r="J99" s="3">
        <v>42.64</v>
      </c>
      <c r="K99" s="3">
        <v>13.02</v>
      </c>
      <c r="L99" s="3">
        <v>57435.08</v>
      </c>
      <c r="M99" s="3">
        <v>58077.94</v>
      </c>
      <c r="N99" s="3">
        <v>4.1749999999999998</v>
      </c>
      <c r="O99" s="3">
        <v>5.7070000000000003E-2</v>
      </c>
      <c r="P99" s="3">
        <v>2.339</v>
      </c>
      <c r="Q99" s="3">
        <v>104.05</v>
      </c>
      <c r="R99" s="3">
        <v>8.18</v>
      </c>
      <c r="S99" s="3">
        <v>61.87</v>
      </c>
    </row>
    <row r="100" spans="1:19" ht="14.4" x14ac:dyDescent="0.3">
      <c r="A100" s="2">
        <v>44061</v>
      </c>
      <c r="B100" s="3">
        <v>32.24</v>
      </c>
      <c r="C100" s="3">
        <v>41.5</v>
      </c>
      <c r="D100" s="3">
        <v>49.83</v>
      </c>
      <c r="E100" s="3">
        <v>54.21</v>
      </c>
      <c r="F100" s="3">
        <v>53.43</v>
      </c>
      <c r="G100" s="3">
        <v>42.89</v>
      </c>
      <c r="H100" s="3">
        <v>45.46</v>
      </c>
      <c r="I100" s="3">
        <v>43.96</v>
      </c>
      <c r="J100" s="3">
        <v>42.43</v>
      </c>
      <c r="K100" s="3">
        <v>12.84</v>
      </c>
      <c r="L100" s="3">
        <v>57025.16</v>
      </c>
      <c r="M100" s="3">
        <v>57032.62</v>
      </c>
      <c r="N100" s="3">
        <v>4.22</v>
      </c>
      <c r="O100" s="3">
        <v>5.7709999999999997E-2</v>
      </c>
      <c r="P100" s="3">
        <v>2.4169999999999998</v>
      </c>
      <c r="Q100" s="3">
        <v>104.38</v>
      </c>
      <c r="R100" s="3">
        <v>8.5500000000000007</v>
      </c>
      <c r="S100" s="3">
        <v>61.73</v>
      </c>
    </row>
    <row r="101" spans="1:19" ht="14.4" x14ac:dyDescent="0.3">
      <c r="A101" s="2">
        <v>44062</v>
      </c>
      <c r="B101" s="3">
        <v>32.24</v>
      </c>
      <c r="C101" s="3">
        <v>41.5</v>
      </c>
      <c r="D101" s="3">
        <v>49.83</v>
      </c>
      <c r="E101" s="3">
        <v>54.21</v>
      </c>
      <c r="F101" s="3">
        <v>53.43</v>
      </c>
      <c r="G101" s="3">
        <v>42.93</v>
      </c>
      <c r="H101" s="3">
        <v>45.37</v>
      </c>
      <c r="I101" s="3">
        <v>43.96</v>
      </c>
      <c r="J101" s="3">
        <v>41.96</v>
      </c>
      <c r="K101" s="3">
        <v>12.84</v>
      </c>
      <c r="L101" s="3">
        <v>56433.279999999999</v>
      </c>
      <c r="M101" s="3">
        <v>56145.79</v>
      </c>
      <c r="N101" s="3">
        <v>4.09</v>
      </c>
      <c r="O101" s="3">
        <v>5.7869999999999998E-2</v>
      </c>
      <c r="P101" s="3">
        <v>2.4260000000000002</v>
      </c>
      <c r="Q101" s="3">
        <v>103.53</v>
      </c>
      <c r="R101" s="3">
        <v>8.3550000000000004</v>
      </c>
      <c r="S101" s="3">
        <v>63.37</v>
      </c>
    </row>
    <row r="102" spans="1:19" ht="14.4" x14ac:dyDescent="0.3">
      <c r="A102" s="2">
        <v>44063</v>
      </c>
      <c r="B102" s="3">
        <v>32.24</v>
      </c>
      <c r="C102" s="3">
        <v>41.5</v>
      </c>
      <c r="D102" s="3">
        <v>49.83</v>
      </c>
      <c r="E102" s="3">
        <v>54.21</v>
      </c>
      <c r="F102" s="3">
        <v>53.43</v>
      </c>
      <c r="G102" s="3">
        <v>42.58</v>
      </c>
      <c r="H102" s="3">
        <v>44.9</v>
      </c>
      <c r="I102" s="3">
        <v>43.78</v>
      </c>
      <c r="J102" s="3">
        <v>41.32</v>
      </c>
      <c r="K102" s="3">
        <v>12.58</v>
      </c>
      <c r="L102" s="3">
        <v>55629.98</v>
      </c>
      <c r="M102" s="3">
        <v>54950.65</v>
      </c>
      <c r="N102" s="3">
        <v>3.9249999999999998</v>
      </c>
      <c r="O102" s="3">
        <v>5.7880000000000001E-2</v>
      </c>
      <c r="P102" s="3">
        <v>2.3519999999999999</v>
      </c>
      <c r="Q102" s="3">
        <v>103.75</v>
      </c>
      <c r="R102" s="3">
        <v>8.15</v>
      </c>
      <c r="S102" s="3">
        <v>63.15</v>
      </c>
    </row>
    <row r="103" spans="1:19" ht="14.4" x14ac:dyDescent="0.3">
      <c r="A103" s="2">
        <v>44064</v>
      </c>
      <c r="B103" s="3">
        <v>34</v>
      </c>
      <c r="C103" s="3">
        <v>44.09</v>
      </c>
      <c r="D103" s="3">
        <v>51.33</v>
      </c>
      <c r="E103" s="3">
        <v>56.36</v>
      </c>
      <c r="F103" s="3">
        <v>54.22</v>
      </c>
      <c r="G103" s="3">
        <v>42.34</v>
      </c>
      <c r="H103" s="3">
        <v>44.35</v>
      </c>
      <c r="I103" s="3">
        <v>43.69</v>
      </c>
      <c r="J103" s="3">
        <v>41.01</v>
      </c>
      <c r="K103" s="3">
        <v>12.58</v>
      </c>
      <c r="L103" s="3">
        <v>55949.919999999998</v>
      </c>
      <c r="M103" s="3">
        <v>54309.24</v>
      </c>
      <c r="N103" s="3">
        <v>3.7050000000000001</v>
      </c>
      <c r="O103" s="3">
        <v>5.8250000000000003E-2</v>
      </c>
      <c r="P103" s="3">
        <v>2.448</v>
      </c>
      <c r="Q103" s="3">
        <v>104.2</v>
      </c>
      <c r="R103" s="3">
        <v>7.62</v>
      </c>
      <c r="S103" s="3">
        <v>62.9</v>
      </c>
    </row>
    <row r="104" spans="1:19" ht="14.4" x14ac:dyDescent="0.3">
      <c r="A104" s="2">
        <v>44067</v>
      </c>
      <c r="B104" s="3">
        <v>34</v>
      </c>
      <c r="C104" s="3">
        <v>44.09</v>
      </c>
      <c r="D104" s="3">
        <v>51.33</v>
      </c>
      <c r="E104" s="3">
        <v>56.36</v>
      </c>
      <c r="F104" s="3">
        <v>54.22</v>
      </c>
      <c r="G104" s="3">
        <v>42.62</v>
      </c>
      <c r="H104" s="3">
        <v>45.13</v>
      </c>
      <c r="I104" s="3">
        <v>43.91</v>
      </c>
      <c r="J104" s="3">
        <v>42.22</v>
      </c>
      <c r="K104" s="3">
        <v>12.52</v>
      </c>
      <c r="L104" s="3">
        <v>56625.42</v>
      </c>
      <c r="M104" s="3">
        <v>54576.959999999999</v>
      </c>
      <c r="N104" s="3">
        <v>3.9049999999999998</v>
      </c>
      <c r="O104" s="3">
        <v>5.8979999999999998E-2</v>
      </c>
      <c r="P104" s="3">
        <v>2.5129999999999999</v>
      </c>
      <c r="Q104" s="3">
        <v>105.81</v>
      </c>
      <c r="R104" s="3">
        <v>8.36</v>
      </c>
      <c r="S104" s="3">
        <v>63.77</v>
      </c>
    </row>
    <row r="105" spans="1:19" ht="14.4" x14ac:dyDescent="0.3">
      <c r="A105" s="2">
        <v>44068</v>
      </c>
      <c r="B105" s="3">
        <v>34</v>
      </c>
      <c r="C105" s="3">
        <v>44.09</v>
      </c>
      <c r="D105" s="3">
        <v>51.33</v>
      </c>
      <c r="E105" s="3">
        <v>56.36</v>
      </c>
      <c r="F105" s="3">
        <v>54.22</v>
      </c>
      <c r="G105" s="3">
        <v>43.35</v>
      </c>
      <c r="H105" s="3">
        <v>45.86</v>
      </c>
      <c r="I105" s="3">
        <v>44</v>
      </c>
      <c r="J105" s="3">
        <v>40.880000000000003</v>
      </c>
      <c r="K105" s="3">
        <v>12.6</v>
      </c>
      <c r="L105" s="3">
        <v>56114.23</v>
      </c>
      <c r="M105" s="3">
        <v>52987.21</v>
      </c>
      <c r="N105" s="3">
        <v>4.0250000000000004</v>
      </c>
      <c r="O105" s="3">
        <v>5.9330000000000001E-2</v>
      </c>
      <c r="P105" s="3">
        <v>2.4889999999999999</v>
      </c>
      <c r="Q105" s="3">
        <v>104.44</v>
      </c>
      <c r="R105" s="3">
        <v>8.8650000000000002</v>
      </c>
      <c r="S105" s="3">
        <v>64.099999999999994</v>
      </c>
    </row>
    <row r="106" spans="1:19" ht="14.4" x14ac:dyDescent="0.3">
      <c r="A106" s="2">
        <v>44069</v>
      </c>
      <c r="B106" s="3">
        <v>34</v>
      </c>
      <c r="C106" s="3">
        <v>44.09</v>
      </c>
      <c r="D106" s="3">
        <v>51.33</v>
      </c>
      <c r="E106" s="3">
        <v>56.36</v>
      </c>
      <c r="F106" s="3">
        <v>54.22</v>
      </c>
      <c r="G106" s="3">
        <v>43.39</v>
      </c>
      <c r="H106" s="3">
        <v>45.64</v>
      </c>
      <c r="I106" s="3">
        <v>43.96</v>
      </c>
      <c r="J106" s="3">
        <v>40.01</v>
      </c>
      <c r="K106" s="3">
        <v>12.6</v>
      </c>
      <c r="L106" s="3">
        <v>56572.24</v>
      </c>
      <c r="M106" s="3">
        <v>53710.8</v>
      </c>
      <c r="N106" s="3">
        <v>4.1050000000000004</v>
      </c>
      <c r="O106" s="3">
        <v>5.9229999999999998E-2</v>
      </c>
      <c r="P106" s="3">
        <v>2.4609999999999999</v>
      </c>
      <c r="Q106" s="3">
        <v>105</v>
      </c>
      <c r="R106" s="3">
        <v>9.15</v>
      </c>
      <c r="S106" s="3">
        <v>63.68</v>
      </c>
    </row>
    <row r="107" spans="1:19" ht="14.4" x14ac:dyDescent="0.3">
      <c r="A107" s="2">
        <v>44070</v>
      </c>
      <c r="B107" s="3">
        <v>34</v>
      </c>
      <c r="C107" s="3">
        <v>44.09</v>
      </c>
      <c r="D107" s="3">
        <v>51.33</v>
      </c>
      <c r="E107" s="3">
        <v>56.36</v>
      </c>
      <c r="F107" s="3">
        <v>54.22</v>
      </c>
      <c r="G107" s="3">
        <v>43.04</v>
      </c>
      <c r="H107" s="3">
        <v>45.09</v>
      </c>
      <c r="I107" s="3">
        <v>43.96</v>
      </c>
      <c r="J107" s="3">
        <v>39.74</v>
      </c>
      <c r="K107" s="3">
        <v>12.6</v>
      </c>
      <c r="L107" s="3">
        <v>56869.67</v>
      </c>
      <c r="M107" s="3">
        <v>53537.23</v>
      </c>
      <c r="N107" s="3">
        <v>3.9750000000000001</v>
      </c>
      <c r="O107" s="3">
        <v>5.8630000000000002E-2</v>
      </c>
      <c r="P107" s="3">
        <v>2.5790000000000002</v>
      </c>
      <c r="Q107" s="3">
        <v>105.01</v>
      </c>
      <c r="R107" s="3">
        <v>8.8699999999999992</v>
      </c>
      <c r="S107" s="3">
        <v>63.8</v>
      </c>
    </row>
    <row r="108" spans="1:19" ht="14.4" x14ac:dyDescent="0.3">
      <c r="A108" s="2">
        <v>44071</v>
      </c>
      <c r="B108" s="3">
        <v>33.42</v>
      </c>
      <c r="C108" s="3">
        <v>44.2</v>
      </c>
      <c r="D108" s="3">
        <v>51.22</v>
      </c>
      <c r="E108" s="3">
        <v>55.91</v>
      </c>
      <c r="F108" s="3">
        <v>55.28</v>
      </c>
      <c r="G108" s="3">
        <v>42.97</v>
      </c>
      <c r="H108" s="3">
        <v>45.05</v>
      </c>
      <c r="I108" s="3">
        <v>43.94</v>
      </c>
      <c r="J108" s="3">
        <v>40.69</v>
      </c>
      <c r="K108" s="3">
        <v>12.58</v>
      </c>
      <c r="L108" s="3">
        <v>56057.1</v>
      </c>
      <c r="M108" s="3">
        <v>53791.65</v>
      </c>
      <c r="N108" s="3">
        <v>4.2249999999999996</v>
      </c>
      <c r="O108" s="3">
        <v>6.0240000000000002E-2</v>
      </c>
      <c r="P108" s="3">
        <v>2.657</v>
      </c>
      <c r="Q108" s="3">
        <v>105.56</v>
      </c>
      <c r="R108" s="3">
        <v>11.17</v>
      </c>
      <c r="S108" s="3">
        <v>64.27</v>
      </c>
    </row>
    <row r="109" spans="1:19" ht="14.4" x14ac:dyDescent="0.3">
      <c r="A109" s="2">
        <v>44074</v>
      </c>
      <c r="B109" s="1">
        <f t="shared" ref="B109:D109" si="9">B108</f>
        <v>33.42</v>
      </c>
      <c r="C109" s="1">
        <f t="shared" si="9"/>
        <v>44.2</v>
      </c>
      <c r="D109" s="1">
        <f t="shared" si="9"/>
        <v>51.22</v>
      </c>
      <c r="E109" s="3">
        <v>55.91</v>
      </c>
      <c r="F109" s="1">
        <f>F108</f>
        <v>55.28</v>
      </c>
      <c r="G109" s="3">
        <v>42.61</v>
      </c>
      <c r="H109" s="3">
        <v>45.28</v>
      </c>
      <c r="I109" s="3">
        <v>43.99</v>
      </c>
      <c r="J109" s="3">
        <v>39.94</v>
      </c>
      <c r="K109" s="3">
        <v>12.94</v>
      </c>
      <c r="L109" s="3">
        <v>55476.11</v>
      </c>
      <c r="M109" s="3">
        <v>53881.96</v>
      </c>
      <c r="N109" s="3">
        <v>4.2249999999999996</v>
      </c>
      <c r="O109" s="3">
        <v>5.8999999999999997E-2</v>
      </c>
      <c r="P109" s="3">
        <v>2.63</v>
      </c>
      <c r="Q109" s="3">
        <v>106.23</v>
      </c>
      <c r="R109" s="3">
        <v>11.24</v>
      </c>
      <c r="S109" s="3">
        <v>64.28</v>
      </c>
    </row>
    <row r="110" spans="1:19" ht="14.4" x14ac:dyDescent="0.3">
      <c r="A110" s="2">
        <v>44075</v>
      </c>
      <c r="B110" s="3">
        <v>33.42</v>
      </c>
      <c r="C110" s="3">
        <v>44.2</v>
      </c>
      <c r="D110" s="3">
        <v>51.22</v>
      </c>
      <c r="E110" s="3">
        <v>55.91</v>
      </c>
      <c r="F110" s="3">
        <v>55.28</v>
      </c>
      <c r="G110" s="3">
        <v>42.76</v>
      </c>
      <c r="H110" s="3">
        <v>45.58</v>
      </c>
      <c r="I110" s="3">
        <v>44.85</v>
      </c>
      <c r="J110" s="3">
        <v>39.43</v>
      </c>
      <c r="K110" s="3">
        <v>13.1</v>
      </c>
      <c r="L110" s="3">
        <v>55927.69</v>
      </c>
      <c r="M110" s="3">
        <v>54072.3</v>
      </c>
      <c r="N110" s="3">
        <v>4.3</v>
      </c>
      <c r="O110" s="3">
        <v>6.0040000000000003E-2</v>
      </c>
      <c r="P110" s="3">
        <v>2.5270000000000001</v>
      </c>
      <c r="Q110" s="3">
        <v>106.52</v>
      </c>
      <c r="R110" s="3">
        <v>11.295</v>
      </c>
      <c r="S110" s="3">
        <v>64.02</v>
      </c>
    </row>
    <row r="111" spans="1:19" ht="14.4" x14ac:dyDescent="0.3">
      <c r="A111" s="2">
        <v>44076</v>
      </c>
      <c r="B111" s="3">
        <v>33.42</v>
      </c>
      <c r="C111" s="3">
        <v>44.2</v>
      </c>
      <c r="D111" s="3">
        <v>51.22</v>
      </c>
      <c r="E111" s="3">
        <v>55.91</v>
      </c>
      <c r="F111" s="3">
        <v>55.28</v>
      </c>
      <c r="G111" s="3">
        <v>41.51</v>
      </c>
      <c r="H111" s="3">
        <v>44.43</v>
      </c>
      <c r="I111" s="3">
        <v>43.83</v>
      </c>
      <c r="J111" s="3">
        <v>39.19</v>
      </c>
      <c r="K111" s="3">
        <v>13.02</v>
      </c>
      <c r="L111" s="3">
        <v>55861.88</v>
      </c>
      <c r="M111" s="3">
        <v>53684.05</v>
      </c>
      <c r="N111" s="3">
        <v>4.2249999999999996</v>
      </c>
      <c r="O111" s="3">
        <v>5.9470000000000002E-2</v>
      </c>
      <c r="P111" s="3">
        <v>2.4860000000000002</v>
      </c>
      <c r="Q111" s="3">
        <v>106.33</v>
      </c>
      <c r="R111" s="3">
        <v>11.11</v>
      </c>
      <c r="S111" s="3">
        <v>64.33</v>
      </c>
    </row>
    <row r="112" spans="1:19" ht="14.4" x14ac:dyDescent="0.3">
      <c r="A112" s="2">
        <v>44077</v>
      </c>
      <c r="B112" s="3">
        <v>33.42</v>
      </c>
      <c r="C112" s="3">
        <v>44.2</v>
      </c>
      <c r="D112" s="3">
        <v>51.22</v>
      </c>
      <c r="E112" s="3">
        <v>55.91</v>
      </c>
      <c r="F112" s="3">
        <v>55.28</v>
      </c>
      <c r="G112" s="3">
        <v>41.37</v>
      </c>
      <c r="H112" s="3">
        <v>44.07</v>
      </c>
      <c r="I112" s="3">
        <v>43.61</v>
      </c>
      <c r="J112" s="3">
        <v>39.11</v>
      </c>
      <c r="K112" s="3">
        <v>13.18</v>
      </c>
      <c r="L112" s="3">
        <v>54522.35</v>
      </c>
      <c r="M112" s="3">
        <v>52084.57</v>
      </c>
      <c r="N112" s="3">
        <v>4.34</v>
      </c>
      <c r="O112" s="3">
        <v>5.9749999999999998E-2</v>
      </c>
      <c r="P112" s="3">
        <v>2.4870000000000001</v>
      </c>
      <c r="Q112" s="3">
        <v>103.22</v>
      </c>
      <c r="R112" s="3">
        <v>11.734999999999999</v>
      </c>
      <c r="S112" s="3">
        <v>65.02</v>
      </c>
    </row>
    <row r="113" spans="1:19" ht="14.4" x14ac:dyDescent="0.3">
      <c r="A113" s="2">
        <v>44078</v>
      </c>
      <c r="B113" s="3">
        <v>34.32</v>
      </c>
      <c r="C113" s="3">
        <v>45.09</v>
      </c>
      <c r="D113" s="3">
        <v>52.71</v>
      </c>
      <c r="E113" s="3">
        <v>57.13</v>
      </c>
      <c r="F113" s="3">
        <v>56</v>
      </c>
      <c r="G113" s="3">
        <v>39.770000000000003</v>
      </c>
      <c r="H113" s="3">
        <v>42.66</v>
      </c>
      <c r="I113" s="3">
        <v>42.61</v>
      </c>
      <c r="J113" s="3">
        <v>39.08</v>
      </c>
      <c r="K113" s="3">
        <v>13.36</v>
      </c>
      <c r="L113" s="3">
        <v>53878.95</v>
      </c>
      <c r="M113" s="3">
        <v>52279.12</v>
      </c>
      <c r="N113" s="3">
        <v>4.2249999999999996</v>
      </c>
      <c r="O113" s="3">
        <v>6.0159999999999998E-2</v>
      </c>
      <c r="P113" s="3">
        <v>2.5880000000000001</v>
      </c>
      <c r="Q113" s="3">
        <v>100.08</v>
      </c>
      <c r="R113" s="3">
        <v>11.68</v>
      </c>
      <c r="S113" s="3">
        <v>63.68</v>
      </c>
    </row>
    <row r="114" spans="1:19" ht="14.4" x14ac:dyDescent="0.3">
      <c r="A114" s="2">
        <v>44081</v>
      </c>
      <c r="B114" s="3">
        <v>34.32</v>
      </c>
      <c r="C114" s="3">
        <v>45.09</v>
      </c>
      <c r="D114" s="3">
        <v>52.71</v>
      </c>
      <c r="E114" s="3">
        <v>57.13</v>
      </c>
      <c r="F114" s="3">
        <v>56</v>
      </c>
      <c r="G114" s="3">
        <v>39.200000000000003</v>
      </c>
      <c r="H114" s="3">
        <v>42.01</v>
      </c>
      <c r="I114" s="1">
        <f>(I113+I115)/2</f>
        <v>41.405000000000001</v>
      </c>
      <c r="J114" s="1">
        <f>(J113+J115)/2</f>
        <v>38.629999999999995</v>
      </c>
      <c r="K114" s="3">
        <v>13.08</v>
      </c>
      <c r="L114" s="3">
        <v>54400.28</v>
      </c>
      <c r="M114" s="3">
        <v>53551.07</v>
      </c>
      <c r="N114" s="5">
        <f>FORECAST(A114,N108:N113,A108:A113)</f>
        <v>4.2941891891892396</v>
      </c>
      <c r="O114" s="3">
        <v>5.9700000000000003E-2</v>
      </c>
      <c r="P114" s="3">
        <v>2.5409999999999999</v>
      </c>
      <c r="Q114" s="1">
        <f>AVERAGE(Q113,Q115)</f>
        <v>99.449999999999989</v>
      </c>
      <c r="R114" s="5">
        <f>AVERAGE(R113,R115)</f>
        <v>11.24</v>
      </c>
      <c r="S114" s="3">
        <v>63.33</v>
      </c>
    </row>
    <row r="115" spans="1:19" ht="14.4" x14ac:dyDescent="0.3">
      <c r="A115" s="2">
        <v>44082</v>
      </c>
      <c r="B115" s="3">
        <v>34.32</v>
      </c>
      <c r="C115" s="3">
        <v>45.09</v>
      </c>
      <c r="D115" s="3">
        <v>52.71</v>
      </c>
      <c r="E115" s="3">
        <v>57.13</v>
      </c>
      <c r="F115" s="3">
        <v>56</v>
      </c>
      <c r="G115" s="3">
        <v>36.76</v>
      </c>
      <c r="H115" s="3">
        <v>39.78</v>
      </c>
      <c r="I115" s="3">
        <v>40.200000000000003</v>
      </c>
      <c r="J115" s="3">
        <v>38.18</v>
      </c>
      <c r="K115" s="3">
        <v>13.4</v>
      </c>
      <c r="L115" s="3">
        <v>54438.82</v>
      </c>
      <c r="M115" s="3">
        <v>52888.27</v>
      </c>
      <c r="N115" s="3">
        <v>4.32</v>
      </c>
      <c r="O115" s="3">
        <v>5.8999999999999997E-2</v>
      </c>
      <c r="P115" s="3">
        <v>2.4</v>
      </c>
      <c r="Q115" s="3">
        <v>98.82</v>
      </c>
      <c r="R115" s="3">
        <v>10.8</v>
      </c>
      <c r="S115" s="3">
        <v>63.95</v>
      </c>
    </row>
    <row r="116" spans="1:19" ht="14.4" x14ac:dyDescent="0.3">
      <c r="A116" s="2">
        <v>44083</v>
      </c>
      <c r="B116" s="3">
        <v>34.32</v>
      </c>
      <c r="C116" s="3">
        <v>45.09</v>
      </c>
      <c r="D116" s="3">
        <v>52.71</v>
      </c>
      <c r="E116" s="3">
        <v>57.13</v>
      </c>
      <c r="F116" s="3">
        <v>56</v>
      </c>
      <c r="G116" s="3">
        <v>38.049999999999997</v>
      </c>
      <c r="H116" s="3">
        <v>40.79</v>
      </c>
      <c r="I116" s="3">
        <v>40.78</v>
      </c>
      <c r="J116" s="3">
        <v>37.950000000000003</v>
      </c>
      <c r="K116" s="3">
        <v>13.24</v>
      </c>
      <c r="L116" s="3">
        <v>55211.34</v>
      </c>
      <c r="M116" s="3">
        <v>53271.41</v>
      </c>
      <c r="N116" s="3">
        <v>4.25</v>
      </c>
      <c r="O116" s="3">
        <v>6.019E-2</v>
      </c>
      <c r="P116" s="3">
        <v>2.4060000000000001</v>
      </c>
      <c r="Q116" s="3">
        <v>101.21</v>
      </c>
      <c r="R116" s="3">
        <v>10.734999999999999</v>
      </c>
      <c r="S116" s="3">
        <v>62.9</v>
      </c>
    </row>
    <row r="117" spans="1:19" ht="14.4" x14ac:dyDescent="0.3">
      <c r="A117" s="2">
        <v>44084</v>
      </c>
      <c r="B117" s="3">
        <v>34.32</v>
      </c>
      <c r="C117" s="3">
        <v>45.09</v>
      </c>
      <c r="D117" s="3">
        <v>52.71</v>
      </c>
      <c r="E117" s="3">
        <v>57.13</v>
      </c>
      <c r="F117" s="3">
        <v>56</v>
      </c>
      <c r="G117" s="3">
        <v>37.299999999999997</v>
      </c>
      <c r="H117" s="3">
        <v>40.06</v>
      </c>
      <c r="I117" s="3">
        <v>40.25</v>
      </c>
      <c r="J117" s="3">
        <v>37</v>
      </c>
      <c r="K117" s="3">
        <v>13.08</v>
      </c>
      <c r="L117" s="3">
        <v>55953.96</v>
      </c>
      <c r="M117" s="3">
        <v>53750.78</v>
      </c>
      <c r="N117" s="3">
        <v>4.3099999999999996</v>
      </c>
      <c r="O117" s="3">
        <v>5.9119999999999999E-2</v>
      </c>
      <c r="P117" s="3">
        <v>2.323</v>
      </c>
      <c r="Q117" s="3">
        <v>98.25</v>
      </c>
      <c r="R117" s="3">
        <v>10.515000000000001</v>
      </c>
      <c r="S117" s="3">
        <v>64.17</v>
      </c>
    </row>
    <row r="118" spans="1:19" ht="14.4" x14ac:dyDescent="0.3">
      <c r="A118" s="2">
        <v>44085</v>
      </c>
      <c r="B118" s="3">
        <v>33.14</v>
      </c>
      <c r="C118" s="3">
        <v>43.56</v>
      </c>
      <c r="D118" s="3">
        <v>51.58</v>
      </c>
      <c r="E118" s="3">
        <v>55.72</v>
      </c>
      <c r="F118" s="3">
        <v>55.52</v>
      </c>
      <c r="G118" s="3">
        <v>37.33</v>
      </c>
      <c r="H118" s="3">
        <v>39.83</v>
      </c>
      <c r="I118" s="3">
        <v>40.24</v>
      </c>
      <c r="J118" s="3">
        <v>36.9</v>
      </c>
      <c r="K118" s="3">
        <v>13.18</v>
      </c>
      <c r="L118" s="3">
        <v>56087.839999999997</v>
      </c>
      <c r="M118" s="3">
        <v>54455.08</v>
      </c>
      <c r="N118" s="3">
        <v>4.3099999999999996</v>
      </c>
      <c r="O118" s="3">
        <v>5.9670000000000001E-2</v>
      </c>
      <c r="P118" s="3">
        <v>2.2690000000000001</v>
      </c>
      <c r="Q118" s="3">
        <v>98.23</v>
      </c>
      <c r="R118" s="3">
        <v>10.494999999999999</v>
      </c>
      <c r="S118" s="3">
        <v>63.43</v>
      </c>
    </row>
    <row r="119" spans="1:19" ht="14.4" x14ac:dyDescent="0.3">
      <c r="A119" s="2">
        <v>44088</v>
      </c>
      <c r="B119" s="3">
        <v>33.14</v>
      </c>
      <c r="C119" s="3">
        <v>43.56</v>
      </c>
      <c r="D119" s="3">
        <v>51.58</v>
      </c>
      <c r="E119" s="3">
        <v>55.72</v>
      </c>
      <c r="F119" s="3">
        <v>55.52</v>
      </c>
      <c r="G119" s="3">
        <v>37.26</v>
      </c>
      <c r="H119" s="3">
        <v>39.61</v>
      </c>
      <c r="I119" s="3">
        <v>40.15</v>
      </c>
      <c r="J119" s="3">
        <v>36.659999999999997</v>
      </c>
      <c r="K119" s="3">
        <v>13.26</v>
      </c>
      <c r="L119" s="3">
        <v>56327.05</v>
      </c>
      <c r="M119" s="3">
        <v>54929.3</v>
      </c>
      <c r="N119" s="3">
        <v>4.3099999999999996</v>
      </c>
      <c r="O119" s="3">
        <v>5.9979999999999999E-2</v>
      </c>
      <c r="P119" s="3">
        <v>2.31</v>
      </c>
      <c r="Q119" s="3">
        <v>100.46</v>
      </c>
      <c r="R119" s="3">
        <v>10.705</v>
      </c>
      <c r="S119" s="3">
        <v>68.75</v>
      </c>
    </row>
    <row r="120" spans="1:19" ht="14.4" x14ac:dyDescent="0.3">
      <c r="A120" s="2">
        <v>44089</v>
      </c>
      <c r="B120" s="3">
        <v>33.14</v>
      </c>
      <c r="C120" s="3">
        <v>43.56</v>
      </c>
      <c r="D120" s="3">
        <v>51.58</v>
      </c>
      <c r="E120" s="3">
        <v>55.72</v>
      </c>
      <c r="F120" s="3">
        <v>55.52</v>
      </c>
      <c r="G120" s="3">
        <v>38.28</v>
      </c>
      <c r="H120" s="3">
        <v>40.53</v>
      </c>
      <c r="I120" s="3">
        <v>40.69</v>
      </c>
      <c r="J120" s="3">
        <v>36.270000000000003</v>
      </c>
      <c r="K120" s="3">
        <v>13.34</v>
      </c>
      <c r="L120" s="3">
        <v>56130.78</v>
      </c>
      <c r="M120" s="3">
        <v>54955.76</v>
      </c>
      <c r="N120" s="3">
        <v>4.3079999999999998</v>
      </c>
      <c r="O120" s="3">
        <v>6.08E-2</v>
      </c>
      <c r="P120" s="3">
        <v>2.3620000000000001</v>
      </c>
      <c r="Q120" s="3">
        <v>100.53</v>
      </c>
      <c r="R120" s="3">
        <v>10.895</v>
      </c>
      <c r="S120" s="3">
        <v>68.27</v>
      </c>
    </row>
    <row r="121" spans="1:19" ht="14.4" x14ac:dyDescent="0.3">
      <c r="A121" s="2">
        <v>44090</v>
      </c>
      <c r="B121" s="3">
        <v>33.14</v>
      </c>
      <c r="C121" s="3">
        <v>43.56</v>
      </c>
      <c r="D121" s="3">
        <v>51.58</v>
      </c>
      <c r="E121" s="3">
        <v>55.72</v>
      </c>
      <c r="F121" s="3">
        <v>55.52</v>
      </c>
      <c r="G121" s="3">
        <v>40.159999999999997</v>
      </c>
      <c r="H121" s="3">
        <v>42.22</v>
      </c>
      <c r="I121" s="3">
        <v>41.58</v>
      </c>
      <c r="J121" s="3">
        <v>37.81</v>
      </c>
      <c r="K121" s="3">
        <v>13.26</v>
      </c>
      <c r="L121" s="3">
        <v>55960.74</v>
      </c>
      <c r="M121" s="3">
        <v>54850.07</v>
      </c>
      <c r="N121" s="3">
        <v>4.8949999999999996</v>
      </c>
      <c r="O121" s="3">
        <v>6.1559999999999997E-2</v>
      </c>
      <c r="P121" s="3">
        <v>2.2669999999999999</v>
      </c>
      <c r="Q121" s="3">
        <v>100.91</v>
      </c>
      <c r="R121" s="3">
        <v>11.32</v>
      </c>
      <c r="S121" s="3">
        <v>70.33</v>
      </c>
    </row>
    <row r="122" spans="1:19" ht="14.4" x14ac:dyDescent="0.3">
      <c r="A122" s="2">
        <v>44091</v>
      </c>
      <c r="B122" s="3">
        <v>33.14</v>
      </c>
      <c r="C122" s="3">
        <v>43.56</v>
      </c>
      <c r="D122" s="3">
        <v>51.58</v>
      </c>
      <c r="E122" s="3">
        <v>55.72</v>
      </c>
      <c r="F122" s="3">
        <v>55.52</v>
      </c>
      <c r="G122" s="3">
        <v>40.97</v>
      </c>
      <c r="H122" s="3">
        <v>43.3</v>
      </c>
      <c r="I122" s="3">
        <v>42.02</v>
      </c>
      <c r="J122" s="3">
        <v>37.799999999999997</v>
      </c>
      <c r="K122" s="3">
        <v>13.4</v>
      </c>
      <c r="L122" s="3">
        <v>55035.6</v>
      </c>
      <c r="M122" s="3">
        <v>52992.84</v>
      </c>
      <c r="N122" s="3">
        <v>4.8449999999999998</v>
      </c>
      <c r="O122" s="3">
        <v>6.1870000000000001E-2</v>
      </c>
      <c r="P122" s="3">
        <v>2.0419999999999998</v>
      </c>
      <c r="Q122" s="3">
        <v>99.96</v>
      </c>
      <c r="R122" s="3">
        <v>11.12</v>
      </c>
      <c r="S122" s="3">
        <v>69.180000000000007</v>
      </c>
    </row>
    <row r="123" spans="1:19" ht="14.4" x14ac:dyDescent="0.3">
      <c r="A123" s="2">
        <v>44092</v>
      </c>
      <c r="B123" s="3">
        <v>34.18</v>
      </c>
      <c r="C123" s="3">
        <v>45.13</v>
      </c>
      <c r="D123" s="3">
        <v>53.19</v>
      </c>
      <c r="E123" s="3">
        <v>56.18</v>
      </c>
      <c r="F123" s="3">
        <v>55.66</v>
      </c>
      <c r="G123" s="3">
        <v>41.11</v>
      </c>
      <c r="H123" s="3">
        <v>43.15</v>
      </c>
      <c r="I123" s="3">
        <v>42.01</v>
      </c>
      <c r="J123" s="3">
        <v>37.19</v>
      </c>
      <c r="K123" s="3">
        <v>13.66</v>
      </c>
      <c r="L123" s="3">
        <v>54673.65</v>
      </c>
      <c r="M123" s="3">
        <v>53198.46</v>
      </c>
      <c r="N123" s="3">
        <v>4.8449999999999998</v>
      </c>
      <c r="O123" s="3">
        <v>6.1199999999999997E-2</v>
      </c>
      <c r="P123" s="3">
        <v>2.048</v>
      </c>
      <c r="Q123" s="3">
        <v>99.21</v>
      </c>
      <c r="R123" s="3">
        <v>11.475</v>
      </c>
      <c r="S123" s="3">
        <v>68.97</v>
      </c>
    </row>
    <row r="124" spans="1:19" ht="14.4" x14ac:dyDescent="0.3">
      <c r="A124" s="2">
        <v>44095</v>
      </c>
      <c r="B124" s="3">
        <v>34.18</v>
      </c>
      <c r="C124" s="3">
        <v>45.13</v>
      </c>
      <c r="D124" s="3">
        <v>53.19</v>
      </c>
      <c r="E124" s="3">
        <v>56.18</v>
      </c>
      <c r="F124" s="3">
        <v>55.66</v>
      </c>
      <c r="G124" s="3">
        <v>39.31</v>
      </c>
      <c r="H124" s="3">
        <v>41.44</v>
      </c>
      <c r="I124" s="3">
        <v>41.41</v>
      </c>
      <c r="J124" s="3">
        <v>36.43</v>
      </c>
      <c r="K124" s="3">
        <v>13.78</v>
      </c>
      <c r="L124" s="3">
        <v>53319.08</v>
      </c>
      <c r="M124" s="3">
        <v>51789</v>
      </c>
      <c r="N124" s="3">
        <v>4.78</v>
      </c>
      <c r="O124" s="3">
        <v>5.9560000000000002E-2</v>
      </c>
      <c r="P124" s="3">
        <v>1.835</v>
      </c>
      <c r="Q124" s="3">
        <v>99.27</v>
      </c>
      <c r="R124" s="3">
        <v>11.494999999999999</v>
      </c>
      <c r="S124" s="3">
        <v>65.150000000000006</v>
      </c>
    </row>
    <row r="125" spans="1:19" ht="14.4" x14ac:dyDescent="0.3">
      <c r="A125" s="2">
        <v>44096</v>
      </c>
      <c r="B125" s="3">
        <v>34.18</v>
      </c>
      <c r="C125" s="3">
        <v>45.13</v>
      </c>
      <c r="D125" s="3">
        <v>53.19</v>
      </c>
      <c r="E125" s="3">
        <v>56.18</v>
      </c>
      <c r="F125" s="3">
        <v>55.66</v>
      </c>
      <c r="G125" s="3">
        <v>39.6</v>
      </c>
      <c r="H125" s="3">
        <v>41.72</v>
      </c>
      <c r="I125" s="3">
        <v>41.5</v>
      </c>
      <c r="J125" s="3">
        <v>35.53</v>
      </c>
      <c r="K125" s="3">
        <v>13.84</v>
      </c>
      <c r="L125" s="3">
        <v>53265.33</v>
      </c>
      <c r="M125" s="3">
        <v>50772.23</v>
      </c>
      <c r="N125" s="3">
        <v>4.835</v>
      </c>
      <c r="O125" s="3">
        <v>5.9499999999999997E-2</v>
      </c>
      <c r="P125" s="3">
        <v>1.8340000000000001</v>
      </c>
      <c r="Q125" s="3">
        <v>98.8</v>
      </c>
      <c r="R125" s="3">
        <v>11.705</v>
      </c>
      <c r="S125" s="3">
        <v>63.98</v>
      </c>
    </row>
    <row r="126" spans="1:19" ht="14.4" x14ac:dyDescent="0.3">
      <c r="A126" s="2">
        <v>44097</v>
      </c>
      <c r="B126" s="3">
        <v>34.18</v>
      </c>
      <c r="C126" s="3">
        <v>45.13</v>
      </c>
      <c r="D126" s="3">
        <v>53.19</v>
      </c>
      <c r="E126" s="3">
        <v>56.18</v>
      </c>
      <c r="F126" s="3">
        <v>55.66</v>
      </c>
      <c r="G126" s="3">
        <v>39.93</v>
      </c>
      <c r="H126" s="3">
        <v>41.77</v>
      </c>
      <c r="I126" s="3">
        <v>41.49</v>
      </c>
      <c r="J126" s="3">
        <v>34.39</v>
      </c>
      <c r="K126" s="3">
        <v>13.72</v>
      </c>
      <c r="L126" s="3">
        <v>54247.81</v>
      </c>
      <c r="M126" s="3">
        <v>51110.400000000001</v>
      </c>
      <c r="N126" s="3">
        <v>4.95</v>
      </c>
      <c r="O126" s="3">
        <v>5.8540000000000002E-2</v>
      </c>
      <c r="P126" s="3">
        <v>2.125</v>
      </c>
      <c r="Q126" s="3">
        <v>97</v>
      </c>
      <c r="R126" s="3">
        <v>12.02</v>
      </c>
      <c r="S126" s="3">
        <v>63.28</v>
      </c>
    </row>
    <row r="127" spans="1:19" ht="14.4" x14ac:dyDescent="0.3">
      <c r="A127" s="2">
        <v>44098</v>
      </c>
      <c r="B127" s="3">
        <v>34.18</v>
      </c>
      <c r="C127" s="3">
        <v>45.13</v>
      </c>
      <c r="D127" s="3">
        <v>53.19</v>
      </c>
      <c r="E127" s="3">
        <v>56.18</v>
      </c>
      <c r="F127" s="3">
        <v>55.66</v>
      </c>
      <c r="G127" s="3">
        <v>40.31</v>
      </c>
      <c r="H127" s="3">
        <v>41.94</v>
      </c>
      <c r="I127" s="3">
        <v>41.56</v>
      </c>
      <c r="J127" s="3">
        <v>34.32</v>
      </c>
      <c r="K127" s="3">
        <v>13.48</v>
      </c>
      <c r="L127" s="5">
        <f>FORECAST(A127,L121:L126,A121:A126)</f>
        <v>53066.733012048528</v>
      </c>
      <c r="M127" s="5">
        <f>FORECAST(A127,M121:M126,A121:A126)</f>
        <v>50201.67220883444</v>
      </c>
      <c r="N127" s="3">
        <v>4.95</v>
      </c>
      <c r="O127" s="3">
        <v>5.9080000000000001E-2</v>
      </c>
      <c r="P127" s="3">
        <v>2.2480000000000002</v>
      </c>
      <c r="Q127" s="3">
        <v>98.33</v>
      </c>
      <c r="R127" s="3">
        <v>11.635</v>
      </c>
      <c r="S127" s="3">
        <v>63.58</v>
      </c>
    </row>
    <row r="128" spans="1:19" ht="14.4" x14ac:dyDescent="0.3">
      <c r="A128" s="2">
        <v>44099</v>
      </c>
      <c r="B128" s="3">
        <v>35.590000000000003</v>
      </c>
      <c r="C128" s="3">
        <v>48.02</v>
      </c>
      <c r="D128" s="3">
        <v>56.57</v>
      </c>
      <c r="E128" s="3">
        <v>58.95</v>
      </c>
      <c r="F128" s="3">
        <v>59.12</v>
      </c>
      <c r="G128" s="3">
        <v>40.25</v>
      </c>
      <c r="H128" s="3">
        <v>41.92</v>
      </c>
      <c r="I128" s="3">
        <v>41.6</v>
      </c>
      <c r="J128" s="3">
        <v>34.64</v>
      </c>
      <c r="K128" s="3">
        <v>13.54</v>
      </c>
      <c r="L128" s="3">
        <v>53587.11</v>
      </c>
      <c r="M128" s="3">
        <v>51146.68</v>
      </c>
      <c r="N128" s="3">
        <v>4.9749999999999996</v>
      </c>
      <c r="O128" s="3">
        <v>5.833E-2</v>
      </c>
      <c r="P128" s="3">
        <v>2.1389999999999998</v>
      </c>
      <c r="Q128" s="3">
        <v>100.56</v>
      </c>
      <c r="R128" s="3">
        <v>11.664999999999999</v>
      </c>
      <c r="S128" s="3">
        <v>63.4</v>
      </c>
    </row>
    <row r="129" spans="1:19" ht="14.4" x14ac:dyDescent="0.3">
      <c r="A129" s="2">
        <v>44102</v>
      </c>
      <c r="B129" s="3">
        <v>35.590000000000003</v>
      </c>
      <c r="C129" s="3">
        <v>48.02</v>
      </c>
      <c r="D129" s="3">
        <v>56.57</v>
      </c>
      <c r="E129" s="3">
        <v>58.95</v>
      </c>
      <c r="F129" s="3">
        <v>59.12</v>
      </c>
      <c r="G129" s="3">
        <v>40.6</v>
      </c>
      <c r="H129" s="3">
        <v>42.43</v>
      </c>
      <c r="I129" s="3">
        <v>41.62</v>
      </c>
      <c r="J129" s="3">
        <v>35.31</v>
      </c>
      <c r="K129" s="3">
        <v>13.94</v>
      </c>
      <c r="L129" s="3">
        <v>54718.8</v>
      </c>
      <c r="M129" s="3">
        <v>51816.7</v>
      </c>
      <c r="N129" s="3">
        <v>5.0750000000000002</v>
      </c>
      <c r="O129" s="3">
        <v>5.858E-2</v>
      </c>
      <c r="P129" s="3">
        <v>2.101</v>
      </c>
      <c r="Q129" s="3">
        <v>101.23</v>
      </c>
      <c r="R129" s="3">
        <v>12.35</v>
      </c>
      <c r="S129" s="3">
        <v>66.599999999999994</v>
      </c>
    </row>
    <row r="130" spans="1:19" ht="14.4" x14ac:dyDescent="0.3">
      <c r="A130" s="2">
        <v>44103</v>
      </c>
      <c r="B130" s="3">
        <v>35.590000000000003</v>
      </c>
      <c r="C130" s="3">
        <v>48.02</v>
      </c>
      <c r="D130" s="3">
        <v>56.57</v>
      </c>
      <c r="E130" s="3">
        <v>58.95</v>
      </c>
      <c r="F130" s="3">
        <v>59.12</v>
      </c>
      <c r="G130" s="3">
        <v>39.29</v>
      </c>
      <c r="H130" s="3">
        <v>41.03</v>
      </c>
      <c r="I130" s="3">
        <v>41.53</v>
      </c>
      <c r="J130" s="3">
        <v>34.28</v>
      </c>
      <c r="K130" s="3">
        <v>13.92</v>
      </c>
      <c r="L130" s="3">
        <v>54506.879999999997</v>
      </c>
      <c r="M130" s="3">
        <v>51518.21</v>
      </c>
      <c r="N130" s="3">
        <v>5.0999999999999996</v>
      </c>
      <c r="O130" s="3">
        <v>5.8970000000000002E-2</v>
      </c>
      <c r="P130" s="3">
        <v>2.5609999999999999</v>
      </c>
      <c r="Q130" s="3">
        <v>99.17</v>
      </c>
      <c r="R130" s="3">
        <v>12.28</v>
      </c>
      <c r="S130" s="3">
        <v>69.8</v>
      </c>
    </row>
    <row r="131" spans="1:19" ht="14.4" x14ac:dyDescent="0.3">
      <c r="A131" s="2">
        <v>44104</v>
      </c>
      <c r="B131" s="3">
        <v>35.590000000000003</v>
      </c>
      <c r="C131" s="3">
        <v>48.02</v>
      </c>
      <c r="D131" s="3">
        <v>56.57</v>
      </c>
      <c r="E131" s="3">
        <v>58.95</v>
      </c>
      <c r="F131" s="3">
        <v>59.12</v>
      </c>
      <c r="G131" s="3">
        <v>40.22</v>
      </c>
      <c r="H131" s="3">
        <v>40.950000000000003</v>
      </c>
      <c r="I131" s="3">
        <v>41.49</v>
      </c>
      <c r="J131" s="3">
        <v>34.33</v>
      </c>
      <c r="K131" s="3">
        <v>13.9</v>
      </c>
      <c r="L131" s="3">
        <v>54264.959999999999</v>
      </c>
      <c r="M131" s="3">
        <v>50856.62</v>
      </c>
      <c r="N131" s="3">
        <v>5.05</v>
      </c>
      <c r="O131" s="3">
        <v>5.9639999999999999E-2</v>
      </c>
      <c r="P131" s="3">
        <v>2.5270000000000001</v>
      </c>
      <c r="Q131" s="3">
        <v>100.05</v>
      </c>
      <c r="R131" s="3">
        <v>13.285</v>
      </c>
      <c r="S131" s="3">
        <v>69.28</v>
      </c>
    </row>
    <row r="132" spans="1:19" ht="14.4" x14ac:dyDescent="0.3">
      <c r="A132" s="2">
        <v>44105</v>
      </c>
      <c r="B132" s="3">
        <v>35.590000000000003</v>
      </c>
      <c r="C132" s="3">
        <v>48.02</v>
      </c>
      <c r="D132" s="3">
        <v>56.57</v>
      </c>
      <c r="E132" s="3">
        <v>58.95</v>
      </c>
      <c r="F132" s="3">
        <v>59.12</v>
      </c>
      <c r="G132" s="3">
        <v>38.72</v>
      </c>
      <c r="H132" s="3">
        <v>40.93</v>
      </c>
      <c r="I132" s="3">
        <v>40.299999999999997</v>
      </c>
      <c r="J132" s="3">
        <v>33.130000000000003</v>
      </c>
      <c r="K132" s="5">
        <f t="shared" ref="K132:K133" si="10">FORECAST(A132,K126:K131,A126:A131)</f>
        <v>14.002650602409631</v>
      </c>
      <c r="L132" s="3">
        <v>54446.78</v>
      </c>
      <c r="M132" s="3">
        <v>50429.23</v>
      </c>
      <c r="N132" s="3">
        <v>5.0350000000000001</v>
      </c>
      <c r="O132" s="3">
        <v>6.0150000000000002E-2</v>
      </c>
      <c r="P132" s="3">
        <v>2.5270000000000001</v>
      </c>
      <c r="Q132" s="3">
        <v>101.43</v>
      </c>
      <c r="R132" s="3">
        <v>13.18</v>
      </c>
      <c r="S132" s="3">
        <v>68.67</v>
      </c>
    </row>
    <row r="133" spans="1:19" ht="14.4" x14ac:dyDescent="0.3">
      <c r="A133" s="2">
        <v>44106</v>
      </c>
      <c r="B133" s="3">
        <v>35.81</v>
      </c>
      <c r="C133" s="3">
        <v>49.65</v>
      </c>
      <c r="D133" s="3">
        <v>58.87</v>
      </c>
      <c r="E133" s="3">
        <v>61.72</v>
      </c>
      <c r="F133" s="3">
        <v>58.67</v>
      </c>
      <c r="G133" s="3">
        <v>37.049999999999997</v>
      </c>
      <c r="H133" s="3">
        <v>39.270000000000003</v>
      </c>
      <c r="I133" s="3">
        <v>38.479999999999997</v>
      </c>
      <c r="J133" s="3">
        <v>32.979999999999997</v>
      </c>
      <c r="K133" s="5">
        <f t="shared" si="10"/>
        <v>14.117393867314604</v>
      </c>
      <c r="L133" s="3">
        <v>54219.24</v>
      </c>
      <c r="M133" s="3">
        <v>50047.28</v>
      </c>
      <c r="N133" s="3">
        <v>5.0250000000000004</v>
      </c>
      <c r="O133" s="3">
        <v>6.0409999999999998E-2</v>
      </c>
      <c r="P133" s="3">
        <v>2.4380000000000002</v>
      </c>
      <c r="Q133" s="3">
        <v>101.34</v>
      </c>
      <c r="R133" s="3">
        <v>13.025</v>
      </c>
      <c r="S133" s="1">
        <f>S134</f>
        <v>71.92</v>
      </c>
    </row>
    <row r="134" spans="1:19" ht="14.4" x14ac:dyDescent="0.3">
      <c r="A134" s="2">
        <v>44109</v>
      </c>
      <c r="B134" s="3">
        <v>35.81</v>
      </c>
      <c r="C134" s="3">
        <v>49.65</v>
      </c>
      <c r="D134" s="3">
        <v>58.87</v>
      </c>
      <c r="E134" s="3">
        <v>61.72</v>
      </c>
      <c r="F134" s="3">
        <v>58.67</v>
      </c>
      <c r="G134" s="3">
        <v>39.22</v>
      </c>
      <c r="H134" s="3">
        <v>41.29</v>
      </c>
      <c r="I134" s="3">
        <v>40.42</v>
      </c>
      <c r="J134" s="3">
        <v>33.74</v>
      </c>
      <c r="K134" s="3">
        <v>13.7</v>
      </c>
      <c r="L134" s="3">
        <v>54524.05</v>
      </c>
      <c r="M134" s="3">
        <v>50538.75</v>
      </c>
      <c r="N134" s="3">
        <v>5.05</v>
      </c>
      <c r="O134" s="3">
        <v>6.0260000000000001E-2</v>
      </c>
      <c r="P134" s="3">
        <v>2.6150000000000002</v>
      </c>
      <c r="Q134" s="3">
        <v>101.81</v>
      </c>
      <c r="R134" s="3">
        <v>13.42</v>
      </c>
      <c r="S134" s="3">
        <v>71.92</v>
      </c>
    </row>
    <row r="135" spans="1:19" ht="14.4" x14ac:dyDescent="0.3">
      <c r="A135" s="2">
        <v>44110</v>
      </c>
      <c r="B135" s="3">
        <v>35.81</v>
      </c>
      <c r="C135" s="3">
        <v>49.65</v>
      </c>
      <c r="D135" s="3">
        <v>58.87</v>
      </c>
      <c r="E135" s="3">
        <v>61.72</v>
      </c>
      <c r="F135" s="3">
        <v>58.67</v>
      </c>
      <c r="G135" s="3">
        <v>40.67</v>
      </c>
      <c r="H135" s="3">
        <v>42.65</v>
      </c>
      <c r="I135" s="3">
        <v>41.56</v>
      </c>
      <c r="J135" s="3">
        <v>33.39</v>
      </c>
      <c r="K135" s="3">
        <v>13.74</v>
      </c>
      <c r="L135" s="3">
        <v>54203.83</v>
      </c>
      <c r="M135" s="3">
        <v>49990.87</v>
      </c>
      <c r="N135" s="3">
        <v>5.05</v>
      </c>
      <c r="O135" s="3">
        <v>5.9729999999999998E-2</v>
      </c>
      <c r="P135" s="3">
        <v>2.52</v>
      </c>
      <c r="Q135" s="3">
        <v>101.01</v>
      </c>
      <c r="R135" s="3">
        <v>13.305</v>
      </c>
      <c r="S135" s="3">
        <v>71.27</v>
      </c>
    </row>
    <row r="136" spans="1:19" ht="14.4" x14ac:dyDescent="0.3">
      <c r="A136" s="2">
        <v>44111</v>
      </c>
      <c r="B136" s="3">
        <v>35.81</v>
      </c>
      <c r="C136" s="3">
        <v>49.65</v>
      </c>
      <c r="D136" s="3">
        <v>58.87</v>
      </c>
      <c r="E136" s="3">
        <v>61.72</v>
      </c>
      <c r="F136" s="3">
        <v>58.67</v>
      </c>
      <c r="G136" s="3">
        <v>39.950000000000003</v>
      </c>
      <c r="H136" s="3">
        <v>41.99</v>
      </c>
      <c r="I136" s="3">
        <v>40.98</v>
      </c>
      <c r="J136" s="3">
        <v>33.5</v>
      </c>
      <c r="K136" s="3">
        <v>13.76</v>
      </c>
      <c r="L136" s="3">
        <v>54749.77</v>
      </c>
      <c r="M136" s="3">
        <v>50682.95</v>
      </c>
      <c r="N136" s="3">
        <v>5.085</v>
      </c>
      <c r="O136" s="3">
        <v>6.012E-2</v>
      </c>
      <c r="P136" s="3">
        <v>2.6059999999999999</v>
      </c>
      <c r="Q136" s="3">
        <v>100.85</v>
      </c>
      <c r="R136" s="3">
        <v>13.71</v>
      </c>
      <c r="S136" s="3">
        <v>68.150000000000006</v>
      </c>
    </row>
    <row r="137" spans="1:19" ht="14.4" x14ac:dyDescent="0.3">
      <c r="A137" s="2">
        <v>44112</v>
      </c>
      <c r="B137" s="3">
        <v>35.81</v>
      </c>
      <c r="C137" s="3">
        <v>49.65</v>
      </c>
      <c r="D137" s="3">
        <v>58.87</v>
      </c>
      <c r="E137" s="3">
        <v>61.72</v>
      </c>
      <c r="F137" s="3">
        <v>58.67</v>
      </c>
      <c r="G137" s="3">
        <v>41.19</v>
      </c>
      <c r="H137" s="3">
        <v>43.34</v>
      </c>
      <c r="I137" s="3">
        <v>41.88</v>
      </c>
      <c r="J137" s="3">
        <v>35.26</v>
      </c>
      <c r="K137" s="3">
        <v>13.4</v>
      </c>
      <c r="L137" s="3">
        <v>54554.85</v>
      </c>
      <c r="M137" s="3">
        <v>50910.06</v>
      </c>
      <c r="N137" s="3">
        <v>5.1050000000000004</v>
      </c>
      <c r="O137" s="3">
        <v>6.0260000000000001E-2</v>
      </c>
      <c r="P137" s="3">
        <v>2.6269999999999998</v>
      </c>
      <c r="Q137" s="3">
        <v>101.44</v>
      </c>
      <c r="R137" s="3">
        <v>13.9</v>
      </c>
      <c r="S137" s="3">
        <v>65.430000000000007</v>
      </c>
    </row>
    <row r="138" spans="1:19" ht="14.4" x14ac:dyDescent="0.3">
      <c r="A138" s="2">
        <v>44113</v>
      </c>
      <c r="B138" s="3">
        <v>35.33</v>
      </c>
      <c r="C138" s="3">
        <v>47.56</v>
      </c>
      <c r="D138" s="3">
        <v>56.82</v>
      </c>
      <c r="E138" s="3">
        <v>59.93</v>
      </c>
      <c r="F138" s="3">
        <v>57.95</v>
      </c>
      <c r="G138" s="3">
        <v>40.6</v>
      </c>
      <c r="H138" s="3">
        <v>42.85</v>
      </c>
      <c r="I138" s="3">
        <v>41.48</v>
      </c>
      <c r="J138" s="3">
        <v>34.74</v>
      </c>
      <c r="K138" s="3">
        <v>13.72</v>
      </c>
      <c r="L138" s="3">
        <v>55182.99</v>
      </c>
      <c r="M138" s="3">
        <v>52392.44</v>
      </c>
      <c r="N138" s="3">
        <v>5.1349999999999998</v>
      </c>
      <c r="O138" s="3">
        <v>6.0670000000000002E-2</v>
      </c>
      <c r="P138" s="3">
        <v>2.7410000000000001</v>
      </c>
      <c r="Q138" s="3">
        <v>101.39</v>
      </c>
      <c r="R138" s="3">
        <v>13.755000000000001</v>
      </c>
      <c r="S138" s="3">
        <v>64.62</v>
      </c>
    </row>
    <row r="139" spans="1:19" ht="14.4" x14ac:dyDescent="0.3">
      <c r="A139" s="4">
        <v>44116</v>
      </c>
      <c r="B139" s="3">
        <v>35.33</v>
      </c>
      <c r="C139" s="3">
        <v>47.56</v>
      </c>
      <c r="D139" s="3">
        <v>56.82</v>
      </c>
      <c r="E139" s="3">
        <v>59.93</v>
      </c>
      <c r="F139" s="3">
        <v>57.95</v>
      </c>
      <c r="G139" s="3">
        <v>39.43</v>
      </c>
      <c r="H139" s="3">
        <v>41.72</v>
      </c>
      <c r="I139" s="3">
        <v>40.78</v>
      </c>
      <c r="J139" s="3">
        <v>34.630000000000003</v>
      </c>
      <c r="K139" s="3">
        <v>13.84</v>
      </c>
      <c r="L139" s="3">
        <v>55552.35</v>
      </c>
      <c r="M139" s="3">
        <v>52514.23</v>
      </c>
      <c r="N139" s="3">
        <v>5.1349999999999998</v>
      </c>
      <c r="O139" s="3">
        <v>6.053E-2</v>
      </c>
      <c r="P139" s="3">
        <v>2.8809999999999998</v>
      </c>
      <c r="Q139" s="3">
        <v>102.96</v>
      </c>
      <c r="R139" s="3">
        <v>13.84</v>
      </c>
      <c r="S139" s="3">
        <v>63.33</v>
      </c>
    </row>
    <row r="140" spans="1:19" ht="14.4" x14ac:dyDescent="0.3">
      <c r="A140" s="4">
        <v>44117</v>
      </c>
      <c r="B140" s="3">
        <v>35.33</v>
      </c>
      <c r="C140" s="3">
        <v>47.56</v>
      </c>
      <c r="D140" s="3">
        <v>56.82</v>
      </c>
      <c r="E140" s="3">
        <v>59.93</v>
      </c>
      <c r="F140" s="3">
        <v>57.95</v>
      </c>
      <c r="G140" s="3">
        <v>40.200000000000003</v>
      </c>
      <c r="H140" s="3">
        <v>42.45</v>
      </c>
      <c r="I140" s="3">
        <v>41.24</v>
      </c>
      <c r="J140" s="3">
        <v>34.22</v>
      </c>
      <c r="K140" s="5">
        <f>FORECAST(A140,K134:K139,A134:A139)</f>
        <v>13.765945945945987</v>
      </c>
      <c r="L140" s="3">
        <v>55054.53</v>
      </c>
      <c r="M140" s="3">
        <v>51832.62</v>
      </c>
      <c r="N140" s="3">
        <v>5.1449999999999996</v>
      </c>
      <c r="O140" s="3">
        <v>6.0650000000000003E-2</v>
      </c>
      <c r="P140" s="3">
        <v>2.855</v>
      </c>
      <c r="Q140" s="3">
        <v>102.65</v>
      </c>
      <c r="R140" s="3">
        <v>13.595000000000001</v>
      </c>
      <c r="S140" s="3">
        <v>65.22</v>
      </c>
    </row>
    <row r="141" spans="1:19" ht="14.4" x14ac:dyDescent="0.3">
      <c r="A141" s="4">
        <v>44118</v>
      </c>
      <c r="B141" s="3">
        <v>35.33</v>
      </c>
      <c r="C141" s="3">
        <v>47.56</v>
      </c>
      <c r="D141" s="3">
        <v>56.82</v>
      </c>
      <c r="E141" s="3">
        <v>59.93</v>
      </c>
      <c r="F141" s="3">
        <v>57.95</v>
      </c>
      <c r="G141" s="3">
        <v>41.04</v>
      </c>
      <c r="H141" s="3">
        <v>43.32</v>
      </c>
      <c r="I141" s="3">
        <v>41.78</v>
      </c>
      <c r="J141" s="3">
        <v>34.15</v>
      </c>
      <c r="K141" s="3">
        <v>13.76</v>
      </c>
      <c r="L141" s="3">
        <v>55394.23</v>
      </c>
      <c r="M141" s="3">
        <v>52702.36</v>
      </c>
      <c r="N141" s="3">
        <v>5.1449999999999996</v>
      </c>
      <c r="O141" s="3">
        <v>6.0449999999999997E-2</v>
      </c>
      <c r="P141" s="3">
        <v>2.6360000000000001</v>
      </c>
      <c r="Q141" s="3">
        <v>102.31</v>
      </c>
      <c r="R141" s="3">
        <v>13.87</v>
      </c>
      <c r="S141" s="3">
        <v>65.650000000000006</v>
      </c>
    </row>
    <row r="142" spans="1:19" ht="14.4" x14ac:dyDescent="0.3">
      <c r="A142" s="4">
        <v>44119</v>
      </c>
      <c r="B142" s="3">
        <v>35.33</v>
      </c>
      <c r="C142" s="3">
        <v>47.56</v>
      </c>
      <c r="D142" s="3">
        <v>56.82</v>
      </c>
      <c r="E142" s="3">
        <v>59.93</v>
      </c>
      <c r="F142" s="3">
        <v>57.95</v>
      </c>
      <c r="G142" s="3">
        <v>40.96</v>
      </c>
      <c r="H142" s="3">
        <v>43.16</v>
      </c>
      <c r="I142" s="3">
        <v>41.65</v>
      </c>
      <c r="J142" s="3">
        <v>34.450000000000003</v>
      </c>
      <c r="K142" s="3">
        <v>13.96</v>
      </c>
      <c r="L142" s="3">
        <v>54843.96</v>
      </c>
      <c r="M142" s="3">
        <v>52136.1</v>
      </c>
      <c r="N142" s="3">
        <v>5.1459999999999999</v>
      </c>
      <c r="O142" s="3">
        <v>5.9990000000000002E-2</v>
      </c>
      <c r="P142" s="3">
        <v>2.7749999999999999</v>
      </c>
      <c r="Q142" s="3">
        <v>102.07</v>
      </c>
      <c r="R142" s="3">
        <v>14.24</v>
      </c>
      <c r="S142" s="3">
        <v>64.53</v>
      </c>
    </row>
    <row r="143" spans="1:19" ht="14.4" x14ac:dyDescent="0.3">
      <c r="A143" s="4">
        <v>44120</v>
      </c>
      <c r="B143" s="3">
        <v>33.86</v>
      </c>
      <c r="C143" s="3">
        <v>45.32</v>
      </c>
      <c r="D143" s="3">
        <v>54.61</v>
      </c>
      <c r="E143" s="3">
        <v>57.01</v>
      </c>
      <c r="F143" s="3">
        <v>56.36</v>
      </c>
      <c r="G143" s="3">
        <v>40.880000000000003</v>
      </c>
      <c r="H143" s="3">
        <v>42.93</v>
      </c>
      <c r="I143" s="3">
        <v>41.48</v>
      </c>
      <c r="J143" s="3">
        <v>34.1</v>
      </c>
      <c r="K143" s="3">
        <v>14.06</v>
      </c>
      <c r="L143" s="3">
        <v>55047.26</v>
      </c>
      <c r="M143" s="3">
        <v>52300.76</v>
      </c>
      <c r="N143" s="3">
        <v>6.3150000000000004</v>
      </c>
      <c r="O143" s="3">
        <v>6.0319999999999999E-2</v>
      </c>
      <c r="P143" s="3">
        <v>2.7730000000000001</v>
      </c>
      <c r="Q143" s="3">
        <v>101.3</v>
      </c>
      <c r="R143" s="3">
        <v>14.5</v>
      </c>
      <c r="S143" s="3">
        <v>65</v>
      </c>
    </row>
    <row r="144" spans="1:19" ht="14.4" x14ac:dyDescent="0.3">
      <c r="A144" s="4">
        <v>44123</v>
      </c>
      <c r="B144" s="3">
        <v>33.86</v>
      </c>
      <c r="C144" s="3">
        <v>45.32</v>
      </c>
      <c r="D144" s="3">
        <v>54.61</v>
      </c>
      <c r="E144" s="3">
        <v>57.01</v>
      </c>
      <c r="F144" s="3">
        <v>56.36</v>
      </c>
      <c r="G144" s="3">
        <v>40.83</v>
      </c>
      <c r="H144" s="3">
        <v>42.62</v>
      </c>
      <c r="I144" s="3">
        <v>41.37</v>
      </c>
      <c r="J144" s="3">
        <v>33.42</v>
      </c>
      <c r="K144" s="3">
        <v>13.78</v>
      </c>
      <c r="L144" s="3">
        <v>55161.03</v>
      </c>
      <c r="M144" s="3">
        <v>52290.91</v>
      </c>
      <c r="N144" s="3">
        <v>6.51</v>
      </c>
      <c r="O144" s="3">
        <v>6.0519999999999997E-2</v>
      </c>
      <c r="P144" s="3">
        <v>2.7949999999999999</v>
      </c>
      <c r="Q144" s="3">
        <v>98.45</v>
      </c>
      <c r="R144" s="3">
        <v>14.72</v>
      </c>
      <c r="S144" s="3">
        <v>66.92</v>
      </c>
    </row>
    <row r="145" spans="1:19" ht="14.4" x14ac:dyDescent="0.3">
      <c r="A145" s="4">
        <v>44124</v>
      </c>
      <c r="B145" s="3">
        <v>33.86</v>
      </c>
      <c r="C145" s="3">
        <v>45.32</v>
      </c>
      <c r="D145" s="3">
        <v>54.61</v>
      </c>
      <c r="E145" s="3">
        <v>57.01</v>
      </c>
      <c r="F145" s="3">
        <v>56.36</v>
      </c>
      <c r="G145" s="3">
        <v>41.46</v>
      </c>
      <c r="H145" s="3">
        <v>43.16</v>
      </c>
      <c r="I145" s="3">
        <v>41.59</v>
      </c>
      <c r="J145" s="3">
        <v>33.700000000000003</v>
      </c>
      <c r="K145" s="3">
        <v>13.72</v>
      </c>
      <c r="L145" s="3">
        <v>55271.75</v>
      </c>
      <c r="M145" s="3">
        <v>52044.2</v>
      </c>
      <c r="N145" s="3">
        <v>6.55</v>
      </c>
      <c r="O145" s="3">
        <v>6.0639999999999999E-2</v>
      </c>
      <c r="P145" s="3">
        <v>2.9129999999999998</v>
      </c>
      <c r="Q145" s="3">
        <v>99.95</v>
      </c>
      <c r="R145" s="3">
        <v>14.895</v>
      </c>
      <c r="S145" s="3">
        <v>66.27</v>
      </c>
    </row>
    <row r="146" spans="1:19" ht="14.4" x14ac:dyDescent="0.3">
      <c r="A146" s="4">
        <v>44125</v>
      </c>
      <c r="B146" s="3">
        <v>33.86</v>
      </c>
      <c r="C146" s="3">
        <v>45.32</v>
      </c>
      <c r="D146" s="3">
        <v>54.61</v>
      </c>
      <c r="E146" s="3">
        <v>57.01</v>
      </c>
      <c r="F146" s="3">
        <v>56.36</v>
      </c>
      <c r="G146" s="3">
        <v>40.03</v>
      </c>
      <c r="H146" s="3">
        <v>41.73</v>
      </c>
      <c r="I146" s="3">
        <v>41.07</v>
      </c>
      <c r="J146" s="3">
        <v>33.159999999999997</v>
      </c>
      <c r="K146" s="3">
        <v>13.8</v>
      </c>
      <c r="L146" s="3">
        <v>55345.49</v>
      </c>
      <c r="M146" s="3">
        <v>52769.74</v>
      </c>
      <c r="N146" s="3">
        <v>6.7249999999999996</v>
      </c>
      <c r="O146" s="3">
        <v>6.1210000000000001E-2</v>
      </c>
      <c r="P146" s="3">
        <v>3.0230000000000001</v>
      </c>
      <c r="Q146" s="3">
        <v>99.47</v>
      </c>
      <c r="R146" s="3">
        <v>14.865</v>
      </c>
      <c r="S146" s="3">
        <v>64.77</v>
      </c>
    </row>
    <row r="147" spans="1:19" ht="14.4" x14ac:dyDescent="0.3">
      <c r="A147" s="4">
        <v>44126</v>
      </c>
      <c r="B147" s="3">
        <v>33.86</v>
      </c>
      <c r="C147" s="3">
        <v>45.32</v>
      </c>
      <c r="D147" s="3">
        <v>54.61</v>
      </c>
      <c r="E147" s="3">
        <v>57.01</v>
      </c>
      <c r="F147" s="3">
        <v>56.36</v>
      </c>
      <c r="G147" s="3">
        <v>40.64</v>
      </c>
      <c r="H147" s="3">
        <v>42.46</v>
      </c>
      <c r="I147" s="3">
        <v>41.31</v>
      </c>
      <c r="J147" s="3">
        <v>34.86</v>
      </c>
      <c r="K147" s="3">
        <v>13.82</v>
      </c>
      <c r="L147" s="3">
        <v>54796.42</v>
      </c>
      <c r="M147" s="3">
        <v>51044.04</v>
      </c>
      <c r="N147" s="3">
        <v>6.875</v>
      </c>
      <c r="O147" s="3">
        <v>6.164E-2</v>
      </c>
      <c r="P147" s="3">
        <v>3.0070000000000001</v>
      </c>
      <c r="Q147" s="3">
        <v>99.36</v>
      </c>
      <c r="R147" s="3">
        <v>15.255000000000001</v>
      </c>
      <c r="S147" s="3">
        <v>65.349999999999994</v>
      </c>
    </row>
    <row r="148" spans="1:19" ht="14.4" x14ac:dyDescent="0.3">
      <c r="A148" s="4">
        <v>44127</v>
      </c>
      <c r="B148" s="3">
        <v>34.56</v>
      </c>
      <c r="C148" s="3">
        <v>45.67</v>
      </c>
      <c r="D148" s="3">
        <v>55.01</v>
      </c>
      <c r="E148" s="3">
        <v>57.37</v>
      </c>
      <c r="F148" s="3">
        <v>56.1</v>
      </c>
      <c r="G148" s="3">
        <v>39.85</v>
      </c>
      <c r="H148" s="3">
        <v>41.77</v>
      </c>
      <c r="I148" s="3">
        <v>41.14</v>
      </c>
      <c r="J148" s="3">
        <v>34.159999999999997</v>
      </c>
      <c r="K148" s="3">
        <v>14.08</v>
      </c>
      <c r="L148" s="3">
        <v>55339.58</v>
      </c>
      <c r="M148" s="3">
        <v>50668.17</v>
      </c>
      <c r="N148" s="3">
        <v>7.25</v>
      </c>
      <c r="O148" s="3">
        <v>6.1679999999999999E-2</v>
      </c>
      <c r="P148" s="3">
        <v>2.9710000000000001</v>
      </c>
      <c r="Q148" s="3">
        <v>98.95</v>
      </c>
      <c r="R148" s="3">
        <v>15.41</v>
      </c>
      <c r="S148" s="3">
        <v>64.95</v>
      </c>
    </row>
    <row r="149" spans="1:19" ht="14.4" x14ac:dyDescent="0.3">
      <c r="A149" s="4">
        <v>44130</v>
      </c>
      <c r="B149" s="3">
        <v>34.56</v>
      </c>
      <c r="C149" s="3">
        <v>45.67</v>
      </c>
      <c r="D149" s="3">
        <v>55.01</v>
      </c>
      <c r="E149" s="3">
        <v>57.37</v>
      </c>
      <c r="F149" s="3">
        <v>56.1</v>
      </c>
      <c r="G149" s="3">
        <v>38.56</v>
      </c>
      <c r="H149" s="3">
        <v>40.46</v>
      </c>
      <c r="I149" s="3">
        <v>40.89</v>
      </c>
      <c r="J149" s="3">
        <v>33.35</v>
      </c>
      <c r="K149" s="5">
        <f>FORECAST(A149,K143:K148,A143:A148)</f>
        <v>13.835675675675645</v>
      </c>
      <c r="L149" s="3">
        <v>54890.879999999997</v>
      </c>
      <c r="M149" s="3">
        <v>50255.59</v>
      </c>
      <c r="N149" s="3">
        <v>7.2</v>
      </c>
      <c r="O149" s="3">
        <v>6.1550000000000001E-2</v>
      </c>
      <c r="P149" s="3">
        <v>3.024</v>
      </c>
      <c r="Q149" s="3">
        <v>97.76</v>
      </c>
      <c r="R149" s="3">
        <v>14.865</v>
      </c>
      <c r="S149" s="3">
        <v>64.27</v>
      </c>
    </row>
    <row r="150" spans="1:19" ht="14.4" x14ac:dyDescent="0.3">
      <c r="A150" s="4">
        <v>44131</v>
      </c>
      <c r="B150" s="3">
        <v>34.56</v>
      </c>
      <c r="C150" s="3">
        <v>45.67</v>
      </c>
      <c r="D150" s="3">
        <v>55.01</v>
      </c>
      <c r="E150" s="3">
        <v>57.37</v>
      </c>
      <c r="F150" s="3">
        <v>56.1</v>
      </c>
      <c r="G150" s="3">
        <v>39.57</v>
      </c>
      <c r="H150" s="3">
        <v>41.2</v>
      </c>
      <c r="I150" s="3">
        <v>40.98</v>
      </c>
      <c r="J150" s="3">
        <v>32.82</v>
      </c>
      <c r="K150" s="3">
        <v>14</v>
      </c>
      <c r="L150" s="3">
        <v>54079.43</v>
      </c>
      <c r="M150" s="3">
        <v>48705.83</v>
      </c>
      <c r="N150" s="3">
        <v>7</v>
      </c>
      <c r="O150" s="3">
        <v>6.1690000000000002E-2</v>
      </c>
      <c r="P150" s="3">
        <v>3.0190000000000001</v>
      </c>
      <c r="Q150" s="3">
        <v>97.56</v>
      </c>
      <c r="R150" s="3">
        <v>14.744999999999999</v>
      </c>
      <c r="S150" s="3">
        <v>64.650000000000006</v>
      </c>
    </row>
    <row r="151" spans="1:19" ht="14.4" x14ac:dyDescent="0.3">
      <c r="A151" s="4">
        <v>44132</v>
      </c>
      <c r="B151" s="3">
        <v>34.56</v>
      </c>
      <c r="C151" s="3">
        <v>45.67</v>
      </c>
      <c r="D151" s="3">
        <v>55.01</v>
      </c>
      <c r="E151" s="3">
        <v>57.37</v>
      </c>
      <c r="F151" s="3">
        <v>56.1</v>
      </c>
      <c r="G151" s="3">
        <v>37.39</v>
      </c>
      <c r="H151" s="3">
        <v>39.119999999999997</v>
      </c>
      <c r="I151" s="3">
        <v>40.75</v>
      </c>
      <c r="J151" s="3">
        <v>31.57</v>
      </c>
      <c r="K151" s="3">
        <v>13.64</v>
      </c>
      <c r="L151" s="3">
        <v>52308.14</v>
      </c>
      <c r="M151" s="3">
        <v>46477.22</v>
      </c>
      <c r="N151" s="3">
        <v>6.95</v>
      </c>
      <c r="O151" s="3">
        <v>6.0999999999999999E-2</v>
      </c>
      <c r="P151" s="3">
        <v>2.996</v>
      </c>
      <c r="Q151" s="3">
        <v>93.77</v>
      </c>
      <c r="R151" s="3">
        <v>14.484999999999999</v>
      </c>
      <c r="S151" s="3">
        <v>64.48</v>
      </c>
    </row>
    <row r="152" spans="1:19" ht="14.4" x14ac:dyDescent="0.3">
      <c r="A152" s="4">
        <v>44133</v>
      </c>
      <c r="B152" s="3">
        <v>34.56</v>
      </c>
      <c r="C152" s="3">
        <v>45.67</v>
      </c>
      <c r="D152" s="3">
        <v>55.01</v>
      </c>
      <c r="E152" s="3">
        <v>57.37</v>
      </c>
      <c r="F152" s="3">
        <v>56.1</v>
      </c>
      <c r="G152" s="3">
        <v>36.17</v>
      </c>
      <c r="H152" s="3">
        <v>37.65</v>
      </c>
      <c r="I152" s="3">
        <v>40.68</v>
      </c>
      <c r="J152" s="3">
        <v>32.97</v>
      </c>
      <c r="K152" s="3">
        <v>13.64</v>
      </c>
      <c r="L152" s="3">
        <v>51896.97</v>
      </c>
      <c r="M152" s="3">
        <v>46360.37</v>
      </c>
      <c r="N152" s="3">
        <v>6.9249999999999998</v>
      </c>
      <c r="O152" s="3">
        <v>6.0949999999999997E-2</v>
      </c>
      <c r="P152" s="3">
        <v>3.3010000000000002</v>
      </c>
      <c r="Q152" s="3">
        <v>95.7</v>
      </c>
      <c r="R152" s="3">
        <v>14.215</v>
      </c>
      <c r="S152" s="3">
        <v>64.45</v>
      </c>
    </row>
    <row r="153" spans="1:19" ht="14.4" x14ac:dyDescent="0.3">
      <c r="A153" s="4">
        <v>44134</v>
      </c>
      <c r="B153" s="3">
        <v>35.11</v>
      </c>
      <c r="C153" s="3">
        <v>46.43</v>
      </c>
      <c r="D153" s="3">
        <v>55.61</v>
      </c>
      <c r="E153" s="3">
        <v>59.71</v>
      </c>
      <c r="F153" s="3">
        <v>56.48</v>
      </c>
      <c r="G153" s="3">
        <v>35.79</v>
      </c>
      <c r="H153" s="3">
        <v>37.46</v>
      </c>
      <c r="I153" s="3">
        <v>40.659999999999997</v>
      </c>
      <c r="J153" s="3">
        <v>32.619999999999997</v>
      </c>
      <c r="K153" s="3">
        <v>13.4</v>
      </c>
      <c r="L153" s="3">
        <v>51684.7</v>
      </c>
      <c r="M153" s="3">
        <v>45767.22</v>
      </c>
      <c r="N153" s="3">
        <v>7.02</v>
      </c>
      <c r="O153" s="3">
        <v>6.1510000000000002E-2</v>
      </c>
      <c r="P153" s="3">
        <v>3.3540000000000001</v>
      </c>
      <c r="Q153" s="3">
        <v>94.4</v>
      </c>
      <c r="R153" s="3">
        <v>14.06</v>
      </c>
      <c r="S153" s="3">
        <v>63.77</v>
      </c>
    </row>
    <row r="154" spans="1:19" ht="14.4" x14ac:dyDescent="0.3">
      <c r="A154" s="2">
        <v>44137</v>
      </c>
      <c r="B154" s="3">
        <v>35.11</v>
      </c>
      <c r="C154" s="3">
        <v>46.43</v>
      </c>
      <c r="D154" s="3">
        <v>55.61</v>
      </c>
      <c r="E154" s="3">
        <v>59.71</v>
      </c>
      <c r="F154" s="3">
        <v>56.48</v>
      </c>
      <c r="G154" s="3">
        <v>36.81</v>
      </c>
      <c r="H154" s="3">
        <v>38.97</v>
      </c>
      <c r="I154" s="3">
        <v>38.36</v>
      </c>
      <c r="J154" s="3">
        <v>33.99</v>
      </c>
      <c r="K154" s="3">
        <v>13.52</v>
      </c>
      <c r="L154" s="3">
        <v>52618.04</v>
      </c>
      <c r="M154" s="3">
        <v>47245.22</v>
      </c>
      <c r="N154" s="3">
        <v>6.915</v>
      </c>
      <c r="O154" s="3">
        <v>6.1609999999999998E-2</v>
      </c>
      <c r="P154" s="3">
        <v>3.2440000000000002</v>
      </c>
      <c r="Q154" s="3">
        <v>94.66</v>
      </c>
      <c r="R154" s="3">
        <v>13.654999999999999</v>
      </c>
      <c r="S154" s="3">
        <v>61.88</v>
      </c>
    </row>
    <row r="155" spans="1:19" ht="14.4" x14ac:dyDescent="0.3">
      <c r="A155" s="2">
        <v>44138</v>
      </c>
      <c r="B155" s="3">
        <v>35.11</v>
      </c>
      <c r="C155" s="3">
        <v>46.43</v>
      </c>
      <c r="D155" s="3">
        <v>55.61</v>
      </c>
      <c r="E155" s="3">
        <v>59.71</v>
      </c>
      <c r="F155" s="3">
        <v>56.48</v>
      </c>
      <c r="G155" s="3">
        <v>37.659999999999997</v>
      </c>
      <c r="H155" s="3">
        <v>39.71</v>
      </c>
      <c r="I155" s="3">
        <v>39.159999999999997</v>
      </c>
      <c r="J155" s="3">
        <v>33.409999999999997</v>
      </c>
      <c r="K155" s="3">
        <v>13.56</v>
      </c>
      <c r="L155" s="3">
        <v>53187.81</v>
      </c>
      <c r="M155" s="3">
        <v>48417.1</v>
      </c>
      <c r="N155" s="3">
        <v>6.8</v>
      </c>
      <c r="O155" s="3">
        <v>6.2210000000000001E-2</v>
      </c>
      <c r="P155" s="3">
        <v>3.0590000000000002</v>
      </c>
      <c r="Q155" s="3">
        <v>96.06</v>
      </c>
      <c r="R155" s="3">
        <v>13.664999999999999</v>
      </c>
      <c r="S155" s="3">
        <v>61.98</v>
      </c>
    </row>
    <row r="156" spans="1:19" ht="14.4" x14ac:dyDescent="0.3">
      <c r="A156" s="2">
        <v>44139</v>
      </c>
      <c r="B156" s="3">
        <v>35.11</v>
      </c>
      <c r="C156" s="3">
        <v>46.43</v>
      </c>
      <c r="D156" s="3">
        <v>55.61</v>
      </c>
      <c r="E156" s="3">
        <v>59.71</v>
      </c>
      <c r="F156" s="3">
        <v>56.48</v>
      </c>
      <c r="G156" s="3">
        <v>39.15</v>
      </c>
      <c r="H156" s="3">
        <v>41.23</v>
      </c>
      <c r="I156" s="3">
        <v>40.549999999999997</v>
      </c>
      <c r="J156" s="3">
        <v>33.229999999999997</v>
      </c>
      <c r="K156" s="3">
        <v>13.56</v>
      </c>
      <c r="L156" s="3">
        <v>53656.21</v>
      </c>
      <c r="M156" s="3">
        <v>47790.53</v>
      </c>
      <c r="N156" s="3">
        <v>6.8550000000000004</v>
      </c>
      <c r="O156" s="3">
        <v>6.2939999999999996E-2</v>
      </c>
      <c r="P156" s="3">
        <v>3.0459999999999998</v>
      </c>
      <c r="Q156" s="3">
        <v>98.36</v>
      </c>
      <c r="R156" s="3">
        <v>13.885</v>
      </c>
      <c r="S156" s="3">
        <v>60.42</v>
      </c>
    </row>
    <row r="157" spans="1:19" ht="14.4" x14ac:dyDescent="0.3">
      <c r="A157" s="2">
        <v>44140</v>
      </c>
      <c r="B157" s="3">
        <v>35.11</v>
      </c>
      <c r="C157" s="3">
        <v>46.43</v>
      </c>
      <c r="D157" s="3">
        <v>55.61</v>
      </c>
      <c r="E157" s="3">
        <v>59.71</v>
      </c>
      <c r="F157" s="3">
        <v>56.48</v>
      </c>
      <c r="G157" s="3">
        <v>38.79</v>
      </c>
      <c r="H157" s="3">
        <v>40.93</v>
      </c>
      <c r="I157" s="3">
        <v>40.14</v>
      </c>
      <c r="J157" s="3">
        <v>33.17</v>
      </c>
      <c r="K157" s="3">
        <v>13.76</v>
      </c>
      <c r="L157" s="3">
        <v>55225.24</v>
      </c>
      <c r="M157" s="3">
        <v>49005.08</v>
      </c>
      <c r="N157" s="3">
        <v>6.8550000000000004</v>
      </c>
      <c r="O157" s="3">
        <v>6.3700000000000007E-2</v>
      </c>
      <c r="P157" s="3">
        <v>2.9420000000000002</v>
      </c>
      <c r="Q157" s="3">
        <v>100.96</v>
      </c>
      <c r="R157" s="3">
        <v>14.455</v>
      </c>
      <c r="S157" s="3">
        <v>62.27</v>
      </c>
    </row>
    <row r="158" spans="1:19" ht="14.4" x14ac:dyDescent="0.3">
      <c r="A158" s="2">
        <v>44141</v>
      </c>
      <c r="B158" s="3">
        <v>36.130000000000003</v>
      </c>
      <c r="C158" s="3">
        <v>47.56</v>
      </c>
      <c r="D158" s="3">
        <v>56.76</v>
      </c>
      <c r="E158" s="3">
        <v>61.35</v>
      </c>
      <c r="F158" s="3">
        <v>57.65</v>
      </c>
      <c r="G158" s="3">
        <v>37.14</v>
      </c>
      <c r="H158" s="3">
        <v>39.450000000000003</v>
      </c>
      <c r="I158" s="3">
        <v>39.28</v>
      </c>
      <c r="J158" s="3">
        <v>32.78</v>
      </c>
      <c r="K158" s="3">
        <v>14</v>
      </c>
      <c r="L158" s="3">
        <v>56387.040000000001</v>
      </c>
      <c r="M158" s="3">
        <v>50057.87</v>
      </c>
      <c r="N158" s="3">
        <v>6.9050000000000002</v>
      </c>
      <c r="O158" s="3">
        <v>6.4030000000000004E-2</v>
      </c>
      <c r="P158" s="3">
        <v>2.8879999999999999</v>
      </c>
      <c r="Q158" s="3">
        <v>100.66</v>
      </c>
      <c r="R158" s="3">
        <v>13.9</v>
      </c>
      <c r="S158" s="3">
        <v>64.8</v>
      </c>
    </row>
    <row r="159" spans="1:19" ht="14.4" x14ac:dyDescent="0.3">
      <c r="A159" s="2">
        <v>44144</v>
      </c>
      <c r="B159" s="3">
        <v>36.130000000000003</v>
      </c>
      <c r="C159" s="3">
        <v>47.56</v>
      </c>
      <c r="D159" s="3">
        <v>56.76</v>
      </c>
      <c r="E159" s="3">
        <v>61.35</v>
      </c>
      <c r="F159" s="3">
        <v>57.65</v>
      </c>
      <c r="G159" s="3">
        <v>40.29</v>
      </c>
      <c r="H159" s="3">
        <v>42.4</v>
      </c>
      <c r="I159" s="3">
        <v>41.4</v>
      </c>
      <c r="J159" s="3">
        <v>36.93</v>
      </c>
      <c r="K159" s="3">
        <v>13.88</v>
      </c>
      <c r="L159" s="3">
        <v>57307.49</v>
      </c>
      <c r="M159" s="3">
        <v>49279.67</v>
      </c>
      <c r="N159" s="3">
        <v>6.9050000000000002</v>
      </c>
      <c r="O159" s="3">
        <v>6.5000000000000002E-2</v>
      </c>
      <c r="P159" s="3">
        <v>2.859</v>
      </c>
      <c r="Q159" s="3">
        <v>98.22</v>
      </c>
      <c r="R159" s="3">
        <v>13.855</v>
      </c>
      <c r="S159" s="3">
        <v>65.569999999999993</v>
      </c>
    </row>
    <row r="160" spans="1:19" ht="14.4" x14ac:dyDescent="0.3">
      <c r="A160" s="4">
        <v>44145</v>
      </c>
      <c r="B160" s="3">
        <v>36.130000000000003</v>
      </c>
      <c r="C160" s="3">
        <v>47.56</v>
      </c>
      <c r="D160" s="3">
        <v>56.76</v>
      </c>
      <c r="E160" s="3">
        <v>61.35</v>
      </c>
      <c r="F160" s="3">
        <v>57.65</v>
      </c>
      <c r="G160" s="3">
        <v>41.36</v>
      </c>
      <c r="H160" s="3">
        <v>43.61</v>
      </c>
      <c r="I160" s="3">
        <v>42.19</v>
      </c>
      <c r="J160" s="3">
        <v>36.86</v>
      </c>
      <c r="K160" s="3">
        <v>14.3</v>
      </c>
      <c r="L160" s="3">
        <v>57672.12</v>
      </c>
      <c r="M160" s="3">
        <v>50568.22</v>
      </c>
      <c r="N160" s="3">
        <v>6.9050000000000002</v>
      </c>
      <c r="O160" s="3">
        <v>6.3939999999999997E-2</v>
      </c>
      <c r="P160" s="3">
        <v>2.9489999999999998</v>
      </c>
      <c r="Q160" s="3">
        <v>98</v>
      </c>
      <c r="R160" s="3">
        <v>14.035</v>
      </c>
      <c r="S160" s="3">
        <v>67.22</v>
      </c>
    </row>
    <row r="161" spans="1:19" ht="14.4" x14ac:dyDescent="0.3">
      <c r="A161" s="4">
        <v>44146</v>
      </c>
      <c r="B161" s="3">
        <v>36.130000000000003</v>
      </c>
      <c r="C161" s="3">
        <v>47.56</v>
      </c>
      <c r="D161" s="3">
        <v>56.76</v>
      </c>
      <c r="E161" s="3">
        <v>61.35</v>
      </c>
      <c r="F161" s="3">
        <v>57.65</v>
      </c>
      <c r="G161" s="3">
        <v>41.45</v>
      </c>
      <c r="H161" s="3">
        <v>43.8</v>
      </c>
      <c r="I161" s="3">
        <v>42.36</v>
      </c>
      <c r="J161" s="3">
        <v>36.479999999999997</v>
      </c>
      <c r="K161" s="3">
        <v>14.9</v>
      </c>
      <c r="L161" s="3">
        <v>57607.3</v>
      </c>
      <c r="M161" s="3">
        <v>50034.99</v>
      </c>
      <c r="N161" s="3">
        <v>6.9050000000000002</v>
      </c>
      <c r="O161" s="3">
        <v>6.3920000000000005E-2</v>
      </c>
      <c r="P161" s="3">
        <v>3.0310000000000001</v>
      </c>
      <c r="Q161" s="3">
        <v>99.98</v>
      </c>
      <c r="R161" s="3">
        <v>14.095000000000001</v>
      </c>
      <c r="S161" s="3">
        <v>68.08</v>
      </c>
    </row>
    <row r="162" spans="1:19" ht="14.4" x14ac:dyDescent="0.3">
      <c r="A162" s="4">
        <v>44147</v>
      </c>
      <c r="B162" s="3">
        <v>36.130000000000003</v>
      </c>
      <c r="C162" s="3">
        <v>47.56</v>
      </c>
      <c r="D162" s="3">
        <v>56.76</v>
      </c>
      <c r="E162" s="3">
        <v>61.35</v>
      </c>
      <c r="F162" s="3">
        <v>57.65</v>
      </c>
      <c r="G162" s="3">
        <v>41.12</v>
      </c>
      <c r="H162" s="3">
        <v>43.53</v>
      </c>
      <c r="I162" s="3">
        <v>42.37</v>
      </c>
      <c r="J162" s="3">
        <v>35.229999999999997</v>
      </c>
      <c r="K162" s="3">
        <v>14.76</v>
      </c>
      <c r="L162" s="3">
        <v>57031.19</v>
      </c>
      <c r="M162" s="3">
        <v>48832</v>
      </c>
      <c r="N162" s="3">
        <v>6.9</v>
      </c>
      <c r="O162" s="3">
        <v>6.3839999999999994E-2</v>
      </c>
      <c r="P162" s="3">
        <v>2.976</v>
      </c>
      <c r="Q162" s="3">
        <v>98.31</v>
      </c>
      <c r="R162" s="3">
        <v>14</v>
      </c>
      <c r="S162" s="3">
        <v>69.569999999999993</v>
      </c>
    </row>
    <row r="163" spans="1:19" ht="14.4" x14ac:dyDescent="0.3">
      <c r="A163" s="4">
        <v>44148</v>
      </c>
      <c r="B163" s="3">
        <v>38.86</v>
      </c>
      <c r="C163" s="3">
        <v>50.86</v>
      </c>
      <c r="D163" s="3">
        <v>60.87</v>
      </c>
      <c r="E163" s="3">
        <v>67.13</v>
      </c>
      <c r="F163" s="3">
        <v>59.33</v>
      </c>
      <c r="G163" s="3">
        <v>40.130000000000003</v>
      </c>
      <c r="H163" s="3">
        <v>42.78</v>
      </c>
      <c r="I163" s="3">
        <v>41.87</v>
      </c>
      <c r="J163" s="3">
        <v>36.08</v>
      </c>
      <c r="K163" s="3">
        <v>14.32</v>
      </c>
      <c r="L163" s="3">
        <v>57182.6</v>
      </c>
      <c r="M163" s="3">
        <v>49324.06</v>
      </c>
      <c r="N163" s="3">
        <v>6.899</v>
      </c>
      <c r="O163" s="3">
        <v>6.4519999999999994E-2</v>
      </c>
      <c r="P163" s="3">
        <v>2.9950000000000001</v>
      </c>
      <c r="Q163" s="3">
        <v>99.35</v>
      </c>
      <c r="R163" s="3">
        <v>14.24</v>
      </c>
      <c r="S163" s="3">
        <v>68.98</v>
      </c>
    </row>
    <row r="164" spans="1:19" ht="14.4" x14ac:dyDescent="0.3">
      <c r="A164" s="4">
        <v>44151</v>
      </c>
      <c r="B164" s="3">
        <v>38.86</v>
      </c>
      <c r="C164" s="3">
        <v>50.86</v>
      </c>
      <c r="D164" s="3">
        <v>60.87</v>
      </c>
      <c r="E164" s="3">
        <v>67.13</v>
      </c>
      <c r="F164" s="3">
        <v>59.33</v>
      </c>
      <c r="G164" s="3">
        <v>41.34</v>
      </c>
      <c r="H164" s="3">
        <v>43.82</v>
      </c>
      <c r="I164" s="3">
        <v>42.52</v>
      </c>
      <c r="J164" s="3">
        <v>38.159999999999997</v>
      </c>
      <c r="K164" s="3">
        <v>14.72</v>
      </c>
      <c r="L164" s="3">
        <v>57267</v>
      </c>
      <c r="M164" s="3">
        <v>50148.46</v>
      </c>
      <c r="N164" s="3">
        <v>6.75</v>
      </c>
      <c r="O164" s="3">
        <v>6.5170000000000006E-2</v>
      </c>
      <c r="P164" s="3">
        <v>2.6970000000000001</v>
      </c>
      <c r="Q164" s="3">
        <v>99.71</v>
      </c>
      <c r="R164" s="3">
        <v>14.494999999999999</v>
      </c>
      <c r="S164" s="1">
        <f>S165</f>
        <v>69.42</v>
      </c>
    </row>
    <row r="165" spans="1:19" ht="14.4" x14ac:dyDescent="0.3">
      <c r="A165" s="4">
        <v>44152</v>
      </c>
      <c r="B165" s="3">
        <v>38.86</v>
      </c>
      <c r="C165" s="3">
        <v>50.86</v>
      </c>
      <c r="D165" s="3">
        <v>60.87</v>
      </c>
      <c r="E165" s="3">
        <v>67.13</v>
      </c>
      <c r="F165" s="3">
        <v>59.33</v>
      </c>
      <c r="G165" s="3">
        <v>41.43</v>
      </c>
      <c r="H165" s="3">
        <v>43.75</v>
      </c>
      <c r="I165" s="3">
        <v>42.49</v>
      </c>
      <c r="J165" s="3">
        <v>38.67</v>
      </c>
      <c r="K165" s="3">
        <v>14.86</v>
      </c>
      <c r="L165" s="3">
        <v>57053.01</v>
      </c>
      <c r="M165" s="3">
        <v>49378.38</v>
      </c>
      <c r="N165" s="3">
        <v>6.5650000000000004</v>
      </c>
      <c r="O165" s="3">
        <v>6.4879999999999993E-2</v>
      </c>
      <c r="P165" s="3">
        <v>2.6920000000000002</v>
      </c>
      <c r="Q165" s="3">
        <v>100.03</v>
      </c>
      <c r="R165" s="3">
        <v>13.97</v>
      </c>
      <c r="S165" s="3">
        <v>69.42</v>
      </c>
    </row>
    <row r="166" spans="1:19" ht="14.4" x14ac:dyDescent="0.3">
      <c r="A166" s="4">
        <v>44153</v>
      </c>
      <c r="B166" s="3">
        <v>38.86</v>
      </c>
      <c r="C166" s="3">
        <v>50.86</v>
      </c>
      <c r="D166" s="3">
        <v>60.87</v>
      </c>
      <c r="E166" s="3">
        <v>67.13</v>
      </c>
      <c r="F166" s="3">
        <v>59.33</v>
      </c>
      <c r="G166" s="3">
        <v>41.82</v>
      </c>
      <c r="H166" s="3">
        <v>44.34</v>
      </c>
      <c r="I166" s="3">
        <v>42.69</v>
      </c>
      <c r="J166" s="3">
        <v>37.21</v>
      </c>
      <c r="K166" s="3">
        <v>14.78</v>
      </c>
      <c r="L166" s="3">
        <v>57323.67</v>
      </c>
      <c r="M166" s="3">
        <v>49492.18</v>
      </c>
      <c r="N166" s="3">
        <v>6.43</v>
      </c>
      <c r="O166" s="3">
        <v>6.4649999999999999E-2</v>
      </c>
      <c r="P166" s="3">
        <v>2.7120000000000002</v>
      </c>
      <c r="Q166" s="3">
        <v>99.46</v>
      </c>
      <c r="R166" s="3">
        <v>13.68</v>
      </c>
      <c r="S166" s="3">
        <v>69.45</v>
      </c>
    </row>
    <row r="167" spans="1:19" ht="14.4" x14ac:dyDescent="0.3">
      <c r="A167" s="4">
        <v>44154</v>
      </c>
      <c r="B167" s="3">
        <v>38.86</v>
      </c>
      <c r="C167" s="3">
        <v>50.86</v>
      </c>
      <c r="D167" s="3">
        <v>60.87</v>
      </c>
      <c r="E167" s="3">
        <v>67.13</v>
      </c>
      <c r="F167" s="3">
        <v>59.33</v>
      </c>
      <c r="G167" s="3">
        <v>41.74</v>
      </c>
      <c r="H167" s="3">
        <v>44.2</v>
      </c>
      <c r="I167" s="3">
        <v>42.6</v>
      </c>
      <c r="J167" s="3">
        <v>37.4</v>
      </c>
      <c r="K167" s="3">
        <v>14.48</v>
      </c>
      <c r="L167" s="3">
        <v>56753.49</v>
      </c>
      <c r="M167" s="3">
        <v>49043.22</v>
      </c>
      <c r="N167" s="3">
        <v>6.25</v>
      </c>
      <c r="O167" s="3">
        <v>6.4829999999999999E-2</v>
      </c>
      <c r="P167" s="3">
        <v>2.5920000000000001</v>
      </c>
      <c r="Q167" s="3">
        <v>100.9</v>
      </c>
      <c r="R167" s="3">
        <v>13.02</v>
      </c>
      <c r="S167" s="3">
        <v>68.48</v>
      </c>
    </row>
    <row r="168" spans="1:19" ht="14.4" x14ac:dyDescent="0.3">
      <c r="A168" s="4">
        <v>44155</v>
      </c>
      <c r="B168" s="3">
        <v>40.1</v>
      </c>
      <c r="C168" s="3">
        <v>51.78</v>
      </c>
      <c r="D168" s="3">
        <v>62.43</v>
      </c>
      <c r="E168" s="3">
        <v>69.790000000000006</v>
      </c>
      <c r="F168" s="3">
        <v>60.38</v>
      </c>
      <c r="G168" s="3">
        <v>42.15</v>
      </c>
      <c r="H168" s="3">
        <v>44.96</v>
      </c>
      <c r="I168" s="3">
        <v>42.84</v>
      </c>
      <c r="J168" s="3">
        <v>36.94</v>
      </c>
      <c r="K168" s="3">
        <v>14.42</v>
      </c>
      <c r="L168" s="3">
        <v>56615.28</v>
      </c>
      <c r="M168" s="3">
        <v>49208.54</v>
      </c>
      <c r="N168" s="3">
        <v>6.375</v>
      </c>
      <c r="O168" s="3">
        <v>6.479E-2</v>
      </c>
      <c r="P168" s="3">
        <v>2.65</v>
      </c>
      <c r="Q168" s="3">
        <v>101.06</v>
      </c>
      <c r="R168" s="3">
        <v>12.895</v>
      </c>
      <c r="S168" s="3">
        <v>68.38</v>
      </c>
    </row>
    <row r="169" spans="1:19" ht="14.4" x14ac:dyDescent="0.3">
      <c r="A169" s="4">
        <v>44158</v>
      </c>
      <c r="B169" s="3">
        <v>40.1</v>
      </c>
      <c r="C169" s="3">
        <v>51.78</v>
      </c>
      <c r="D169" s="3">
        <v>62.43</v>
      </c>
      <c r="E169" s="3">
        <v>69.790000000000006</v>
      </c>
      <c r="F169" s="3">
        <v>60.38</v>
      </c>
      <c r="G169" s="3">
        <v>43.06</v>
      </c>
      <c r="H169" s="3">
        <v>46.06</v>
      </c>
      <c r="I169" s="3">
        <v>43.08</v>
      </c>
      <c r="J169" s="3">
        <v>39.36</v>
      </c>
      <c r="K169" s="3">
        <v>14.8</v>
      </c>
      <c r="L169" s="3">
        <v>57147.31</v>
      </c>
      <c r="M169" s="3">
        <v>49420.12</v>
      </c>
      <c r="N169" s="3">
        <v>6.55</v>
      </c>
      <c r="O169" s="3">
        <v>6.4710000000000004E-2</v>
      </c>
      <c r="P169" s="3">
        <v>2.7109999999999999</v>
      </c>
      <c r="Q169" s="3">
        <v>102.36</v>
      </c>
      <c r="R169" s="3">
        <v>13.535</v>
      </c>
      <c r="S169" s="3">
        <v>68.87</v>
      </c>
    </row>
    <row r="170" spans="1:19" ht="14.4" x14ac:dyDescent="0.3">
      <c r="A170" s="4">
        <v>44159</v>
      </c>
      <c r="B170" s="3">
        <v>40.1</v>
      </c>
      <c r="C170" s="3">
        <v>51.78</v>
      </c>
      <c r="D170" s="3">
        <v>62.43</v>
      </c>
      <c r="E170" s="3">
        <v>69.790000000000006</v>
      </c>
      <c r="F170" s="3">
        <v>60.38</v>
      </c>
      <c r="G170" s="3">
        <v>44.91</v>
      </c>
      <c r="H170" s="3">
        <v>47.86</v>
      </c>
      <c r="I170" s="3">
        <v>43.4</v>
      </c>
      <c r="J170" s="3">
        <v>41.98</v>
      </c>
      <c r="K170" s="3">
        <v>15.08</v>
      </c>
      <c r="L170" s="3">
        <v>57761.919999999998</v>
      </c>
      <c r="M170" s="3">
        <v>49899.85</v>
      </c>
      <c r="N170" s="3">
        <v>6.7450000000000001</v>
      </c>
      <c r="O170" s="3">
        <v>6.5710000000000005E-2</v>
      </c>
      <c r="P170" s="3">
        <v>2.7749999999999999</v>
      </c>
      <c r="Q170" s="3">
        <v>103.07</v>
      </c>
      <c r="R170" s="3">
        <v>13.9</v>
      </c>
      <c r="S170" s="3">
        <v>70.75</v>
      </c>
    </row>
    <row r="171" spans="1:19" ht="14.4" x14ac:dyDescent="0.3">
      <c r="A171" s="4">
        <v>44160</v>
      </c>
      <c r="B171" s="3">
        <v>40.1</v>
      </c>
      <c r="C171" s="3">
        <v>51.78</v>
      </c>
      <c r="D171" s="3">
        <v>62.43</v>
      </c>
      <c r="E171" s="3">
        <v>69.790000000000006</v>
      </c>
      <c r="F171" s="3">
        <v>60.38</v>
      </c>
      <c r="G171" s="3">
        <v>45.71</v>
      </c>
      <c r="H171" s="3">
        <v>48.61</v>
      </c>
      <c r="I171" s="3">
        <v>43.52</v>
      </c>
      <c r="J171" s="3">
        <v>40.81</v>
      </c>
      <c r="K171" s="3">
        <v>15.12</v>
      </c>
      <c r="L171" s="3">
        <v>57742.19</v>
      </c>
      <c r="M171" s="3">
        <v>50036.44</v>
      </c>
      <c r="N171" s="3">
        <v>6.95</v>
      </c>
      <c r="O171" s="3">
        <v>6.6059999999999994E-2</v>
      </c>
      <c r="P171" s="3">
        <v>2.8959999999999999</v>
      </c>
      <c r="Q171" s="3">
        <v>103.93</v>
      </c>
      <c r="R171" s="3">
        <v>13.93</v>
      </c>
      <c r="S171" s="3">
        <v>70.58</v>
      </c>
    </row>
    <row r="172" spans="1:19" ht="14.4" x14ac:dyDescent="0.3">
      <c r="A172" s="4">
        <v>44161</v>
      </c>
      <c r="B172" s="3">
        <v>40.1</v>
      </c>
      <c r="C172" s="3">
        <v>51.78</v>
      </c>
      <c r="D172" s="3">
        <v>62.43</v>
      </c>
      <c r="E172" s="3">
        <v>69.790000000000006</v>
      </c>
      <c r="F172" s="3">
        <v>60.38</v>
      </c>
      <c r="G172" s="3">
        <v>44.98</v>
      </c>
      <c r="H172" s="3">
        <v>47.8</v>
      </c>
      <c r="I172" s="1">
        <f>(I171+I173)/2</f>
        <v>43.480000000000004</v>
      </c>
      <c r="J172" s="1">
        <f>(J171+J173)/2</f>
        <v>40.5</v>
      </c>
      <c r="K172" s="3">
        <v>15.4</v>
      </c>
      <c r="L172" s="3">
        <v>57923.69</v>
      </c>
      <c r="M172" s="3">
        <v>50308.43</v>
      </c>
      <c r="N172" s="5">
        <f>FORECAST(A172,N166:N171,A166:A171)</f>
        <v>6.9100000000003092</v>
      </c>
      <c r="O172" s="3">
        <v>6.5820000000000004E-2</v>
      </c>
      <c r="P172" s="3">
        <v>2.93</v>
      </c>
      <c r="Q172" s="1">
        <f>AVERAGE(Q171,Q173)</f>
        <v>104.46000000000001</v>
      </c>
      <c r="R172" s="5">
        <f>AVERAGE(R171,R173)</f>
        <v>14.2075</v>
      </c>
      <c r="S172" s="3">
        <v>70.87</v>
      </c>
    </row>
    <row r="173" spans="1:19" ht="14.4" x14ac:dyDescent="0.3">
      <c r="A173" s="4">
        <v>44162</v>
      </c>
      <c r="B173" s="3">
        <v>43.19</v>
      </c>
      <c r="C173" s="3">
        <v>55.76</v>
      </c>
      <c r="D173" s="3">
        <v>68.39</v>
      </c>
      <c r="E173" s="3">
        <v>77.72</v>
      </c>
      <c r="F173" s="3">
        <v>66.19</v>
      </c>
      <c r="G173" s="3">
        <v>45.53</v>
      </c>
      <c r="H173" s="3">
        <v>48.18</v>
      </c>
      <c r="I173" s="3">
        <v>43.44</v>
      </c>
      <c r="J173" s="3">
        <v>40.19</v>
      </c>
      <c r="K173" s="3">
        <v>15.36</v>
      </c>
      <c r="L173" s="3">
        <v>57822.5</v>
      </c>
      <c r="M173" s="3">
        <v>50282.66</v>
      </c>
      <c r="N173" s="3">
        <v>7.15</v>
      </c>
      <c r="O173" s="3">
        <v>6.5500000000000003E-2</v>
      </c>
      <c r="P173" s="3">
        <v>2.843</v>
      </c>
      <c r="Q173" s="3">
        <v>104.99</v>
      </c>
      <c r="R173" s="3">
        <v>14.484999999999999</v>
      </c>
      <c r="S173" s="3">
        <v>72.569999999999993</v>
      </c>
    </row>
    <row r="174" spans="1:19" ht="14.4" x14ac:dyDescent="0.3">
      <c r="A174" s="4">
        <v>44165</v>
      </c>
      <c r="B174" s="3">
        <v>43.19</v>
      </c>
      <c r="C174" s="3">
        <v>55.76</v>
      </c>
      <c r="D174" s="3">
        <v>68.39</v>
      </c>
      <c r="E174" s="3">
        <v>77.72</v>
      </c>
      <c r="F174" s="3">
        <v>66.19</v>
      </c>
      <c r="G174" s="3">
        <v>45.34</v>
      </c>
      <c r="H174" s="3">
        <v>47.59</v>
      </c>
      <c r="I174" s="3">
        <v>43.39</v>
      </c>
      <c r="J174" s="3">
        <v>38.130000000000003</v>
      </c>
      <c r="K174" s="3">
        <v>14.98</v>
      </c>
      <c r="L174" s="3">
        <v>57091.89</v>
      </c>
      <c r="M174" s="3">
        <v>50269.89</v>
      </c>
      <c r="N174" s="3">
        <v>7.3250000000000002</v>
      </c>
      <c r="O174" s="3">
        <v>6.4589999999999995E-2</v>
      </c>
      <c r="P174" s="3">
        <v>2.8820000000000001</v>
      </c>
      <c r="Q174" s="3">
        <v>105.51</v>
      </c>
      <c r="R174" s="3">
        <v>15.14</v>
      </c>
      <c r="S174" s="1">
        <f>S175</f>
        <v>72.67</v>
      </c>
    </row>
    <row r="175" spans="1:19" ht="14.4" x14ac:dyDescent="0.3">
      <c r="A175" s="2">
        <v>44166</v>
      </c>
      <c r="B175" s="3">
        <v>43.19</v>
      </c>
      <c r="C175" s="3">
        <v>55.76</v>
      </c>
      <c r="D175" s="3">
        <v>68.39</v>
      </c>
      <c r="E175" s="3">
        <v>77.72</v>
      </c>
      <c r="F175" s="3">
        <v>66.19</v>
      </c>
      <c r="G175" s="3">
        <v>44.55</v>
      </c>
      <c r="H175" s="3">
        <v>47.42</v>
      </c>
      <c r="I175" s="3">
        <v>46.96</v>
      </c>
      <c r="J175" s="3">
        <v>38.5</v>
      </c>
      <c r="K175" s="3">
        <v>15.06</v>
      </c>
      <c r="L175" s="3">
        <v>57509.72</v>
      </c>
      <c r="M175" s="3">
        <v>51251.76</v>
      </c>
      <c r="N175" s="3">
        <v>7.3250000000000002</v>
      </c>
      <c r="O175" s="3">
        <v>6.5530000000000005E-2</v>
      </c>
      <c r="P175" s="3">
        <v>2.88</v>
      </c>
      <c r="Q175" s="3">
        <v>107.16</v>
      </c>
      <c r="R175" s="3">
        <v>14.91</v>
      </c>
      <c r="S175" s="3">
        <v>72.67</v>
      </c>
    </row>
    <row r="176" spans="1:19" ht="14.4" x14ac:dyDescent="0.3">
      <c r="A176" s="2">
        <v>44167</v>
      </c>
      <c r="B176" s="3">
        <v>43.19</v>
      </c>
      <c r="C176" s="3">
        <v>55.76</v>
      </c>
      <c r="D176" s="3">
        <v>68.39</v>
      </c>
      <c r="E176" s="3">
        <v>77.72</v>
      </c>
      <c r="F176" s="3">
        <v>66.19</v>
      </c>
      <c r="G176" s="3">
        <v>45.28</v>
      </c>
      <c r="H176" s="3">
        <v>48.25</v>
      </c>
      <c r="I176" s="3">
        <v>47.67</v>
      </c>
      <c r="J176" s="3">
        <v>39.94</v>
      </c>
      <c r="K176" s="3">
        <v>15.26</v>
      </c>
      <c r="L176" s="3">
        <v>58281.98</v>
      </c>
      <c r="M176" s="3">
        <v>53177.46</v>
      </c>
      <c r="N176" s="3">
        <v>7.55</v>
      </c>
      <c r="O176" s="3">
        <v>6.5369999999999998E-2</v>
      </c>
      <c r="P176" s="3">
        <v>2.78</v>
      </c>
      <c r="Q176" s="3">
        <v>106.56</v>
      </c>
      <c r="R176" s="3">
        <v>14.904999999999999</v>
      </c>
      <c r="S176" s="3">
        <v>72.27</v>
      </c>
    </row>
    <row r="177" spans="1:19" ht="14.4" x14ac:dyDescent="0.3">
      <c r="A177" s="2">
        <v>44168</v>
      </c>
      <c r="B177" s="3">
        <v>43.19</v>
      </c>
      <c r="C177" s="3">
        <v>55.76</v>
      </c>
      <c r="D177" s="3">
        <v>68.39</v>
      </c>
      <c r="E177" s="3">
        <v>77.72</v>
      </c>
      <c r="F177" s="3">
        <v>66.19</v>
      </c>
      <c r="G177" s="3">
        <v>45.64</v>
      </c>
      <c r="H177" s="3">
        <v>48.71</v>
      </c>
      <c r="I177" s="3">
        <v>48.04</v>
      </c>
      <c r="J177" s="3">
        <v>40.21</v>
      </c>
      <c r="K177" s="3">
        <v>15.08</v>
      </c>
      <c r="L177" s="3">
        <v>58947.48</v>
      </c>
      <c r="M177" s="3">
        <v>54270.48</v>
      </c>
      <c r="N177" s="3">
        <v>7.5</v>
      </c>
      <c r="O177" s="3">
        <v>6.5960000000000005E-2</v>
      </c>
      <c r="P177" s="3">
        <v>2.5070000000000001</v>
      </c>
      <c r="Q177" s="3">
        <v>107.46</v>
      </c>
      <c r="R177" s="3">
        <v>14.145</v>
      </c>
      <c r="S177" s="3">
        <v>71.67</v>
      </c>
    </row>
    <row r="178" spans="1:19" ht="14.4" x14ac:dyDescent="0.3">
      <c r="A178" s="2">
        <v>44169</v>
      </c>
      <c r="B178" s="3">
        <v>44.27</v>
      </c>
      <c r="C178" s="3">
        <v>59.58</v>
      </c>
      <c r="D178" s="3">
        <v>74.180000000000007</v>
      </c>
      <c r="E178" s="3">
        <v>81.900000000000006</v>
      </c>
      <c r="F178" s="3">
        <v>71.19</v>
      </c>
      <c r="G178" s="3">
        <v>46.26</v>
      </c>
      <c r="H178" s="3">
        <v>49.25</v>
      </c>
      <c r="I178" s="3">
        <v>48.35</v>
      </c>
      <c r="J178" s="3">
        <v>41.68</v>
      </c>
      <c r="K178" s="3">
        <v>14.76</v>
      </c>
      <c r="L178" s="3">
        <v>59419.37</v>
      </c>
      <c r="M178" s="3">
        <v>54643.47</v>
      </c>
      <c r="N178" s="3">
        <v>7.4950000000000001</v>
      </c>
      <c r="O178" s="3">
        <v>6.5710000000000005E-2</v>
      </c>
      <c r="P178" s="3">
        <v>2.5750000000000002</v>
      </c>
      <c r="Q178" s="3">
        <v>109.23</v>
      </c>
      <c r="R178" s="3">
        <v>14.645</v>
      </c>
      <c r="S178" s="3">
        <v>71.83</v>
      </c>
    </row>
    <row r="179" spans="1:19" ht="14.4" x14ac:dyDescent="0.3">
      <c r="A179" s="2">
        <v>44172</v>
      </c>
      <c r="B179" s="3">
        <v>44.27</v>
      </c>
      <c r="C179" s="3">
        <v>59.58</v>
      </c>
      <c r="D179" s="3">
        <v>74.180000000000007</v>
      </c>
      <c r="E179" s="3">
        <v>81.900000000000006</v>
      </c>
      <c r="F179" s="3">
        <v>71.19</v>
      </c>
      <c r="G179" s="3">
        <v>45.76</v>
      </c>
      <c r="H179" s="3">
        <v>48.79</v>
      </c>
      <c r="I179" s="3">
        <v>48.23</v>
      </c>
      <c r="J179" s="3">
        <v>40.9</v>
      </c>
      <c r="K179" s="3">
        <v>14.28</v>
      </c>
      <c r="L179" s="3">
        <v>59527.7</v>
      </c>
      <c r="M179" s="3">
        <v>55125.7</v>
      </c>
      <c r="N179" s="3">
        <v>7.6</v>
      </c>
      <c r="O179" s="3">
        <v>6.5979999999999997E-2</v>
      </c>
      <c r="P179" s="3">
        <v>2.4060000000000001</v>
      </c>
      <c r="Q179" s="3">
        <v>110.28</v>
      </c>
      <c r="R179" s="3">
        <v>14.355</v>
      </c>
      <c r="S179" s="3">
        <v>71.42</v>
      </c>
    </row>
    <row r="180" spans="1:19" ht="14.4" x14ac:dyDescent="0.3">
      <c r="A180" s="2">
        <v>44173</v>
      </c>
      <c r="B180" s="3">
        <v>44.27</v>
      </c>
      <c r="C180" s="3">
        <v>59.58</v>
      </c>
      <c r="D180" s="3">
        <v>74.180000000000007</v>
      </c>
      <c r="E180" s="3">
        <v>81.900000000000006</v>
      </c>
      <c r="F180" s="3">
        <v>71.19</v>
      </c>
      <c r="G180" s="3">
        <v>45.6</v>
      </c>
      <c r="H180" s="3">
        <v>48.84</v>
      </c>
      <c r="I180" s="3">
        <v>48.28</v>
      </c>
      <c r="J180" s="3">
        <v>42.24</v>
      </c>
      <c r="K180" s="3">
        <v>14.3</v>
      </c>
      <c r="L180" s="3">
        <v>59159.360000000001</v>
      </c>
      <c r="M180" s="3">
        <v>54597.75</v>
      </c>
      <c r="N180" s="3">
        <v>7.6950000000000003</v>
      </c>
      <c r="O180" s="3">
        <v>6.6689999999999999E-2</v>
      </c>
      <c r="P180" s="3">
        <v>2.399</v>
      </c>
      <c r="Q180" s="3">
        <v>110.06</v>
      </c>
      <c r="R180" s="3">
        <v>14.445</v>
      </c>
      <c r="S180" s="3">
        <v>71.400000000000006</v>
      </c>
    </row>
    <row r="181" spans="1:19" ht="14.4" x14ac:dyDescent="0.3">
      <c r="A181" s="2">
        <v>44174</v>
      </c>
      <c r="B181" s="3">
        <v>44.27</v>
      </c>
      <c r="C181" s="3">
        <v>59.58</v>
      </c>
      <c r="D181" s="3">
        <v>74.180000000000007</v>
      </c>
      <c r="E181" s="3">
        <v>81.900000000000006</v>
      </c>
      <c r="F181" s="3">
        <v>71.19</v>
      </c>
      <c r="G181" s="3">
        <v>45.52</v>
      </c>
      <c r="H181" s="3">
        <v>48.86</v>
      </c>
      <c r="I181" s="3">
        <v>48.42</v>
      </c>
      <c r="J181" s="3">
        <v>42.8</v>
      </c>
      <c r="K181" s="3">
        <v>14.52</v>
      </c>
      <c r="L181" s="3">
        <v>59291.75</v>
      </c>
      <c r="M181" s="3">
        <v>54139.51</v>
      </c>
      <c r="N181" s="3">
        <v>7.82</v>
      </c>
      <c r="O181" s="3">
        <v>6.6750000000000004E-2</v>
      </c>
      <c r="P181" s="3">
        <v>2.4420000000000002</v>
      </c>
      <c r="Q181" s="3">
        <v>110.17</v>
      </c>
      <c r="R181" s="3">
        <v>14.734999999999999</v>
      </c>
      <c r="S181" s="3">
        <v>72.849999999999994</v>
      </c>
    </row>
    <row r="182" spans="1:19" ht="14.4" x14ac:dyDescent="0.3">
      <c r="A182" s="4">
        <v>44175</v>
      </c>
      <c r="B182" s="3">
        <v>44.27</v>
      </c>
      <c r="C182" s="3">
        <v>59.58</v>
      </c>
      <c r="D182" s="3">
        <v>74.180000000000007</v>
      </c>
      <c r="E182" s="3">
        <v>81.900000000000006</v>
      </c>
      <c r="F182" s="3">
        <v>71.19</v>
      </c>
      <c r="G182" s="3">
        <v>46.78</v>
      </c>
      <c r="H182" s="3">
        <v>50.25</v>
      </c>
      <c r="I182" s="3">
        <v>49.29</v>
      </c>
      <c r="J182" s="3">
        <v>44.01</v>
      </c>
      <c r="K182" s="3">
        <v>14.58</v>
      </c>
      <c r="L182" s="3">
        <v>59282.77</v>
      </c>
      <c r="M182" s="3">
        <v>54739.81</v>
      </c>
      <c r="N182" s="3">
        <v>7.915</v>
      </c>
      <c r="O182" s="3">
        <v>6.6519999999999996E-2</v>
      </c>
      <c r="P182" s="3">
        <v>2.5529999999999999</v>
      </c>
      <c r="Q182" s="3">
        <v>109.24</v>
      </c>
      <c r="R182" s="3">
        <v>15.54</v>
      </c>
      <c r="S182" s="3">
        <v>73.680000000000007</v>
      </c>
    </row>
    <row r="183" spans="1:19" ht="14.4" x14ac:dyDescent="0.3">
      <c r="A183" s="4">
        <v>44176</v>
      </c>
      <c r="B183" s="3">
        <v>44.95</v>
      </c>
      <c r="C183" s="3">
        <v>59.94</v>
      </c>
      <c r="D183" s="3">
        <v>74.55</v>
      </c>
      <c r="E183" s="3">
        <v>84.49</v>
      </c>
      <c r="F183" s="3">
        <v>69.44</v>
      </c>
      <c r="G183" s="3">
        <v>46.57</v>
      </c>
      <c r="H183" s="3">
        <v>49.97</v>
      </c>
      <c r="I183" s="3">
        <v>49.22</v>
      </c>
      <c r="J183" s="3">
        <v>43.8</v>
      </c>
      <c r="K183" s="3">
        <v>14.86</v>
      </c>
      <c r="L183" s="3">
        <v>59412.61</v>
      </c>
      <c r="M183" s="3">
        <v>54149.14</v>
      </c>
      <c r="N183" s="3">
        <v>8.0749999999999993</v>
      </c>
      <c r="O183" s="3">
        <v>6.6059999999999994E-2</v>
      </c>
      <c r="P183" s="3">
        <v>2.5910000000000002</v>
      </c>
      <c r="Q183" s="3">
        <v>108.82</v>
      </c>
      <c r="R183" s="3">
        <v>15.96</v>
      </c>
      <c r="S183" s="3">
        <v>72.45</v>
      </c>
    </row>
    <row r="184" spans="1:19" ht="14.4" x14ac:dyDescent="0.3">
      <c r="A184" s="4">
        <v>44179</v>
      </c>
      <c r="B184" s="3">
        <v>44.95</v>
      </c>
      <c r="C184" s="3">
        <v>59.94</v>
      </c>
      <c r="D184" s="3">
        <v>74.55</v>
      </c>
      <c r="E184" s="3">
        <v>84.49</v>
      </c>
      <c r="F184" s="3">
        <v>69.44</v>
      </c>
      <c r="G184" s="3">
        <v>46.99</v>
      </c>
      <c r="H184" s="3">
        <v>50.29</v>
      </c>
      <c r="I184" s="3">
        <v>49.46</v>
      </c>
      <c r="J184" s="3">
        <v>42.22</v>
      </c>
      <c r="K184" s="3">
        <v>14.4</v>
      </c>
      <c r="L184" s="3">
        <v>59508.800000000003</v>
      </c>
      <c r="M184" s="3">
        <v>54158.43</v>
      </c>
      <c r="N184" s="3">
        <v>8.1649999999999991</v>
      </c>
      <c r="O184" s="3">
        <v>6.6470000000000001E-2</v>
      </c>
      <c r="P184" s="3">
        <v>2.6819999999999999</v>
      </c>
      <c r="Q184" s="3">
        <v>107.71</v>
      </c>
      <c r="R184" s="3">
        <v>16.605</v>
      </c>
      <c r="S184" s="3">
        <v>71.069999999999993</v>
      </c>
    </row>
    <row r="185" spans="1:19" ht="14.4" x14ac:dyDescent="0.3">
      <c r="A185" s="4">
        <v>44180</v>
      </c>
      <c r="B185" s="3">
        <v>44.95</v>
      </c>
      <c r="C185" s="3">
        <v>59.94</v>
      </c>
      <c r="D185" s="3">
        <v>74.55</v>
      </c>
      <c r="E185" s="3">
        <v>84.49</v>
      </c>
      <c r="F185" s="3">
        <v>69.44</v>
      </c>
      <c r="G185" s="3">
        <v>47.62</v>
      </c>
      <c r="H185" s="3">
        <v>50.76</v>
      </c>
      <c r="I185" s="3">
        <v>49.81</v>
      </c>
      <c r="J185" s="3">
        <v>43.04</v>
      </c>
      <c r="K185" s="3">
        <v>14.6</v>
      </c>
      <c r="L185" s="3">
        <v>59478.26</v>
      </c>
      <c r="M185" s="3">
        <v>54129.58</v>
      </c>
      <c r="N185" s="3">
        <v>8.173</v>
      </c>
      <c r="O185" s="3">
        <v>6.7159999999999997E-2</v>
      </c>
      <c r="P185" s="3">
        <v>2.6819999999999999</v>
      </c>
      <c r="Q185" s="3">
        <v>110.98</v>
      </c>
      <c r="R185" s="3">
        <v>17.225000000000001</v>
      </c>
      <c r="S185" s="3">
        <v>73</v>
      </c>
    </row>
    <row r="186" spans="1:19" ht="14.4" x14ac:dyDescent="0.3">
      <c r="A186" s="4">
        <v>44181</v>
      </c>
      <c r="B186" s="3">
        <v>44.95</v>
      </c>
      <c r="C186" s="3">
        <v>59.94</v>
      </c>
      <c r="D186" s="3">
        <v>74.55</v>
      </c>
      <c r="E186" s="3">
        <v>84.49</v>
      </c>
      <c r="F186" s="3">
        <v>69.44</v>
      </c>
      <c r="G186" s="3">
        <v>47.82</v>
      </c>
      <c r="H186" s="3">
        <v>51.08</v>
      </c>
      <c r="I186" s="3">
        <v>49.96</v>
      </c>
      <c r="J186" s="3">
        <v>43.7</v>
      </c>
      <c r="K186" s="3">
        <v>14.64</v>
      </c>
      <c r="L186" s="5">
        <f>FORECAST(A186,L180:L185,A180:A185)</f>
        <v>59572.095751072979</v>
      </c>
      <c r="M186" s="5">
        <f>FORECAST(A186,M180:M185,A180:A185)</f>
        <v>54052.995064377785</v>
      </c>
      <c r="N186" s="3">
        <v>10.435</v>
      </c>
      <c r="O186" s="3">
        <v>6.744E-2</v>
      </c>
      <c r="P186" s="3">
        <v>2.677</v>
      </c>
      <c r="Q186" s="3">
        <v>111.31</v>
      </c>
      <c r="R186" s="3">
        <v>16.38</v>
      </c>
      <c r="S186" s="3">
        <v>73.22</v>
      </c>
    </row>
    <row r="187" spans="1:19" ht="14.4" x14ac:dyDescent="0.3">
      <c r="A187" s="4">
        <v>44182</v>
      </c>
      <c r="B187" s="3">
        <v>44.95</v>
      </c>
      <c r="C187" s="3">
        <v>59.94</v>
      </c>
      <c r="D187" s="3">
        <v>74.55</v>
      </c>
      <c r="E187" s="3">
        <v>84.49</v>
      </c>
      <c r="F187" s="3">
        <v>69.44</v>
      </c>
      <c r="G187" s="3">
        <v>48.36</v>
      </c>
      <c r="H187" s="3">
        <v>51.5</v>
      </c>
      <c r="I187" s="3">
        <v>50.08</v>
      </c>
      <c r="J187" s="3">
        <v>43.48</v>
      </c>
      <c r="K187" s="3">
        <v>14.62</v>
      </c>
      <c r="L187" s="3">
        <v>60544.3</v>
      </c>
      <c r="M187" s="3">
        <v>55934.21</v>
      </c>
      <c r="N187" s="3">
        <v>10.115</v>
      </c>
      <c r="O187" s="3">
        <v>6.8250000000000005E-2</v>
      </c>
      <c r="P187" s="3">
        <v>2.6360000000000001</v>
      </c>
      <c r="Q187" s="3">
        <v>112.79</v>
      </c>
      <c r="R187" s="3">
        <v>15.94</v>
      </c>
      <c r="S187" s="3">
        <v>73.099999999999994</v>
      </c>
    </row>
    <row r="188" spans="1:19" ht="14.4" x14ac:dyDescent="0.3">
      <c r="A188" s="4">
        <v>44183</v>
      </c>
      <c r="B188" s="3">
        <v>50.37</v>
      </c>
      <c r="C188" s="3">
        <v>66.25</v>
      </c>
      <c r="D188" s="3">
        <v>82.07</v>
      </c>
      <c r="E188" s="3">
        <v>97.92</v>
      </c>
      <c r="F188" s="3">
        <v>74.89</v>
      </c>
      <c r="G188" s="3">
        <v>49.1</v>
      </c>
      <c r="H188" s="3">
        <v>52.26</v>
      </c>
      <c r="I188" s="3">
        <v>50.34</v>
      </c>
      <c r="J188" s="3">
        <v>42.73</v>
      </c>
      <c r="K188" s="3">
        <v>15.08</v>
      </c>
      <c r="L188" s="3">
        <v>59788.12</v>
      </c>
      <c r="M188" s="3">
        <v>54999.08</v>
      </c>
      <c r="N188" s="3">
        <v>9.66</v>
      </c>
      <c r="O188" s="3">
        <v>6.8769999999999998E-2</v>
      </c>
      <c r="P188" s="3">
        <v>2.7</v>
      </c>
      <c r="Q188" s="3">
        <v>112.83</v>
      </c>
      <c r="R188" s="3">
        <v>15.885</v>
      </c>
      <c r="S188" s="3">
        <v>72.47</v>
      </c>
    </row>
    <row r="189" spans="1:19" ht="14.4" x14ac:dyDescent="0.3">
      <c r="A189" s="4">
        <v>44186</v>
      </c>
      <c r="B189" s="3">
        <v>50.37</v>
      </c>
      <c r="C189" s="3">
        <v>66.25</v>
      </c>
      <c r="D189" s="3">
        <v>82.07</v>
      </c>
      <c r="E189" s="3">
        <v>97.92</v>
      </c>
      <c r="F189" s="3">
        <v>74.89</v>
      </c>
      <c r="G189" s="3">
        <v>47.74</v>
      </c>
      <c r="H189" s="3">
        <v>50.91</v>
      </c>
      <c r="I189" s="3">
        <v>49.86</v>
      </c>
      <c r="J189" s="3">
        <v>41.95</v>
      </c>
      <c r="K189" s="3">
        <v>15.16</v>
      </c>
      <c r="L189" s="3">
        <v>58714.87</v>
      </c>
      <c r="M189" s="3">
        <v>54190.02</v>
      </c>
      <c r="N189" s="3">
        <v>10.050000000000001</v>
      </c>
      <c r="O189" s="3">
        <v>6.8440000000000001E-2</v>
      </c>
      <c r="P189" s="3">
        <v>2.7050000000000001</v>
      </c>
      <c r="Q189" s="3">
        <v>112.54</v>
      </c>
      <c r="R189" s="3">
        <v>16.795000000000002</v>
      </c>
      <c r="S189" s="3">
        <v>68.58</v>
      </c>
    </row>
    <row r="190" spans="1:19" ht="14.4" x14ac:dyDescent="0.3">
      <c r="A190" s="4">
        <v>44187</v>
      </c>
      <c r="B190" s="3">
        <v>50.37</v>
      </c>
      <c r="C190" s="3">
        <v>66.25</v>
      </c>
      <c r="D190" s="3">
        <v>82.07</v>
      </c>
      <c r="E190" s="3">
        <v>97.92</v>
      </c>
      <c r="F190" s="3">
        <v>74.89</v>
      </c>
      <c r="G190" s="3">
        <v>47.02</v>
      </c>
      <c r="H190" s="3">
        <v>50.08</v>
      </c>
      <c r="I190" s="3">
        <v>49.57</v>
      </c>
      <c r="J190" s="3">
        <v>41.24</v>
      </c>
      <c r="K190" s="3">
        <v>14.74</v>
      </c>
      <c r="L190" s="3">
        <v>58619.75</v>
      </c>
      <c r="M190" s="3">
        <v>53834.13</v>
      </c>
      <c r="N190" s="3">
        <v>10.755000000000001</v>
      </c>
      <c r="O190" s="3">
        <v>6.8220000000000003E-2</v>
      </c>
      <c r="P190" s="3">
        <v>2.78</v>
      </c>
      <c r="Q190" s="3">
        <v>113.16</v>
      </c>
      <c r="R190" s="3">
        <v>17.635000000000002</v>
      </c>
      <c r="S190" s="3">
        <v>71.069999999999993</v>
      </c>
    </row>
    <row r="191" spans="1:19" ht="14.4" x14ac:dyDescent="0.3">
      <c r="A191" s="4">
        <v>44188</v>
      </c>
      <c r="B191" s="3">
        <v>50.37</v>
      </c>
      <c r="C191" s="3">
        <v>66.25</v>
      </c>
      <c r="D191" s="3">
        <v>82.07</v>
      </c>
      <c r="E191" s="3">
        <v>97.92</v>
      </c>
      <c r="F191" s="3">
        <v>74.89</v>
      </c>
      <c r="G191" s="3">
        <v>48.12</v>
      </c>
      <c r="H191" s="3">
        <v>51.2</v>
      </c>
      <c r="I191" s="3">
        <v>49.81</v>
      </c>
      <c r="J191" s="3">
        <v>41.77</v>
      </c>
      <c r="K191" s="3">
        <v>14.84</v>
      </c>
      <c r="L191" s="3">
        <v>58986.720000000001</v>
      </c>
      <c r="M191" s="3">
        <v>54153.1</v>
      </c>
      <c r="N191" s="3">
        <v>10.525</v>
      </c>
      <c r="O191" s="3">
        <v>6.8419999999999995E-2</v>
      </c>
      <c r="P191" s="3">
        <v>2.6080000000000001</v>
      </c>
      <c r="Q191" s="3">
        <v>112.18</v>
      </c>
      <c r="R191" s="3">
        <v>17.504999999999999</v>
      </c>
      <c r="S191" s="3">
        <v>71.349999999999994</v>
      </c>
    </row>
    <row r="192" spans="1:19" ht="14.4" x14ac:dyDescent="0.3">
      <c r="A192" s="4">
        <v>44189</v>
      </c>
      <c r="B192" s="3">
        <v>48.79</v>
      </c>
      <c r="C192" s="3">
        <v>65.58</v>
      </c>
      <c r="D192" s="3">
        <v>81.31</v>
      </c>
      <c r="E192" s="3">
        <v>97.4</v>
      </c>
      <c r="F192" s="3">
        <v>75.83</v>
      </c>
      <c r="G192" s="3">
        <v>48.23</v>
      </c>
      <c r="H192" s="3">
        <v>51.29</v>
      </c>
      <c r="I192" s="3">
        <v>49.84</v>
      </c>
      <c r="J192" s="3">
        <v>41.6</v>
      </c>
      <c r="K192" s="3">
        <v>14.8</v>
      </c>
      <c r="L192" s="3">
        <v>59175.8</v>
      </c>
      <c r="M192" s="3">
        <v>54811.67</v>
      </c>
      <c r="N192" s="3">
        <v>11</v>
      </c>
      <c r="O192" s="3">
        <v>6.8419999999999995E-2</v>
      </c>
      <c r="P192" s="3">
        <v>2.5179999999999998</v>
      </c>
      <c r="Q192" s="3">
        <v>112.69</v>
      </c>
      <c r="R192" s="3">
        <v>17.649999999999999</v>
      </c>
      <c r="S192" s="3">
        <v>71.03</v>
      </c>
    </row>
    <row r="193" spans="1:19" ht="14.4" x14ac:dyDescent="0.3">
      <c r="A193" s="4">
        <v>44190</v>
      </c>
      <c r="B193" s="1">
        <f t="shared" ref="B193:E193" si="11">B192</f>
        <v>48.79</v>
      </c>
      <c r="C193" s="1">
        <f t="shared" si="11"/>
        <v>65.58</v>
      </c>
      <c r="D193" s="1">
        <f t="shared" si="11"/>
        <v>81.31</v>
      </c>
      <c r="E193" s="1">
        <f t="shared" si="11"/>
        <v>97.4</v>
      </c>
      <c r="F193" s="1">
        <f t="shared" ref="F193:F194" si="12">F192</f>
        <v>75.83</v>
      </c>
      <c r="G193" s="5">
        <f>(G192+G194)/2</f>
        <v>47.924999999999997</v>
      </c>
      <c r="H193" s="1">
        <f>(H192+H194)/2</f>
        <v>51.075000000000003</v>
      </c>
      <c r="I193" s="1">
        <f>(I192+I194)/2</f>
        <v>49.805000000000007</v>
      </c>
      <c r="J193" s="1">
        <f>(J192+J194)/2</f>
        <v>41.67</v>
      </c>
      <c r="K193" s="5">
        <f>FORECAST(A193,K187:K192,A187:A192)</f>
        <v>14.870472103004293</v>
      </c>
      <c r="L193" s="5">
        <f>FORECAST(A193,L187:L192,A187:A192)</f>
        <v>58434.10656652227</v>
      </c>
      <c r="M193" s="5">
        <f>FORECAST(A193,M187:M192,A187:A192)</f>
        <v>53848.440042918548</v>
      </c>
      <c r="N193" s="5">
        <f>FORECAST(A193,N187:N192,A187:A192)</f>
        <v>10.96412017167313</v>
      </c>
      <c r="O193" s="3">
        <v>6.8580000000000002E-2</v>
      </c>
      <c r="P193" s="1">
        <f>AVERAGE(P192,P194)</f>
        <v>2.4115000000000002</v>
      </c>
      <c r="Q193" s="1">
        <f>AVERAGE(Q192,Q194)</f>
        <v>113.14</v>
      </c>
      <c r="R193" s="5">
        <f>AVERAGE(R192,R194)</f>
        <v>18.399999999999999</v>
      </c>
      <c r="S193" s="1">
        <f>S194</f>
        <v>71.599999999999994</v>
      </c>
    </row>
    <row r="194" spans="1:19" ht="14.4" x14ac:dyDescent="0.3">
      <c r="A194" s="4">
        <v>44193</v>
      </c>
      <c r="B194" s="1">
        <f t="shared" ref="B194:D194" si="13">B193</f>
        <v>48.79</v>
      </c>
      <c r="C194" s="1">
        <f t="shared" si="13"/>
        <v>65.58</v>
      </c>
      <c r="D194" s="1">
        <f t="shared" si="13"/>
        <v>81.31</v>
      </c>
      <c r="E194" s="3">
        <v>97.4</v>
      </c>
      <c r="F194" s="1">
        <f t="shared" si="12"/>
        <v>75.83</v>
      </c>
      <c r="G194" s="3">
        <v>47.62</v>
      </c>
      <c r="H194" s="3">
        <v>50.86</v>
      </c>
      <c r="I194" s="3">
        <v>49.77</v>
      </c>
      <c r="J194" s="3">
        <v>41.74</v>
      </c>
      <c r="K194" s="3">
        <v>14.84</v>
      </c>
      <c r="L194" s="3">
        <v>59006.07</v>
      </c>
      <c r="M194" s="3">
        <v>55379.91</v>
      </c>
      <c r="N194" s="3">
        <v>11.085000000000001</v>
      </c>
      <c r="O194" s="3">
        <v>6.8220000000000003E-2</v>
      </c>
      <c r="P194" s="3">
        <v>2.3050000000000002</v>
      </c>
      <c r="Q194" s="3">
        <v>113.59</v>
      </c>
      <c r="R194" s="3">
        <v>19.149999999999999</v>
      </c>
      <c r="S194" s="3">
        <v>71.599999999999994</v>
      </c>
    </row>
    <row r="195" spans="1:19" ht="14.4" x14ac:dyDescent="0.3">
      <c r="A195" s="4">
        <v>44194</v>
      </c>
      <c r="B195" s="3">
        <v>48.79</v>
      </c>
      <c r="C195" s="3">
        <v>65.58</v>
      </c>
      <c r="D195" s="3">
        <v>81.31</v>
      </c>
      <c r="E195" s="3">
        <v>97.4</v>
      </c>
      <c r="F195" s="3">
        <v>75.83</v>
      </c>
      <c r="G195" s="3">
        <v>48</v>
      </c>
      <c r="H195" s="3">
        <v>51.09</v>
      </c>
      <c r="I195" s="3">
        <v>49.78</v>
      </c>
      <c r="J195" s="3">
        <v>41.27</v>
      </c>
      <c r="K195" s="3">
        <v>14.76</v>
      </c>
      <c r="L195" s="3">
        <v>59246.400000000001</v>
      </c>
      <c r="M195" s="3">
        <v>55158.8</v>
      </c>
      <c r="N195" s="3">
        <v>12.1</v>
      </c>
      <c r="O195" s="3">
        <v>6.7890000000000006E-2</v>
      </c>
      <c r="P195" s="3">
        <v>2.4670000000000001</v>
      </c>
      <c r="Q195" s="3">
        <v>112.9</v>
      </c>
      <c r="R195" s="3">
        <v>18.774999999999999</v>
      </c>
      <c r="S195" s="3">
        <v>72.52</v>
      </c>
    </row>
    <row r="196" spans="1:19" ht="14.4" x14ac:dyDescent="0.3">
      <c r="A196" s="4">
        <v>44195</v>
      </c>
      <c r="B196" s="3">
        <v>48.79</v>
      </c>
      <c r="C196" s="3">
        <v>65.58</v>
      </c>
      <c r="D196" s="3">
        <v>81.31</v>
      </c>
      <c r="E196" s="3">
        <v>97.4</v>
      </c>
      <c r="F196" s="3">
        <v>75.83</v>
      </c>
      <c r="G196" s="3">
        <v>48.4</v>
      </c>
      <c r="H196" s="3">
        <v>51.34</v>
      </c>
      <c r="I196" s="3">
        <v>49.82</v>
      </c>
      <c r="J196" s="3">
        <v>41.6</v>
      </c>
      <c r="K196" s="3">
        <v>14.64</v>
      </c>
      <c r="L196" s="3">
        <v>59634.93</v>
      </c>
      <c r="M196" s="3">
        <v>55390.55</v>
      </c>
      <c r="N196" s="3">
        <v>12.795</v>
      </c>
      <c r="O196" s="3">
        <v>6.8419999999999995E-2</v>
      </c>
      <c r="P196" s="3">
        <v>2.4220000000000002</v>
      </c>
      <c r="Q196" s="3">
        <v>113.15</v>
      </c>
      <c r="R196" s="3">
        <v>19</v>
      </c>
      <c r="S196" s="3">
        <v>74.3</v>
      </c>
    </row>
    <row r="197" spans="1:19" ht="14.4" x14ac:dyDescent="0.3">
      <c r="A197" s="4">
        <v>44196</v>
      </c>
      <c r="B197" s="3">
        <v>47.03</v>
      </c>
      <c r="C197" s="3">
        <v>62.38</v>
      </c>
      <c r="D197" s="3">
        <v>76.92</v>
      </c>
      <c r="E197" s="3">
        <v>91.34</v>
      </c>
      <c r="F197" s="3">
        <v>73.430000000000007</v>
      </c>
      <c r="G197" s="3">
        <v>48.52</v>
      </c>
      <c r="H197" s="3">
        <v>51.8</v>
      </c>
      <c r="I197" s="3">
        <v>49.81</v>
      </c>
      <c r="J197" s="3">
        <v>41.22</v>
      </c>
      <c r="K197" s="3">
        <v>14.6</v>
      </c>
      <c r="L197" s="3">
        <v>59408.68</v>
      </c>
      <c r="M197" s="3">
        <v>55214.46</v>
      </c>
      <c r="N197" s="3">
        <v>14.3</v>
      </c>
      <c r="O197" s="3">
        <v>6.8010000000000001E-2</v>
      </c>
      <c r="P197" s="3">
        <v>2.5390000000000001</v>
      </c>
      <c r="Q197" s="3">
        <v>115.29</v>
      </c>
      <c r="R197" s="3">
        <v>19.125</v>
      </c>
      <c r="S197" s="3">
        <v>75.97</v>
      </c>
    </row>
    <row r="198" spans="1:19" ht="14.4" x14ac:dyDescent="0.3">
      <c r="A198" s="2">
        <v>44197</v>
      </c>
      <c r="B198" s="1">
        <f t="shared" ref="B198:F198" si="14">B197</f>
        <v>47.03</v>
      </c>
      <c r="C198" s="1">
        <f t="shared" si="14"/>
        <v>62.38</v>
      </c>
      <c r="D198" s="1">
        <f t="shared" si="14"/>
        <v>76.92</v>
      </c>
      <c r="E198" s="1">
        <f t="shared" si="14"/>
        <v>91.34</v>
      </c>
      <c r="F198" s="1">
        <f t="shared" si="14"/>
        <v>73.430000000000007</v>
      </c>
      <c r="G198" s="5">
        <f>(G197+G199)/2</f>
        <v>48.07</v>
      </c>
      <c r="H198" s="1">
        <f>(H197+H199)/2</f>
        <v>51.445</v>
      </c>
      <c r="I198" s="1">
        <f>(I197+I199)/2</f>
        <v>50.21</v>
      </c>
      <c r="J198" s="1">
        <f>(J197+J199)/2</f>
        <v>41.36</v>
      </c>
      <c r="K198" s="5">
        <f>FORECAST(A198,K192:K197,A192:A197)</f>
        <v>14.620879367827911</v>
      </c>
      <c r="L198" s="5">
        <f>FORECAST(A198,L192:L197,A192:A197)</f>
        <v>59568.141329919919</v>
      </c>
      <c r="M198" s="5">
        <f>FORECAST(A198,M192:M197,A192:A197)</f>
        <v>55585.178921143524</v>
      </c>
      <c r="N198" s="5">
        <f>FORECAST(A198,N192:N197,A192:A197)</f>
        <v>13.729348302604194</v>
      </c>
      <c r="O198" s="3">
        <v>6.8169999999999994E-2</v>
      </c>
      <c r="P198" s="1">
        <f>AVERAGE(P197,P199)</f>
        <v>2.56</v>
      </c>
      <c r="Q198" s="1">
        <f>AVERAGE(Q197,Q199)</f>
        <v>114.295</v>
      </c>
      <c r="R198" s="5">
        <f>AVERAGE(R197,R199)</f>
        <v>19.484999999999999</v>
      </c>
      <c r="S198" s="3">
        <v>73.400000000000006</v>
      </c>
    </row>
    <row r="199" spans="1:19" ht="14.4" x14ac:dyDescent="0.3">
      <c r="A199" s="2">
        <v>44200</v>
      </c>
      <c r="B199" s="3">
        <v>47.03</v>
      </c>
      <c r="C199" s="3">
        <v>62.38</v>
      </c>
      <c r="D199" s="3">
        <v>76.92</v>
      </c>
      <c r="E199" s="3">
        <v>91.34</v>
      </c>
      <c r="F199" s="3">
        <v>73.430000000000007</v>
      </c>
      <c r="G199" s="3">
        <v>47.62</v>
      </c>
      <c r="H199" s="3">
        <v>51.09</v>
      </c>
      <c r="I199" s="3">
        <v>50.61</v>
      </c>
      <c r="J199" s="3">
        <v>41.5</v>
      </c>
      <c r="K199" s="3">
        <v>14.58</v>
      </c>
      <c r="L199" s="3">
        <v>60479.42</v>
      </c>
      <c r="M199" s="3">
        <v>58288.65</v>
      </c>
      <c r="N199" s="3">
        <v>14.93</v>
      </c>
      <c r="O199" s="3">
        <v>6.7890000000000006E-2</v>
      </c>
      <c r="P199" s="3">
        <v>2.581</v>
      </c>
      <c r="Q199" s="3">
        <v>113.3</v>
      </c>
      <c r="R199" s="3">
        <v>19.844999999999999</v>
      </c>
      <c r="S199" s="3">
        <v>76.3</v>
      </c>
    </row>
    <row r="200" spans="1:19" ht="14.4" x14ac:dyDescent="0.3">
      <c r="A200" s="2">
        <v>44201</v>
      </c>
      <c r="B200" s="3">
        <v>47.03</v>
      </c>
      <c r="C200" s="3">
        <v>62.38</v>
      </c>
      <c r="D200" s="3">
        <v>76.92</v>
      </c>
      <c r="E200" s="3">
        <v>91.34</v>
      </c>
      <c r="F200" s="3">
        <v>73.430000000000007</v>
      </c>
      <c r="G200" s="3">
        <v>49.93</v>
      </c>
      <c r="H200" s="3">
        <v>53.6</v>
      </c>
      <c r="I200" s="3">
        <v>52.84</v>
      </c>
      <c r="J200" s="3">
        <v>43.5</v>
      </c>
      <c r="K200" s="3">
        <v>14.6</v>
      </c>
      <c r="L200" s="3">
        <v>60921.37</v>
      </c>
      <c r="M200" s="3">
        <v>58925.599999999999</v>
      </c>
      <c r="N200" s="3">
        <v>15.105</v>
      </c>
      <c r="O200" s="3">
        <v>6.6699999999999995E-2</v>
      </c>
      <c r="P200" s="3">
        <v>2.702</v>
      </c>
      <c r="Q200" s="3">
        <v>113.54</v>
      </c>
      <c r="R200" s="3">
        <v>18.004999999999999</v>
      </c>
      <c r="S200" s="3">
        <v>73.400000000000006</v>
      </c>
    </row>
    <row r="201" spans="1:19" ht="14.4" x14ac:dyDescent="0.3">
      <c r="A201" s="2">
        <v>44202</v>
      </c>
      <c r="B201" s="3">
        <v>47.03</v>
      </c>
      <c r="C201" s="3">
        <v>62.38</v>
      </c>
      <c r="D201" s="3">
        <v>76.92</v>
      </c>
      <c r="E201" s="3">
        <v>91.34</v>
      </c>
      <c r="F201" s="3">
        <v>73.430000000000007</v>
      </c>
      <c r="G201" s="3">
        <v>50.63</v>
      </c>
      <c r="H201" s="3">
        <v>54.3</v>
      </c>
      <c r="I201" s="3">
        <v>53.63</v>
      </c>
      <c r="J201" s="3">
        <v>44.61</v>
      </c>
      <c r="K201" s="3">
        <v>14.8</v>
      </c>
      <c r="L201" s="3">
        <v>61857.42</v>
      </c>
      <c r="M201" s="3">
        <v>61135.72</v>
      </c>
      <c r="N201" s="3">
        <v>15.55</v>
      </c>
      <c r="O201" s="3">
        <v>6.6369999999999998E-2</v>
      </c>
      <c r="P201" s="3">
        <v>2.7160000000000002</v>
      </c>
      <c r="Q201" s="3">
        <v>115.74</v>
      </c>
      <c r="R201" s="3">
        <v>17.565000000000001</v>
      </c>
      <c r="S201" s="3">
        <v>74</v>
      </c>
    </row>
    <row r="202" spans="1:19" ht="14.4" x14ac:dyDescent="0.3">
      <c r="A202" s="2">
        <v>44203</v>
      </c>
      <c r="B202" s="3">
        <v>47.03</v>
      </c>
      <c r="C202" s="3">
        <v>62.38</v>
      </c>
      <c r="D202" s="3">
        <v>76.92</v>
      </c>
      <c r="E202" s="3">
        <v>91.34</v>
      </c>
      <c r="F202" s="3">
        <v>73.430000000000007</v>
      </c>
      <c r="G202" s="3">
        <v>50.83</v>
      </c>
      <c r="H202" s="3">
        <v>54.38</v>
      </c>
      <c r="I202" s="3">
        <v>53.78</v>
      </c>
      <c r="J202" s="3">
        <v>44.96</v>
      </c>
      <c r="K202" s="3">
        <v>14.88</v>
      </c>
      <c r="L202" s="3">
        <v>63042.879999999997</v>
      </c>
      <c r="M202" s="3">
        <v>62818.13</v>
      </c>
      <c r="N202" s="3">
        <v>17.25</v>
      </c>
      <c r="O202" s="3">
        <v>6.4710000000000004E-2</v>
      </c>
      <c r="P202" s="3">
        <v>2.7290000000000001</v>
      </c>
      <c r="Q202" s="3">
        <v>115.81</v>
      </c>
      <c r="R202" s="3">
        <v>19.305</v>
      </c>
      <c r="S202" s="3">
        <v>74.069999999999993</v>
      </c>
    </row>
    <row r="203" spans="1:19" ht="14.4" x14ac:dyDescent="0.3">
      <c r="A203" s="2">
        <v>44204</v>
      </c>
      <c r="B203" s="3">
        <v>46.09</v>
      </c>
      <c r="C203" s="3">
        <v>62.53</v>
      </c>
      <c r="D203" s="3">
        <v>76.28</v>
      </c>
      <c r="E203" s="3">
        <v>87.88</v>
      </c>
      <c r="F203" s="3">
        <v>69.63</v>
      </c>
      <c r="G203" s="3">
        <v>52.24</v>
      </c>
      <c r="H203" s="3">
        <v>55.99</v>
      </c>
      <c r="I203" s="3">
        <v>55.06</v>
      </c>
      <c r="J203" s="3">
        <v>45.46</v>
      </c>
      <c r="K203" s="3">
        <v>14.96</v>
      </c>
      <c r="L203" s="3">
        <v>63519.18</v>
      </c>
      <c r="M203" s="3">
        <v>62340.7</v>
      </c>
      <c r="N203" s="3">
        <v>17.25</v>
      </c>
      <c r="O203" s="3">
        <v>6.5320000000000003E-2</v>
      </c>
      <c r="P203" s="3">
        <v>2.7</v>
      </c>
      <c r="Q203" s="3">
        <v>117.63</v>
      </c>
      <c r="R203" s="3">
        <v>20.12</v>
      </c>
      <c r="S203" s="3">
        <v>74.400000000000006</v>
      </c>
    </row>
    <row r="204" spans="1:19" ht="14.4" x14ac:dyDescent="0.3">
      <c r="A204" s="2">
        <v>44207</v>
      </c>
      <c r="B204" s="3">
        <v>46.09</v>
      </c>
      <c r="C204" s="3">
        <v>62.53</v>
      </c>
      <c r="D204" s="3">
        <v>76.28</v>
      </c>
      <c r="E204" s="3">
        <v>87.88</v>
      </c>
      <c r="F204" s="3">
        <v>69.63</v>
      </c>
      <c r="G204" s="3">
        <v>52.25</v>
      </c>
      <c r="H204" s="3">
        <v>55.66</v>
      </c>
      <c r="I204" s="3">
        <v>54.78</v>
      </c>
      <c r="J204" s="3">
        <v>46.84</v>
      </c>
      <c r="K204" s="3">
        <v>14.86</v>
      </c>
      <c r="L204" s="3">
        <v>63759.93</v>
      </c>
      <c r="M204" s="3">
        <v>62194.37</v>
      </c>
      <c r="N204" s="3">
        <v>19.7</v>
      </c>
      <c r="O204" s="3">
        <v>6.4280000000000004E-2</v>
      </c>
      <c r="P204" s="3">
        <v>2.7469999999999999</v>
      </c>
      <c r="Q204" s="3">
        <v>117.65</v>
      </c>
      <c r="R204" s="3">
        <v>22.125</v>
      </c>
      <c r="S204" s="3">
        <v>75.08</v>
      </c>
    </row>
    <row r="205" spans="1:19" ht="14.4" x14ac:dyDescent="0.3">
      <c r="A205" s="2">
        <v>44208</v>
      </c>
      <c r="B205" s="3">
        <v>46.09</v>
      </c>
      <c r="C205" s="3">
        <v>62.53</v>
      </c>
      <c r="D205" s="3">
        <v>76.28</v>
      </c>
      <c r="E205" s="3">
        <v>87.88</v>
      </c>
      <c r="F205" s="3">
        <v>69.63</v>
      </c>
      <c r="G205" s="3">
        <v>53.21</v>
      </c>
      <c r="H205" s="3">
        <v>56.58</v>
      </c>
      <c r="I205" s="3">
        <v>55.37</v>
      </c>
      <c r="J205" s="3">
        <v>47.88</v>
      </c>
      <c r="K205" s="3">
        <v>14.9</v>
      </c>
      <c r="L205" s="3">
        <v>63535.1</v>
      </c>
      <c r="M205" s="3">
        <v>61563.21</v>
      </c>
      <c r="N205" s="3">
        <v>19.7</v>
      </c>
      <c r="O205" s="3">
        <v>6.5600000000000006E-2</v>
      </c>
      <c r="P205" s="3">
        <v>2.7530000000000001</v>
      </c>
      <c r="Q205" s="3">
        <v>117.86</v>
      </c>
      <c r="R205" s="3">
        <v>26.155000000000001</v>
      </c>
      <c r="S205" s="3">
        <v>75.25</v>
      </c>
    </row>
    <row r="206" spans="1:19" ht="14.4" x14ac:dyDescent="0.3">
      <c r="A206" s="2">
        <v>44209</v>
      </c>
      <c r="B206" s="3">
        <v>46.09</v>
      </c>
      <c r="C206" s="3">
        <v>62.53</v>
      </c>
      <c r="D206" s="3">
        <v>76.28</v>
      </c>
      <c r="E206" s="3">
        <v>87.88</v>
      </c>
      <c r="F206" s="3">
        <v>69.63</v>
      </c>
      <c r="G206" s="3">
        <v>52.91</v>
      </c>
      <c r="H206" s="3">
        <v>56.06</v>
      </c>
      <c r="I206" s="3">
        <v>54.96</v>
      </c>
      <c r="J206" s="3">
        <v>48.42</v>
      </c>
      <c r="K206" s="3">
        <v>15.74</v>
      </c>
      <c r="L206" s="3">
        <v>63474.53</v>
      </c>
      <c r="M206" s="3">
        <v>61874.58</v>
      </c>
      <c r="N206" s="3">
        <v>18.57</v>
      </c>
      <c r="O206" s="3">
        <v>6.5519999999999995E-2</v>
      </c>
      <c r="P206" s="3">
        <v>2.7269999999999999</v>
      </c>
      <c r="Q206" s="3">
        <v>117.84</v>
      </c>
      <c r="R206" s="3">
        <v>21.5</v>
      </c>
      <c r="S206" s="3">
        <v>74.45</v>
      </c>
    </row>
    <row r="207" spans="1:19" ht="14.4" x14ac:dyDescent="0.3">
      <c r="A207" s="2">
        <v>44210</v>
      </c>
      <c r="B207" s="3">
        <v>46.09</v>
      </c>
      <c r="C207" s="3">
        <v>62.53</v>
      </c>
      <c r="D207" s="3">
        <v>76.28</v>
      </c>
      <c r="E207" s="3">
        <v>87.88</v>
      </c>
      <c r="F207" s="3">
        <v>69.63</v>
      </c>
      <c r="G207" s="3">
        <v>53.57</v>
      </c>
      <c r="H207" s="3">
        <v>56.42</v>
      </c>
      <c r="I207" s="3">
        <v>55.17</v>
      </c>
      <c r="J207" s="3">
        <v>50.31</v>
      </c>
      <c r="K207" s="3">
        <v>15.86</v>
      </c>
      <c r="L207" s="3">
        <v>63884.77</v>
      </c>
      <c r="M207" s="3">
        <v>61926.74</v>
      </c>
      <c r="N207" s="3">
        <v>18.57</v>
      </c>
      <c r="O207" s="3">
        <v>6.6290000000000002E-2</v>
      </c>
      <c r="P207" s="3">
        <v>2.6659999999999999</v>
      </c>
      <c r="Q207" s="3">
        <v>115.62</v>
      </c>
      <c r="R207" s="3">
        <v>21.335000000000001</v>
      </c>
      <c r="S207" s="3">
        <v>76.680000000000007</v>
      </c>
    </row>
    <row r="208" spans="1:19" ht="14.4" x14ac:dyDescent="0.3">
      <c r="A208" s="2">
        <v>44211</v>
      </c>
      <c r="B208" s="3">
        <v>49.78</v>
      </c>
      <c r="C208" s="3">
        <v>67.84</v>
      </c>
      <c r="D208" s="3">
        <v>81.81</v>
      </c>
      <c r="E208" s="3">
        <v>95.54</v>
      </c>
      <c r="F208" s="3">
        <v>72.55</v>
      </c>
      <c r="G208" s="3">
        <v>52.36</v>
      </c>
      <c r="H208" s="3">
        <v>55.1</v>
      </c>
      <c r="I208" s="3">
        <v>54.53</v>
      </c>
      <c r="J208" s="3">
        <v>47.89</v>
      </c>
      <c r="K208" s="3">
        <v>15.74</v>
      </c>
      <c r="L208" s="3">
        <v>63549.75</v>
      </c>
      <c r="M208" s="3">
        <v>61008.37</v>
      </c>
      <c r="N208" s="3">
        <v>18.309000000000001</v>
      </c>
      <c r="O208" s="3">
        <v>6.5610000000000002E-2</v>
      </c>
      <c r="P208" s="3">
        <v>2.7370000000000001</v>
      </c>
      <c r="Q208" s="3">
        <v>115.19</v>
      </c>
      <c r="R208" s="3">
        <v>20.2</v>
      </c>
      <c r="S208" s="3">
        <v>78.22</v>
      </c>
    </row>
    <row r="209" spans="1:19" ht="14.4" x14ac:dyDescent="0.3">
      <c r="A209" s="2">
        <v>44214</v>
      </c>
      <c r="B209" s="3">
        <v>49.78</v>
      </c>
      <c r="C209" s="3">
        <v>67.84</v>
      </c>
      <c r="D209" s="3">
        <v>81.81</v>
      </c>
      <c r="E209" s="3">
        <v>95.54</v>
      </c>
      <c r="F209" s="3">
        <v>72.55</v>
      </c>
      <c r="G209" s="3">
        <v>52.36</v>
      </c>
      <c r="H209" s="3">
        <v>54.75</v>
      </c>
      <c r="I209" s="1">
        <f>(I208+I210)/2</f>
        <v>54.71</v>
      </c>
      <c r="J209" s="1">
        <f>(J208+J210)/2</f>
        <v>48.365000000000002</v>
      </c>
      <c r="K209" s="3">
        <v>15.98</v>
      </c>
      <c r="L209" s="3">
        <v>63713.87</v>
      </c>
      <c r="M209" s="3">
        <v>60453.94</v>
      </c>
      <c r="N209" s="5">
        <f>FORECAST(A209,N203:N208,A203:A208)</f>
        <v>19.29875675675703</v>
      </c>
      <c r="O209" s="3">
        <v>6.5939999999999999E-2</v>
      </c>
      <c r="P209" s="3">
        <v>2.637</v>
      </c>
      <c r="Q209" s="1">
        <f>AVERAGE(Q208,Q210)</f>
        <v>115.035</v>
      </c>
      <c r="R209" s="5">
        <f>AVERAGE(R208,R210)</f>
        <v>20.262499999999999</v>
      </c>
      <c r="S209" s="3">
        <v>80.03</v>
      </c>
    </row>
    <row r="210" spans="1:19" ht="14.4" x14ac:dyDescent="0.3">
      <c r="A210" s="2">
        <v>44215</v>
      </c>
      <c r="B210" s="3">
        <v>49.78</v>
      </c>
      <c r="C210" s="3">
        <v>67.84</v>
      </c>
      <c r="D210" s="3">
        <v>81.81</v>
      </c>
      <c r="E210" s="3">
        <v>95.54</v>
      </c>
      <c r="F210" s="3">
        <v>72.55</v>
      </c>
      <c r="G210" s="3">
        <v>52.98</v>
      </c>
      <c r="H210" s="3">
        <v>55.9</v>
      </c>
      <c r="I210" s="3">
        <v>54.89</v>
      </c>
      <c r="J210" s="3">
        <v>48.84</v>
      </c>
      <c r="K210" s="3">
        <v>15.98</v>
      </c>
      <c r="L210" s="3">
        <v>63603.26</v>
      </c>
      <c r="M210" s="3">
        <v>59452.01</v>
      </c>
      <c r="N210" s="3">
        <v>8.52</v>
      </c>
      <c r="O210" s="3">
        <v>6.6710000000000005E-2</v>
      </c>
      <c r="P210" s="3">
        <v>2.5459999999999998</v>
      </c>
      <c r="Q210" s="3">
        <v>114.88</v>
      </c>
      <c r="R210" s="3">
        <v>20.324999999999999</v>
      </c>
      <c r="S210" s="3">
        <v>81.08</v>
      </c>
    </row>
    <row r="211" spans="1:19" ht="14.4" x14ac:dyDescent="0.3">
      <c r="A211" s="2">
        <v>44216</v>
      </c>
      <c r="B211" s="3">
        <v>49.78</v>
      </c>
      <c r="C211" s="3">
        <v>67.84</v>
      </c>
      <c r="D211" s="3">
        <v>81.81</v>
      </c>
      <c r="E211" s="3">
        <v>95.54</v>
      </c>
      <c r="F211" s="3">
        <v>72.55</v>
      </c>
      <c r="G211" s="3">
        <v>53.24</v>
      </c>
      <c r="H211" s="3">
        <v>56.08</v>
      </c>
      <c r="I211" s="3">
        <v>54.97</v>
      </c>
      <c r="J211" s="3">
        <v>49.53</v>
      </c>
      <c r="K211" s="3">
        <v>15.7</v>
      </c>
      <c r="L211" s="3">
        <v>64108.51</v>
      </c>
      <c r="M211" s="3">
        <v>60312.19</v>
      </c>
      <c r="N211" s="3">
        <v>9.0150000000000006</v>
      </c>
      <c r="O211" s="3">
        <v>6.7070000000000005E-2</v>
      </c>
      <c r="P211" s="3">
        <v>2.5390000000000001</v>
      </c>
      <c r="Q211" s="3">
        <v>114.69</v>
      </c>
      <c r="R211" s="3">
        <v>20.260000000000002</v>
      </c>
      <c r="S211" s="3">
        <v>81.849999999999994</v>
      </c>
    </row>
    <row r="212" spans="1:19" ht="14.4" x14ac:dyDescent="0.3">
      <c r="A212" s="2">
        <v>44217</v>
      </c>
      <c r="B212" s="3">
        <v>49.78</v>
      </c>
      <c r="C212" s="3">
        <v>67.84</v>
      </c>
      <c r="D212" s="3">
        <v>81.81</v>
      </c>
      <c r="E212" s="3">
        <v>95.54</v>
      </c>
      <c r="F212" s="3">
        <v>72.55</v>
      </c>
      <c r="G212" s="3">
        <v>53.13</v>
      </c>
      <c r="H212" s="3">
        <v>56.1</v>
      </c>
      <c r="I212" s="3">
        <v>54.95</v>
      </c>
      <c r="J212" s="3">
        <v>48.11</v>
      </c>
      <c r="K212" s="3">
        <v>15.86</v>
      </c>
      <c r="L212" s="3">
        <v>64174.879999999997</v>
      </c>
      <c r="M212" s="3">
        <v>60878.5</v>
      </c>
      <c r="N212" s="3">
        <v>8.4849999999999994</v>
      </c>
      <c r="O212" s="3">
        <v>6.6890000000000005E-2</v>
      </c>
      <c r="P212" s="3">
        <v>2.4910000000000001</v>
      </c>
      <c r="Q212" s="3">
        <v>112.92</v>
      </c>
      <c r="R212" s="3">
        <v>20.065000000000001</v>
      </c>
      <c r="S212" s="3">
        <v>80.2</v>
      </c>
    </row>
    <row r="213" spans="1:19" ht="14.4" x14ac:dyDescent="0.3">
      <c r="A213" s="2">
        <v>44218</v>
      </c>
      <c r="B213" s="3">
        <v>45.25</v>
      </c>
      <c r="C213" s="3">
        <v>62.04</v>
      </c>
      <c r="D213" s="3">
        <v>76.72</v>
      </c>
      <c r="E213" s="3">
        <v>89.97</v>
      </c>
      <c r="F213" s="3">
        <v>72.959999999999994</v>
      </c>
      <c r="G213" s="3">
        <v>52.27</v>
      </c>
      <c r="H213" s="3">
        <v>55.41</v>
      </c>
      <c r="I213" s="3">
        <v>54.76</v>
      </c>
      <c r="J213" s="3">
        <v>47.43</v>
      </c>
      <c r="K213" s="3">
        <v>15.36</v>
      </c>
      <c r="L213" s="3">
        <v>63987.92</v>
      </c>
      <c r="M213" s="3">
        <v>60052.95</v>
      </c>
      <c r="N213" s="3">
        <v>8.8550000000000004</v>
      </c>
      <c r="O213" s="3">
        <v>6.6119999999999998E-2</v>
      </c>
      <c r="P213" s="3">
        <v>2.4460000000000002</v>
      </c>
      <c r="Q213" s="3">
        <v>111.92</v>
      </c>
      <c r="R213" s="3">
        <v>21.484999999999999</v>
      </c>
      <c r="S213" s="3">
        <v>77.650000000000006</v>
      </c>
    </row>
    <row r="214" spans="1:19" ht="14.4" x14ac:dyDescent="0.3">
      <c r="A214" s="2">
        <v>44221</v>
      </c>
      <c r="B214" s="3">
        <v>45.25</v>
      </c>
      <c r="C214" s="3">
        <v>62.04</v>
      </c>
      <c r="D214" s="3">
        <v>76.72</v>
      </c>
      <c r="E214" s="3">
        <v>89.97</v>
      </c>
      <c r="F214" s="3">
        <v>72.959999999999994</v>
      </c>
      <c r="G214" s="3">
        <v>52.77</v>
      </c>
      <c r="H214" s="3">
        <v>55.88</v>
      </c>
      <c r="I214" s="3">
        <v>54.87</v>
      </c>
      <c r="J214" s="3">
        <v>46.9</v>
      </c>
      <c r="K214" s="3">
        <v>15.12</v>
      </c>
      <c r="L214" s="3">
        <v>64559.85</v>
      </c>
      <c r="M214" s="3">
        <v>59631.63</v>
      </c>
      <c r="N214" s="3">
        <v>8.61</v>
      </c>
      <c r="O214" s="3">
        <v>6.5579999999999999E-2</v>
      </c>
      <c r="P214" s="3">
        <v>2.6019999999999999</v>
      </c>
      <c r="Q214" s="3">
        <v>112.46</v>
      </c>
      <c r="R214" s="3">
        <v>20.16</v>
      </c>
      <c r="S214" s="3">
        <v>77.349999999999994</v>
      </c>
    </row>
    <row r="215" spans="1:19" ht="14.4" x14ac:dyDescent="0.3">
      <c r="A215" s="2">
        <v>44222</v>
      </c>
      <c r="B215" s="3">
        <v>45.25</v>
      </c>
      <c r="C215" s="3">
        <v>62.04</v>
      </c>
      <c r="D215" s="3">
        <v>76.72</v>
      </c>
      <c r="E215" s="3">
        <v>89.97</v>
      </c>
      <c r="F215" s="3">
        <v>72.959999999999994</v>
      </c>
      <c r="G215" s="3">
        <v>52.61</v>
      </c>
      <c r="H215" s="3">
        <v>55.91</v>
      </c>
      <c r="I215" s="3">
        <v>54.82</v>
      </c>
      <c r="J215" s="3">
        <v>45.87</v>
      </c>
      <c r="K215" s="3">
        <v>14.84</v>
      </c>
      <c r="L215" s="3">
        <v>63923.63</v>
      </c>
      <c r="M215" s="3">
        <v>59343.29</v>
      </c>
      <c r="N215" s="3">
        <v>8.56</v>
      </c>
      <c r="O215" s="3">
        <v>6.6320000000000004E-2</v>
      </c>
      <c r="P215" s="3">
        <v>2.6560000000000001</v>
      </c>
      <c r="Q215" s="3">
        <v>112.65</v>
      </c>
      <c r="R215" s="3">
        <v>19.510000000000002</v>
      </c>
      <c r="S215" s="1">
        <f>S216</f>
        <v>80.98</v>
      </c>
    </row>
    <row r="216" spans="1:19" ht="14.4" x14ac:dyDescent="0.3">
      <c r="A216" s="2">
        <v>44223</v>
      </c>
      <c r="B216" s="3">
        <v>45.25</v>
      </c>
      <c r="C216" s="3">
        <v>62.04</v>
      </c>
      <c r="D216" s="3">
        <v>76.72</v>
      </c>
      <c r="E216" s="3">
        <v>89.97</v>
      </c>
      <c r="F216" s="3">
        <v>72.959999999999994</v>
      </c>
      <c r="G216" s="3">
        <v>52.85</v>
      </c>
      <c r="H216" s="3">
        <v>55.81</v>
      </c>
      <c r="I216" s="3">
        <v>54.81</v>
      </c>
      <c r="J216" s="3">
        <v>45.35</v>
      </c>
      <c r="K216" s="3">
        <v>14.84</v>
      </c>
      <c r="L216" s="3">
        <v>62784.52</v>
      </c>
      <c r="M216" s="3">
        <v>57031.17</v>
      </c>
      <c r="N216" s="3">
        <v>8.6150000000000002</v>
      </c>
      <c r="O216" s="3">
        <v>6.5439999999999998E-2</v>
      </c>
      <c r="P216" s="3">
        <v>2.76</v>
      </c>
      <c r="Q216" s="3">
        <v>109.35</v>
      </c>
      <c r="R216" s="3">
        <v>19.7</v>
      </c>
      <c r="S216" s="3">
        <v>80.98</v>
      </c>
    </row>
    <row r="217" spans="1:19" ht="14.4" x14ac:dyDescent="0.3">
      <c r="A217" s="2">
        <v>44224</v>
      </c>
      <c r="B217" s="3">
        <v>45.25</v>
      </c>
      <c r="C217" s="3">
        <v>62.04</v>
      </c>
      <c r="D217" s="3">
        <v>76.72</v>
      </c>
      <c r="E217" s="3">
        <v>89.97</v>
      </c>
      <c r="F217" s="3">
        <v>72.959999999999994</v>
      </c>
      <c r="G217" s="3">
        <v>52.34</v>
      </c>
      <c r="H217" s="3">
        <v>55.53</v>
      </c>
      <c r="I217" s="3">
        <v>54.76</v>
      </c>
      <c r="J217" s="3">
        <v>46.06</v>
      </c>
      <c r="K217" s="3">
        <v>14.54</v>
      </c>
      <c r="L217" s="3">
        <v>63206.720000000001</v>
      </c>
      <c r="M217" s="3">
        <v>58373.919999999998</v>
      </c>
      <c r="N217" s="3">
        <v>8.85</v>
      </c>
      <c r="O217" s="3">
        <v>6.583E-2</v>
      </c>
      <c r="P217" s="3">
        <v>2.6640000000000001</v>
      </c>
      <c r="Q217" s="3">
        <v>112.61</v>
      </c>
      <c r="R217" s="3">
        <v>20.91</v>
      </c>
      <c r="S217" s="3">
        <v>82.78</v>
      </c>
    </row>
    <row r="218" spans="1:19" ht="14.4" x14ac:dyDescent="0.3">
      <c r="A218" s="2">
        <v>44225</v>
      </c>
      <c r="B218" s="3">
        <v>45.53</v>
      </c>
      <c r="C218" s="3">
        <v>62.85</v>
      </c>
      <c r="D218" s="3">
        <v>77.12</v>
      </c>
      <c r="E218" s="3">
        <v>87.76</v>
      </c>
      <c r="F218" s="3">
        <v>71.34</v>
      </c>
      <c r="G218" s="3">
        <v>52.2</v>
      </c>
      <c r="H218" s="3">
        <v>55.88</v>
      </c>
      <c r="I218" s="3">
        <v>54.77</v>
      </c>
      <c r="J218" s="3">
        <v>44.84</v>
      </c>
      <c r="K218" s="3">
        <v>14.38</v>
      </c>
      <c r="L218" s="3">
        <v>62472.1</v>
      </c>
      <c r="M218" s="3">
        <v>57617.78</v>
      </c>
      <c r="N218" s="3">
        <v>8.8699999999999992</v>
      </c>
      <c r="O218" s="3">
        <v>6.5909999999999996E-2</v>
      </c>
      <c r="P218" s="3">
        <v>2.5640000000000001</v>
      </c>
      <c r="Q218" s="3">
        <v>110.35</v>
      </c>
      <c r="R218" s="3">
        <v>19.82</v>
      </c>
      <c r="S218" s="3">
        <v>82.08</v>
      </c>
    </row>
    <row r="219" spans="1:19" ht="14.4" x14ac:dyDescent="0.3">
      <c r="A219" s="2">
        <v>44228</v>
      </c>
      <c r="B219" s="3">
        <v>45.53</v>
      </c>
      <c r="C219" s="3">
        <v>62.85</v>
      </c>
      <c r="D219" s="3">
        <v>77.12</v>
      </c>
      <c r="E219" s="3">
        <v>87.76</v>
      </c>
      <c r="F219" s="3">
        <v>71.34</v>
      </c>
      <c r="G219" s="3">
        <v>53.55</v>
      </c>
      <c r="H219" s="3">
        <v>56.35</v>
      </c>
      <c r="I219" s="3">
        <v>55.66</v>
      </c>
      <c r="J219" s="3">
        <v>44.92</v>
      </c>
      <c r="K219" s="3">
        <v>14.26</v>
      </c>
      <c r="L219" s="3">
        <v>62796.65</v>
      </c>
      <c r="M219" s="3">
        <v>58626.400000000001</v>
      </c>
      <c r="N219" s="3">
        <v>8.52</v>
      </c>
      <c r="O219" s="3">
        <v>6.6269999999999996E-2</v>
      </c>
      <c r="P219" s="3">
        <v>2.85</v>
      </c>
      <c r="Q219" s="3">
        <v>113.41</v>
      </c>
      <c r="R219" s="3">
        <v>18.14</v>
      </c>
      <c r="S219" s="3">
        <v>82.48</v>
      </c>
    </row>
    <row r="220" spans="1:19" ht="14.4" x14ac:dyDescent="0.3">
      <c r="A220" s="2">
        <v>44229</v>
      </c>
      <c r="B220" s="3">
        <v>45.53</v>
      </c>
      <c r="C220" s="3">
        <v>62.85</v>
      </c>
      <c r="D220" s="3">
        <v>77.12</v>
      </c>
      <c r="E220" s="3">
        <v>87.76</v>
      </c>
      <c r="F220" s="3">
        <v>71.34</v>
      </c>
      <c r="G220" s="3">
        <v>54.76</v>
      </c>
      <c r="H220" s="3">
        <v>57.46</v>
      </c>
      <c r="I220" s="3">
        <v>56.71</v>
      </c>
      <c r="J220" s="3">
        <v>45.63</v>
      </c>
      <c r="K220" s="3">
        <v>14.1</v>
      </c>
      <c r="L220" s="3">
        <v>62733.65</v>
      </c>
      <c r="M220" s="3">
        <v>56826.53</v>
      </c>
      <c r="N220" s="3">
        <v>8.43</v>
      </c>
      <c r="O220" s="3">
        <v>6.6790000000000002E-2</v>
      </c>
      <c r="P220" s="3">
        <v>2.8450000000000002</v>
      </c>
      <c r="Q220" s="3">
        <v>116.78</v>
      </c>
      <c r="R220" s="3">
        <v>18.25</v>
      </c>
      <c r="S220" s="3">
        <v>83.72</v>
      </c>
    </row>
    <row r="221" spans="1:19" ht="14.4" x14ac:dyDescent="0.3">
      <c r="A221" s="2">
        <v>44230</v>
      </c>
      <c r="B221" s="3">
        <v>45.53</v>
      </c>
      <c r="C221" s="3">
        <v>62.85</v>
      </c>
      <c r="D221" s="3">
        <v>77.12</v>
      </c>
      <c r="E221" s="3">
        <v>87.76</v>
      </c>
      <c r="F221" s="3">
        <v>71.34</v>
      </c>
      <c r="G221" s="3">
        <v>55.69</v>
      </c>
      <c r="H221" s="3">
        <v>58.46</v>
      </c>
      <c r="I221" s="3">
        <v>57.69</v>
      </c>
      <c r="J221" s="3">
        <v>47.42</v>
      </c>
      <c r="K221" s="3">
        <v>14.06</v>
      </c>
      <c r="L221" s="3">
        <v>63010.61</v>
      </c>
      <c r="M221" s="3">
        <v>56933.65</v>
      </c>
      <c r="N221" s="3">
        <v>8.3650000000000002</v>
      </c>
      <c r="O221" s="3">
        <v>6.6890000000000005E-2</v>
      </c>
      <c r="P221" s="3">
        <v>2.7890000000000001</v>
      </c>
      <c r="Q221" s="3">
        <v>115.3</v>
      </c>
      <c r="R221" s="3">
        <v>17.855</v>
      </c>
      <c r="S221" s="3">
        <v>84.08</v>
      </c>
    </row>
    <row r="222" spans="1:19" ht="14.4" x14ac:dyDescent="0.3">
      <c r="A222" s="2">
        <v>44231</v>
      </c>
      <c r="B222" s="3">
        <v>45.53</v>
      </c>
      <c r="C222" s="3">
        <v>62.85</v>
      </c>
      <c r="D222" s="3">
        <v>77.12</v>
      </c>
      <c r="E222" s="3">
        <v>87.76</v>
      </c>
      <c r="F222" s="3">
        <v>71.34</v>
      </c>
      <c r="G222" s="3">
        <v>56.23</v>
      </c>
      <c r="H222" s="3">
        <v>58.84</v>
      </c>
      <c r="I222" s="3">
        <v>57.97</v>
      </c>
      <c r="J222" s="3">
        <v>48.33</v>
      </c>
      <c r="K222" s="3">
        <v>14.02</v>
      </c>
      <c r="L222" s="3">
        <v>63786.21</v>
      </c>
      <c r="M222" s="3">
        <v>57223.11</v>
      </c>
      <c r="N222" s="3">
        <v>8.34</v>
      </c>
      <c r="O222" s="3">
        <v>6.6619999999999999E-2</v>
      </c>
      <c r="P222" s="3">
        <v>2.9350000000000001</v>
      </c>
      <c r="Q222" s="3">
        <v>114.55</v>
      </c>
      <c r="R222" s="3">
        <v>18.12</v>
      </c>
      <c r="S222" s="3">
        <v>85.82</v>
      </c>
    </row>
    <row r="223" spans="1:19" ht="14.4" x14ac:dyDescent="0.3">
      <c r="A223" s="2">
        <v>44232</v>
      </c>
      <c r="B223" s="3">
        <v>43.02</v>
      </c>
      <c r="C223" s="3">
        <v>60.88</v>
      </c>
      <c r="D223" s="3">
        <v>74.72</v>
      </c>
      <c r="E223" s="3">
        <v>83.95</v>
      </c>
      <c r="F223" s="3">
        <v>70.010000000000005</v>
      </c>
      <c r="G223" s="3">
        <v>56.85</v>
      </c>
      <c r="H223" s="3">
        <v>59.34</v>
      </c>
      <c r="I223" s="3">
        <v>58.4</v>
      </c>
      <c r="J223" s="3">
        <v>49.95</v>
      </c>
      <c r="K223" s="3">
        <v>13.88</v>
      </c>
      <c r="L223" s="3">
        <v>64289.48</v>
      </c>
      <c r="M223" s="3">
        <v>57588.94</v>
      </c>
      <c r="N223" s="3">
        <v>8.3849999999999998</v>
      </c>
      <c r="O223" s="3">
        <v>6.7199999999999996E-2</v>
      </c>
      <c r="P223" s="3">
        <v>2.863</v>
      </c>
      <c r="Q223" s="3">
        <v>114.19</v>
      </c>
      <c r="R223" s="3">
        <v>18.38</v>
      </c>
      <c r="S223" s="3">
        <v>86.65</v>
      </c>
    </row>
    <row r="224" spans="1:19" ht="14.4" x14ac:dyDescent="0.3">
      <c r="A224" s="2">
        <v>44235</v>
      </c>
      <c r="B224" s="3">
        <v>43.02</v>
      </c>
      <c r="C224" s="3">
        <v>60.88</v>
      </c>
      <c r="D224" s="3">
        <v>74.72</v>
      </c>
      <c r="E224" s="3">
        <v>83.95</v>
      </c>
      <c r="F224" s="3">
        <v>70.010000000000005</v>
      </c>
      <c r="G224" s="3">
        <v>57.97</v>
      </c>
      <c r="H224" s="3">
        <v>60.56</v>
      </c>
      <c r="I224" s="3">
        <v>59.36</v>
      </c>
      <c r="J224" s="3">
        <v>52.1</v>
      </c>
      <c r="K224" s="3">
        <v>13.86</v>
      </c>
      <c r="L224" s="3">
        <v>65059.16</v>
      </c>
      <c r="M224" s="3">
        <v>59576.75</v>
      </c>
      <c r="N224" s="3">
        <v>8.43</v>
      </c>
      <c r="O224" s="3">
        <v>6.7150000000000001E-2</v>
      </c>
      <c r="P224" s="3">
        <v>2.8820000000000001</v>
      </c>
      <c r="Q224" s="3">
        <v>113.46</v>
      </c>
      <c r="R224" s="3">
        <v>20.18</v>
      </c>
      <c r="S224" s="3">
        <v>85.48</v>
      </c>
    </row>
    <row r="225" spans="1:19" ht="14.4" x14ac:dyDescent="0.3">
      <c r="A225" s="2">
        <v>44236</v>
      </c>
      <c r="B225" s="3">
        <v>43.02</v>
      </c>
      <c r="C225" s="3">
        <v>60.88</v>
      </c>
      <c r="D225" s="3">
        <v>74.72</v>
      </c>
      <c r="E225" s="3">
        <v>83.95</v>
      </c>
      <c r="F225" s="3">
        <v>70.010000000000005</v>
      </c>
      <c r="G225" s="3">
        <v>58.36</v>
      </c>
      <c r="H225" s="3">
        <v>61.09</v>
      </c>
      <c r="I225" s="3">
        <v>59.63</v>
      </c>
      <c r="J225" s="3">
        <v>50.63</v>
      </c>
      <c r="K225" s="3">
        <v>13.98</v>
      </c>
      <c r="L225" s="3">
        <v>65162.69</v>
      </c>
      <c r="M225" s="3">
        <v>59003.18</v>
      </c>
      <c r="N225" s="3">
        <v>8.3049999999999997</v>
      </c>
      <c r="O225" s="3">
        <v>6.7849999999999994E-2</v>
      </c>
      <c r="P225" s="3">
        <v>2.835</v>
      </c>
      <c r="Q225" s="3">
        <v>113.26</v>
      </c>
      <c r="R225" s="3">
        <v>19.045000000000002</v>
      </c>
      <c r="S225" s="3">
        <v>90.8</v>
      </c>
    </row>
    <row r="226" spans="1:19" ht="14.4" x14ac:dyDescent="0.3">
      <c r="A226" s="2">
        <v>44237</v>
      </c>
      <c r="B226" s="3">
        <v>43.02</v>
      </c>
      <c r="C226" s="3">
        <v>60.88</v>
      </c>
      <c r="D226" s="3">
        <v>74.72</v>
      </c>
      <c r="E226" s="3">
        <v>83.95</v>
      </c>
      <c r="F226" s="3">
        <v>70.010000000000005</v>
      </c>
      <c r="G226" s="3">
        <v>58.68</v>
      </c>
      <c r="H226" s="3">
        <v>61.47</v>
      </c>
      <c r="I226" s="3">
        <v>59.69</v>
      </c>
      <c r="J226" s="3">
        <v>51.12</v>
      </c>
      <c r="K226" s="3">
        <v>13.98</v>
      </c>
      <c r="L226" s="3">
        <v>66150.820000000007</v>
      </c>
      <c r="M226" s="3">
        <v>61163.73</v>
      </c>
      <c r="N226" s="3">
        <v>8.2799999999999994</v>
      </c>
      <c r="O226" s="3">
        <v>6.7750000000000005E-2</v>
      </c>
      <c r="P226" s="3">
        <v>2.911</v>
      </c>
      <c r="Q226" s="3">
        <v>111.66</v>
      </c>
      <c r="R226" s="3">
        <v>18.559999999999999</v>
      </c>
      <c r="S226" s="3">
        <v>90.22</v>
      </c>
    </row>
    <row r="227" spans="1:19" ht="14.4" x14ac:dyDescent="0.3">
      <c r="A227" s="2">
        <v>44238</v>
      </c>
      <c r="B227" s="3">
        <v>43.02</v>
      </c>
      <c r="C227" s="3">
        <v>60.88</v>
      </c>
      <c r="D227" s="3">
        <v>74.72</v>
      </c>
      <c r="E227" s="3">
        <v>83.95</v>
      </c>
      <c r="F227" s="3">
        <v>70.010000000000005</v>
      </c>
      <c r="G227" s="3">
        <v>58.24</v>
      </c>
      <c r="H227" s="3">
        <v>61.14</v>
      </c>
      <c r="I227" s="3">
        <v>59.56</v>
      </c>
      <c r="J227" s="3">
        <v>49.84</v>
      </c>
      <c r="K227" s="3">
        <v>14.02</v>
      </c>
      <c r="L227" s="3">
        <v>65882.720000000001</v>
      </c>
      <c r="M227" s="3">
        <v>60173.38</v>
      </c>
      <c r="N227" s="3">
        <v>8.2650000000000006</v>
      </c>
      <c r="O227" s="3">
        <v>6.8309999999999996E-2</v>
      </c>
      <c r="P227" s="3">
        <v>2.8679999999999999</v>
      </c>
      <c r="Q227" s="3">
        <v>111.3</v>
      </c>
      <c r="R227" s="3">
        <v>17.375</v>
      </c>
      <c r="S227" s="3">
        <v>100.18</v>
      </c>
    </row>
    <row r="228" spans="1:19" ht="14.4" x14ac:dyDescent="0.3">
      <c r="A228" s="2">
        <v>44239</v>
      </c>
      <c r="B228" s="3">
        <v>46.13</v>
      </c>
      <c r="C228" s="3">
        <v>64.23</v>
      </c>
      <c r="D228" s="3">
        <v>78.89</v>
      </c>
      <c r="E228" s="3">
        <v>90.18</v>
      </c>
      <c r="F228" s="3">
        <v>73.09</v>
      </c>
      <c r="G228" s="3">
        <v>59.47</v>
      </c>
      <c r="H228" s="3">
        <v>62.43</v>
      </c>
      <c r="I228" s="3">
        <v>60.23</v>
      </c>
      <c r="J228" s="3">
        <v>50.52</v>
      </c>
      <c r="K228" s="5">
        <f t="shared" ref="K228:K229" si="15">FORECAST(A228,K222:K227,A222:A227)</f>
        <v>13.982060085836935</v>
      </c>
      <c r="L228" s="3">
        <v>66132.240000000005</v>
      </c>
      <c r="M228" s="3">
        <v>59807.88</v>
      </c>
      <c r="N228" s="3">
        <v>8.2639999999999993</v>
      </c>
      <c r="O228" s="3">
        <v>6.8669999999999995E-2</v>
      </c>
      <c r="P228" s="3">
        <v>2.9119999999999999</v>
      </c>
      <c r="Q228" s="3">
        <v>111.07</v>
      </c>
      <c r="R228" s="3">
        <v>17.62</v>
      </c>
      <c r="S228" s="3">
        <v>99.43</v>
      </c>
    </row>
    <row r="229" spans="1:19" ht="14.4" x14ac:dyDescent="0.3">
      <c r="A229" s="2">
        <v>44242</v>
      </c>
      <c r="B229" s="3">
        <v>46.13</v>
      </c>
      <c r="C229" s="3">
        <v>64.23</v>
      </c>
      <c r="D229" s="3">
        <v>78.89</v>
      </c>
      <c r="E229" s="3">
        <v>90.18</v>
      </c>
      <c r="F229" s="3">
        <v>73.09</v>
      </c>
      <c r="G229" s="3">
        <v>60.09</v>
      </c>
      <c r="H229" s="3">
        <v>63.3</v>
      </c>
      <c r="I229" s="1">
        <f>(I228+I230)/2</f>
        <v>60.414999999999999</v>
      </c>
      <c r="J229" s="1">
        <f>(J228+J230)/2</f>
        <v>51.28</v>
      </c>
      <c r="K229" s="5">
        <f t="shared" si="15"/>
        <v>14.070636817074728</v>
      </c>
      <c r="L229" s="3">
        <v>67124.83</v>
      </c>
      <c r="M229" s="3">
        <v>62234.11</v>
      </c>
      <c r="N229" s="5">
        <f>FORECAST(A229,N223:N228,A223:A228)</f>
        <v>8.1910540540540069</v>
      </c>
      <c r="O229" s="3">
        <v>6.9139999999999993E-2</v>
      </c>
      <c r="P229" s="3">
        <v>3.0670000000000002</v>
      </c>
      <c r="Q229" s="1">
        <f>AVERAGE(Q228,Q230)</f>
        <v>111.745</v>
      </c>
      <c r="R229" s="5">
        <f>AVERAGE(R228,R230)</f>
        <v>17.1675</v>
      </c>
      <c r="S229" s="3">
        <v>97.17</v>
      </c>
    </row>
    <row r="230" spans="1:19" ht="14.4" x14ac:dyDescent="0.3">
      <c r="A230" s="2">
        <v>44243</v>
      </c>
      <c r="B230" s="3">
        <v>46.13</v>
      </c>
      <c r="C230" s="3">
        <v>64.23</v>
      </c>
      <c r="D230" s="3">
        <v>78.89</v>
      </c>
      <c r="E230" s="3">
        <v>90.18</v>
      </c>
      <c r="F230" s="3">
        <v>73.09</v>
      </c>
      <c r="G230" s="3">
        <v>60.05</v>
      </c>
      <c r="H230" s="3">
        <v>63.35</v>
      </c>
      <c r="I230" s="3">
        <v>60.6</v>
      </c>
      <c r="J230" s="3">
        <v>52.04</v>
      </c>
      <c r="K230" s="3">
        <v>14.42</v>
      </c>
      <c r="L230" s="3">
        <v>67227.06</v>
      </c>
      <c r="M230" s="3">
        <v>62857.63</v>
      </c>
      <c r="N230" s="3">
        <v>6.35</v>
      </c>
      <c r="O230" s="3">
        <v>6.8169999999999994E-2</v>
      </c>
      <c r="P230" s="3">
        <v>3.129</v>
      </c>
      <c r="Q230" s="3">
        <v>112.42</v>
      </c>
      <c r="R230" s="3">
        <v>16.715</v>
      </c>
      <c r="S230" s="3">
        <v>92.4</v>
      </c>
    </row>
    <row r="231" spans="1:19" ht="14.4" x14ac:dyDescent="0.3">
      <c r="A231" s="2">
        <v>44244</v>
      </c>
      <c r="B231" s="3">
        <v>46.13</v>
      </c>
      <c r="C231" s="3">
        <v>64.23</v>
      </c>
      <c r="D231" s="3">
        <v>78.89</v>
      </c>
      <c r="E231" s="3">
        <v>90.18</v>
      </c>
      <c r="F231" s="3">
        <v>73.09</v>
      </c>
      <c r="G231" s="3">
        <v>61.14</v>
      </c>
      <c r="H231" s="3">
        <v>64.34</v>
      </c>
      <c r="I231" s="3">
        <v>60.89</v>
      </c>
      <c r="J231" s="3">
        <v>52.85</v>
      </c>
      <c r="K231" s="3">
        <v>14.6</v>
      </c>
      <c r="L231" s="3">
        <v>67110.070000000007</v>
      </c>
      <c r="M231" s="3">
        <v>62917.04</v>
      </c>
      <c r="N231" s="3">
        <v>6.3049999999999997</v>
      </c>
      <c r="O231" s="3">
        <v>6.8220000000000003E-2</v>
      </c>
      <c r="P231" s="3">
        <v>3.2189999999999999</v>
      </c>
      <c r="Q231" s="3">
        <v>112.78</v>
      </c>
      <c r="R231" s="3">
        <v>16.54</v>
      </c>
      <c r="S231" s="3">
        <v>94.63</v>
      </c>
    </row>
    <row r="232" spans="1:19" ht="14.4" x14ac:dyDescent="0.3">
      <c r="A232" s="2">
        <v>44245</v>
      </c>
      <c r="B232" s="3">
        <v>46.13</v>
      </c>
      <c r="C232" s="3">
        <v>64.23</v>
      </c>
      <c r="D232" s="3">
        <v>78.89</v>
      </c>
      <c r="E232" s="3">
        <v>90.18</v>
      </c>
      <c r="F232" s="3">
        <v>73.09</v>
      </c>
      <c r="G232" s="3">
        <v>60.52</v>
      </c>
      <c r="H232" s="3">
        <v>63.93</v>
      </c>
      <c r="I232" s="3">
        <v>60.59</v>
      </c>
      <c r="J232" s="3">
        <v>52.02</v>
      </c>
      <c r="K232" s="3">
        <v>14.88</v>
      </c>
      <c r="L232" s="3">
        <v>66575.45</v>
      </c>
      <c r="M232" s="3">
        <v>62471.47</v>
      </c>
      <c r="N232" s="3">
        <v>6.6</v>
      </c>
      <c r="O232" s="3">
        <v>6.8430000000000005E-2</v>
      </c>
      <c r="P232" s="3">
        <v>3.0819999999999999</v>
      </c>
      <c r="Q232" s="3">
        <v>113.86</v>
      </c>
      <c r="R232" s="3">
        <v>17.329999999999998</v>
      </c>
      <c r="S232" s="3">
        <v>99.28</v>
      </c>
    </row>
    <row r="233" spans="1:19" ht="14.4" x14ac:dyDescent="0.3">
      <c r="A233" s="2">
        <v>44246</v>
      </c>
      <c r="B233" s="3">
        <v>45.36</v>
      </c>
      <c r="C233" s="3">
        <v>62.33</v>
      </c>
      <c r="D233" s="3">
        <v>76.59</v>
      </c>
      <c r="E233" s="3">
        <v>89.3</v>
      </c>
      <c r="F233" s="3">
        <v>79</v>
      </c>
      <c r="G233" s="3">
        <v>59.24</v>
      </c>
      <c r="H233" s="3">
        <v>62.91</v>
      </c>
      <c r="I233" s="3">
        <v>60.2</v>
      </c>
      <c r="J233" s="3">
        <v>52.37</v>
      </c>
      <c r="K233" s="3">
        <v>14.92</v>
      </c>
      <c r="L233" s="3">
        <v>67464.86</v>
      </c>
      <c r="M233" s="3">
        <v>63739.87</v>
      </c>
      <c r="N233" s="3">
        <v>6.4</v>
      </c>
      <c r="O233" s="3">
        <v>6.8210000000000007E-2</v>
      </c>
      <c r="P233" s="3">
        <v>3.069</v>
      </c>
      <c r="Q233" s="3">
        <v>113.35</v>
      </c>
      <c r="R233" s="3">
        <v>16.555</v>
      </c>
      <c r="S233" s="3">
        <v>98.4</v>
      </c>
    </row>
    <row r="234" spans="1:19" ht="14.4" x14ac:dyDescent="0.3">
      <c r="A234" s="2">
        <v>44249</v>
      </c>
      <c r="B234" s="3">
        <v>45.36</v>
      </c>
      <c r="C234" s="3">
        <v>62.33</v>
      </c>
      <c r="D234" s="3">
        <v>76.59</v>
      </c>
      <c r="E234" s="3">
        <v>89.3</v>
      </c>
      <c r="F234" s="3">
        <v>79</v>
      </c>
      <c r="G234" s="3">
        <v>61.49</v>
      </c>
      <c r="H234" s="3">
        <v>65.239999999999995</v>
      </c>
      <c r="I234" s="3">
        <v>60.62</v>
      </c>
      <c r="J234" s="3">
        <v>54.3</v>
      </c>
      <c r="K234" s="3">
        <v>15.54</v>
      </c>
      <c r="L234" s="3">
        <v>67362.820000000007</v>
      </c>
      <c r="M234" s="3">
        <v>64298.01</v>
      </c>
      <c r="N234" s="3">
        <v>6.2549999999999999</v>
      </c>
      <c r="O234" s="3">
        <v>6.8099999999999994E-2</v>
      </c>
      <c r="P234" s="3">
        <v>2.9529999999999998</v>
      </c>
      <c r="Q234" s="3">
        <v>111.72</v>
      </c>
      <c r="R234" s="3">
        <v>15.96</v>
      </c>
      <c r="S234" s="3">
        <v>98.42</v>
      </c>
    </row>
    <row r="235" spans="1:19" ht="14.4" x14ac:dyDescent="0.3">
      <c r="A235" s="2">
        <v>44250</v>
      </c>
      <c r="B235" s="3">
        <v>45.36</v>
      </c>
      <c r="C235" s="3">
        <v>62.33</v>
      </c>
      <c r="D235" s="3">
        <v>76.59</v>
      </c>
      <c r="E235" s="3">
        <v>89.3</v>
      </c>
      <c r="F235" s="3">
        <v>79</v>
      </c>
      <c r="G235" s="3">
        <v>61.67</v>
      </c>
      <c r="H235" s="3">
        <v>65.37</v>
      </c>
      <c r="I235" s="3">
        <v>60.63</v>
      </c>
      <c r="J235" s="3">
        <v>55.05</v>
      </c>
      <c r="K235" s="3">
        <v>15.16</v>
      </c>
      <c r="L235" s="3">
        <v>65921.600000000006</v>
      </c>
      <c r="M235" s="3">
        <v>62988.51</v>
      </c>
      <c r="N235" s="3">
        <v>6.23</v>
      </c>
      <c r="O235" s="3">
        <v>6.8729999999999999E-2</v>
      </c>
      <c r="P235" s="3">
        <v>2.879</v>
      </c>
      <c r="Q235" s="3">
        <v>111.42</v>
      </c>
      <c r="R235" s="3">
        <v>16.25</v>
      </c>
      <c r="S235" s="3">
        <v>99.28</v>
      </c>
    </row>
    <row r="236" spans="1:19" ht="14.4" x14ac:dyDescent="0.3">
      <c r="A236" s="2">
        <v>44251</v>
      </c>
      <c r="B236" s="3">
        <v>45.36</v>
      </c>
      <c r="C236" s="3">
        <v>62.33</v>
      </c>
      <c r="D236" s="3">
        <v>76.59</v>
      </c>
      <c r="E236" s="3">
        <v>89.3</v>
      </c>
      <c r="F236" s="3">
        <v>79</v>
      </c>
      <c r="G236" s="3">
        <v>63.22</v>
      </c>
      <c r="H236" s="3">
        <v>67.040000000000006</v>
      </c>
      <c r="I236" s="3">
        <v>60.81</v>
      </c>
      <c r="J236" s="3">
        <v>56.7</v>
      </c>
      <c r="K236" s="3">
        <v>14.88</v>
      </c>
      <c r="L236" s="3">
        <v>66200.759999999995</v>
      </c>
      <c r="M236" s="3">
        <v>63484.59</v>
      </c>
      <c r="N236" s="3">
        <v>6.04</v>
      </c>
      <c r="O236" s="3">
        <v>6.8949999999999997E-2</v>
      </c>
      <c r="P236" s="3">
        <v>2.8540000000000001</v>
      </c>
      <c r="Q236" s="3">
        <v>111.46</v>
      </c>
      <c r="R236" s="3">
        <v>16.38</v>
      </c>
      <c r="S236" s="3">
        <v>102.78</v>
      </c>
    </row>
    <row r="237" spans="1:19" ht="14.4" x14ac:dyDescent="0.3">
      <c r="A237" s="2">
        <v>44252</v>
      </c>
      <c r="B237" s="3">
        <v>45.36</v>
      </c>
      <c r="C237" s="3">
        <v>62.33</v>
      </c>
      <c r="D237" s="3">
        <v>76.59</v>
      </c>
      <c r="E237" s="3">
        <v>89.3</v>
      </c>
      <c r="F237" s="3">
        <v>79</v>
      </c>
      <c r="G237" s="3">
        <v>63.53</v>
      </c>
      <c r="H237" s="3">
        <v>66.88</v>
      </c>
      <c r="I237" s="3">
        <v>60.84</v>
      </c>
      <c r="J237" s="3">
        <v>55.76</v>
      </c>
      <c r="K237" s="3">
        <v>15.2</v>
      </c>
      <c r="L237" s="3">
        <v>67483.759999999995</v>
      </c>
      <c r="M237" s="3">
        <v>66960.03</v>
      </c>
      <c r="N237" s="3">
        <v>5.8049999999999997</v>
      </c>
      <c r="O237" s="3">
        <v>6.6320000000000004E-2</v>
      </c>
      <c r="P237" s="3">
        <v>2.7770000000000001</v>
      </c>
      <c r="Q237" s="3">
        <v>112</v>
      </c>
      <c r="R237" s="3">
        <v>15.935</v>
      </c>
      <c r="S237" s="3">
        <v>100.55</v>
      </c>
    </row>
    <row r="238" spans="1:19" ht="14.4" x14ac:dyDescent="0.3">
      <c r="A238" s="2">
        <v>44253</v>
      </c>
      <c r="B238" s="3">
        <v>44.5</v>
      </c>
      <c r="C238" s="3">
        <v>60.84</v>
      </c>
      <c r="D238" s="3">
        <v>75.25</v>
      </c>
      <c r="E238" s="3">
        <v>85.6</v>
      </c>
      <c r="F238" s="3">
        <v>74.069999999999993</v>
      </c>
      <c r="G238" s="3">
        <v>61.5</v>
      </c>
      <c r="H238" s="3">
        <v>66.13</v>
      </c>
      <c r="I238" s="3">
        <v>60.85</v>
      </c>
      <c r="J238" s="3">
        <v>54.37</v>
      </c>
      <c r="K238" s="3">
        <v>14.74</v>
      </c>
      <c r="L238" s="3">
        <v>66138.05</v>
      </c>
      <c r="M238" s="3">
        <v>64310.69</v>
      </c>
      <c r="N238" s="3">
        <v>6.1950000000000003</v>
      </c>
      <c r="O238" s="3">
        <v>6.6189999999999999E-2</v>
      </c>
      <c r="P238" s="3">
        <v>2.7709999999999999</v>
      </c>
      <c r="Q238" s="3">
        <v>110.31</v>
      </c>
      <c r="R238" s="3">
        <v>15.695</v>
      </c>
      <c r="S238" s="3">
        <v>97.78</v>
      </c>
    </row>
    <row r="239" spans="1:19" ht="14.4" x14ac:dyDescent="0.3">
      <c r="A239" s="2">
        <v>44256</v>
      </c>
      <c r="B239" s="3">
        <v>44.5</v>
      </c>
      <c r="C239" s="3">
        <v>60.84</v>
      </c>
      <c r="D239" s="3">
        <v>75.25</v>
      </c>
      <c r="E239" s="3">
        <v>85.6</v>
      </c>
      <c r="F239" s="3">
        <v>74.069999999999993</v>
      </c>
      <c r="G239" s="3">
        <v>60.64</v>
      </c>
      <c r="H239" s="3">
        <v>63.69</v>
      </c>
      <c r="I239" s="3">
        <v>62.28</v>
      </c>
      <c r="J239" s="3">
        <v>56.4</v>
      </c>
      <c r="K239" s="3">
        <v>14.84</v>
      </c>
      <c r="L239" s="3">
        <v>67536.960000000006</v>
      </c>
      <c r="M239" s="3">
        <v>65698.91</v>
      </c>
      <c r="N239" s="3">
        <v>5.9249999999999998</v>
      </c>
      <c r="O239" s="3">
        <v>6.6559999999999994E-2</v>
      </c>
      <c r="P239" s="3">
        <v>2.7770000000000001</v>
      </c>
      <c r="Q239" s="3">
        <v>113.74</v>
      </c>
      <c r="R239" s="3">
        <v>16.079999999999998</v>
      </c>
      <c r="S239" s="3">
        <v>100.35</v>
      </c>
    </row>
    <row r="240" spans="1:19" ht="14.4" x14ac:dyDescent="0.3">
      <c r="A240" s="2">
        <v>44257</v>
      </c>
      <c r="B240" s="3">
        <v>44.5</v>
      </c>
      <c r="C240" s="3">
        <v>60.84</v>
      </c>
      <c r="D240" s="3">
        <v>75.25</v>
      </c>
      <c r="E240" s="3">
        <v>85.6</v>
      </c>
      <c r="F240" s="3">
        <v>74.069999999999993</v>
      </c>
      <c r="G240" s="3">
        <v>59.75</v>
      </c>
      <c r="H240" s="3">
        <v>62.7</v>
      </c>
      <c r="I240" s="3">
        <v>61.33</v>
      </c>
      <c r="J240" s="3">
        <v>56.07</v>
      </c>
      <c r="K240" s="3">
        <v>14.7</v>
      </c>
      <c r="L240" s="3">
        <v>68510.75</v>
      </c>
      <c r="M240" s="3">
        <v>67188.87</v>
      </c>
      <c r="N240" s="3">
        <v>5.875</v>
      </c>
      <c r="O240" s="3">
        <v>6.6900000000000001E-2</v>
      </c>
      <c r="P240" s="3">
        <v>2.839</v>
      </c>
      <c r="Q240" s="3">
        <v>113.62</v>
      </c>
      <c r="R240" s="3">
        <v>15.87</v>
      </c>
      <c r="S240" s="3">
        <v>100.92</v>
      </c>
    </row>
    <row r="241" spans="1:19" ht="14.4" x14ac:dyDescent="0.3">
      <c r="A241" s="2">
        <v>44258</v>
      </c>
      <c r="B241" s="3">
        <v>44.5</v>
      </c>
      <c r="C241" s="3">
        <v>60.84</v>
      </c>
      <c r="D241" s="3">
        <v>75.25</v>
      </c>
      <c r="E241" s="3">
        <v>85.6</v>
      </c>
      <c r="F241" s="3">
        <v>74.069999999999993</v>
      </c>
      <c r="G241" s="3">
        <v>61.28</v>
      </c>
      <c r="H241" s="3">
        <v>64.069999999999993</v>
      </c>
      <c r="I241" s="3">
        <v>62.55</v>
      </c>
      <c r="J241" s="3">
        <v>56.52</v>
      </c>
      <c r="K241" s="3">
        <v>15.06</v>
      </c>
      <c r="L241" s="3">
        <v>68326.789999999994</v>
      </c>
      <c r="M241" s="3">
        <v>65970.44</v>
      </c>
      <c r="N241" s="3">
        <v>5.875</v>
      </c>
      <c r="O241" s="3">
        <v>6.6250000000000003E-2</v>
      </c>
      <c r="P241" s="3">
        <v>2.8159999999999998</v>
      </c>
      <c r="Q241" s="3">
        <v>111.64</v>
      </c>
      <c r="R241" s="3">
        <v>15.525</v>
      </c>
      <c r="S241" s="3">
        <v>99.15</v>
      </c>
    </row>
    <row r="242" spans="1:19" ht="14.4" x14ac:dyDescent="0.3">
      <c r="A242" s="2">
        <v>44259</v>
      </c>
      <c r="B242" s="3">
        <v>44.5</v>
      </c>
      <c r="C242" s="3">
        <v>60.84</v>
      </c>
      <c r="D242" s="3">
        <v>75.25</v>
      </c>
      <c r="E242" s="3">
        <v>85.6</v>
      </c>
      <c r="F242" s="3">
        <v>74.069999999999993</v>
      </c>
      <c r="G242" s="3">
        <v>63.83</v>
      </c>
      <c r="H242" s="3">
        <v>66.739999999999995</v>
      </c>
      <c r="I242" s="3">
        <v>64.8</v>
      </c>
      <c r="J242" s="3">
        <v>58.71</v>
      </c>
      <c r="K242" s="3">
        <v>14.96</v>
      </c>
      <c r="L242" s="3">
        <v>67743.539999999994</v>
      </c>
      <c r="M242" s="3">
        <v>65763.460000000006</v>
      </c>
      <c r="N242" s="3">
        <v>6</v>
      </c>
      <c r="O242" s="3">
        <v>6.5329999999999999E-2</v>
      </c>
      <c r="P242" s="3">
        <v>2.746</v>
      </c>
      <c r="Q242" s="3">
        <v>111.13</v>
      </c>
      <c r="R242" s="3">
        <v>15.93</v>
      </c>
      <c r="S242" s="3">
        <v>103.52</v>
      </c>
    </row>
    <row r="243" spans="1:19" ht="14.4" x14ac:dyDescent="0.3">
      <c r="A243" s="2">
        <v>44260</v>
      </c>
      <c r="B243" s="3">
        <v>45.75</v>
      </c>
      <c r="C243" s="3">
        <v>62.25</v>
      </c>
      <c r="D243" s="3">
        <v>77.27</v>
      </c>
      <c r="E243" s="3">
        <v>90.96</v>
      </c>
      <c r="F243" s="3">
        <v>76.739999999999995</v>
      </c>
      <c r="G243" s="3">
        <v>66.09</v>
      </c>
      <c r="H243" s="3">
        <v>69.36</v>
      </c>
      <c r="I243" s="3">
        <v>66.89</v>
      </c>
      <c r="J243" s="3">
        <v>60.93</v>
      </c>
      <c r="K243" s="3">
        <v>14.8</v>
      </c>
      <c r="L243" s="3">
        <v>68271.19</v>
      </c>
      <c r="M243" s="3">
        <v>67009.710000000006</v>
      </c>
      <c r="N243" s="3">
        <v>6</v>
      </c>
      <c r="O243" s="3">
        <v>6.5089999999999995E-2</v>
      </c>
      <c r="P243" s="3">
        <v>2.7010000000000001</v>
      </c>
      <c r="Q243" s="3">
        <v>114.97</v>
      </c>
      <c r="R243" s="3">
        <v>16.364999999999998</v>
      </c>
      <c r="S243" s="3">
        <v>102.13</v>
      </c>
    </row>
    <row r="244" spans="1:19" ht="14.4" x14ac:dyDescent="0.3">
      <c r="A244" s="2">
        <v>44263</v>
      </c>
      <c r="B244" s="3">
        <v>45.75</v>
      </c>
      <c r="C244" s="3">
        <v>62.25</v>
      </c>
      <c r="D244" s="3">
        <v>77.27</v>
      </c>
      <c r="E244" s="3">
        <v>90.96</v>
      </c>
      <c r="F244" s="3">
        <v>76.739999999999995</v>
      </c>
      <c r="G244" s="3">
        <v>65.05</v>
      </c>
      <c r="H244" s="3">
        <v>68.239999999999995</v>
      </c>
      <c r="I244" s="3">
        <v>65.84</v>
      </c>
      <c r="J244" s="3">
        <v>60.87</v>
      </c>
      <c r="K244" s="3">
        <v>14.74</v>
      </c>
      <c r="L244" s="3">
        <v>68426.17</v>
      </c>
      <c r="M244" s="3">
        <v>67897.78</v>
      </c>
      <c r="N244" s="3">
        <v>6</v>
      </c>
      <c r="O244" s="3">
        <v>6.4320000000000002E-2</v>
      </c>
      <c r="P244" s="3">
        <v>2.6640000000000001</v>
      </c>
      <c r="Q244" s="3">
        <v>113.74</v>
      </c>
      <c r="R244" s="3">
        <v>16.149999999999999</v>
      </c>
      <c r="S244" s="3">
        <v>102.35</v>
      </c>
    </row>
    <row r="245" spans="1:19" ht="14.4" x14ac:dyDescent="0.3">
      <c r="A245" s="2">
        <v>44264</v>
      </c>
      <c r="B245" s="3">
        <v>45.75</v>
      </c>
      <c r="C245" s="3">
        <v>62.25</v>
      </c>
      <c r="D245" s="3">
        <v>77.27</v>
      </c>
      <c r="E245" s="3">
        <v>90.96</v>
      </c>
      <c r="F245" s="3">
        <v>76.739999999999995</v>
      </c>
      <c r="G245" s="3">
        <v>64.010000000000005</v>
      </c>
      <c r="H245" s="3">
        <v>67.52</v>
      </c>
      <c r="I245" s="3">
        <v>65.37</v>
      </c>
      <c r="J245" s="3">
        <v>59.93</v>
      </c>
      <c r="K245" s="3">
        <v>14.5</v>
      </c>
      <c r="L245" s="3">
        <v>68655.960000000006</v>
      </c>
      <c r="M245" s="3">
        <v>67056.69</v>
      </c>
      <c r="N245" s="3">
        <v>6.01</v>
      </c>
      <c r="O245" s="3">
        <v>6.5320000000000003E-2</v>
      </c>
      <c r="P245" s="3">
        <v>2.6619999999999999</v>
      </c>
      <c r="Q245" s="3">
        <v>114.41</v>
      </c>
      <c r="R245" s="3">
        <v>16.925000000000001</v>
      </c>
      <c r="S245" s="3">
        <v>100.48</v>
      </c>
    </row>
    <row r="246" spans="1:19" ht="14.4" x14ac:dyDescent="0.3">
      <c r="A246" s="2">
        <v>44265</v>
      </c>
      <c r="B246" s="3">
        <v>45.75</v>
      </c>
      <c r="C246" s="3">
        <v>62.25</v>
      </c>
      <c r="D246" s="3">
        <v>77.27</v>
      </c>
      <c r="E246" s="3">
        <v>90.96</v>
      </c>
      <c r="F246" s="3">
        <v>76.739999999999995</v>
      </c>
      <c r="G246" s="3">
        <v>64.44</v>
      </c>
      <c r="H246" s="3">
        <v>67.900000000000006</v>
      </c>
      <c r="I246" s="3">
        <v>65.540000000000006</v>
      </c>
      <c r="J246" s="3">
        <v>61.77</v>
      </c>
      <c r="K246" s="3">
        <v>14.32</v>
      </c>
      <c r="L246" s="3">
        <v>68516.990000000005</v>
      </c>
      <c r="M246" s="3">
        <v>66442.740000000005</v>
      </c>
      <c r="N246" s="3">
        <v>6</v>
      </c>
      <c r="O246" s="3">
        <v>6.6309999999999994E-2</v>
      </c>
      <c r="P246" s="3">
        <v>2.6920000000000002</v>
      </c>
      <c r="Q246" s="3">
        <v>115.58</v>
      </c>
      <c r="R246" s="3">
        <v>17.63</v>
      </c>
      <c r="S246" s="3">
        <v>102.65</v>
      </c>
    </row>
    <row r="247" spans="1:19" ht="14.4" x14ac:dyDescent="0.3">
      <c r="A247" s="2">
        <v>44266</v>
      </c>
      <c r="B247" s="3">
        <v>45.75</v>
      </c>
      <c r="C247" s="3">
        <v>62.25</v>
      </c>
      <c r="D247" s="3">
        <v>77.27</v>
      </c>
      <c r="E247" s="3">
        <v>90.96</v>
      </c>
      <c r="F247" s="3">
        <v>76.739999999999995</v>
      </c>
      <c r="G247" s="3">
        <v>66.02</v>
      </c>
      <c r="H247" s="3">
        <v>69.63</v>
      </c>
      <c r="I247" s="3">
        <v>66.650000000000006</v>
      </c>
      <c r="J247" s="3">
        <v>61.31</v>
      </c>
      <c r="K247" s="3">
        <v>14.58</v>
      </c>
      <c r="L247" s="3">
        <v>68775.06</v>
      </c>
      <c r="M247" s="3">
        <v>66550.41</v>
      </c>
      <c r="N247" s="3">
        <v>6.0549999999999997</v>
      </c>
      <c r="O247" s="3">
        <v>6.7349999999999993E-2</v>
      </c>
      <c r="P247" s="3">
        <v>2.6680000000000001</v>
      </c>
      <c r="Q247" s="3">
        <v>115.2</v>
      </c>
      <c r="R247" s="3">
        <v>18.125</v>
      </c>
      <c r="S247" s="1">
        <f>S248</f>
        <v>109.42</v>
      </c>
    </row>
    <row r="248" spans="1:19" ht="14.4" x14ac:dyDescent="0.3">
      <c r="A248" s="2">
        <v>44267</v>
      </c>
      <c r="B248" s="3">
        <v>45.37</v>
      </c>
      <c r="C248" s="3">
        <v>62.48</v>
      </c>
      <c r="D248" s="3">
        <v>77.66</v>
      </c>
      <c r="E248" s="3">
        <v>91.56</v>
      </c>
      <c r="F248" s="3">
        <v>77.040000000000006</v>
      </c>
      <c r="G248" s="3">
        <v>65.61</v>
      </c>
      <c r="H248" s="3">
        <v>69.22</v>
      </c>
      <c r="I248" s="3">
        <v>66.5</v>
      </c>
      <c r="J248" s="3">
        <v>61.97</v>
      </c>
      <c r="K248" s="3">
        <v>14.66</v>
      </c>
      <c r="L248" s="3">
        <v>68209.86</v>
      </c>
      <c r="M248" s="3">
        <v>66247.839999999997</v>
      </c>
      <c r="N248" s="3">
        <v>6.07</v>
      </c>
      <c r="O248" s="3">
        <v>6.6860000000000003E-2</v>
      </c>
      <c r="P248" s="3">
        <v>2.6</v>
      </c>
      <c r="Q248" s="3">
        <v>115.32</v>
      </c>
      <c r="R248" s="3">
        <v>18.45</v>
      </c>
      <c r="S248" s="3">
        <v>109.42</v>
      </c>
    </row>
    <row r="249" spans="1:19" ht="14.4" x14ac:dyDescent="0.3">
      <c r="A249" s="2">
        <v>44270</v>
      </c>
      <c r="B249" s="3">
        <v>45.37</v>
      </c>
      <c r="C249" s="3">
        <v>62.48</v>
      </c>
      <c r="D249" s="3">
        <v>77.66</v>
      </c>
      <c r="E249" s="3">
        <v>91.56</v>
      </c>
      <c r="F249" s="3">
        <v>77.040000000000006</v>
      </c>
      <c r="G249" s="3">
        <v>65.39</v>
      </c>
      <c r="H249" s="3">
        <v>68.88</v>
      </c>
      <c r="I249" s="3">
        <v>66.38</v>
      </c>
      <c r="J249" s="3">
        <v>60.39</v>
      </c>
      <c r="K249" s="3">
        <v>15</v>
      </c>
      <c r="L249" s="3">
        <v>67566.42</v>
      </c>
      <c r="M249" s="3">
        <v>65295.21</v>
      </c>
      <c r="N249" s="3">
        <v>6.077</v>
      </c>
      <c r="O249" s="3">
        <v>6.7239999999999994E-2</v>
      </c>
      <c r="P249" s="3">
        <v>2.484</v>
      </c>
      <c r="Q249" s="3">
        <v>115.66</v>
      </c>
      <c r="R249" s="3">
        <v>17.93</v>
      </c>
      <c r="S249" s="3">
        <v>114.73</v>
      </c>
    </row>
    <row r="250" spans="1:19" ht="14.4" x14ac:dyDescent="0.3">
      <c r="A250" s="2">
        <v>44271</v>
      </c>
      <c r="B250" s="3">
        <v>45.37</v>
      </c>
      <c r="C250" s="3">
        <v>62.48</v>
      </c>
      <c r="D250" s="3">
        <v>77.66</v>
      </c>
      <c r="E250" s="3">
        <v>91.56</v>
      </c>
      <c r="F250" s="3">
        <v>77.040000000000006</v>
      </c>
      <c r="G250" s="3">
        <v>64.8</v>
      </c>
      <c r="H250" s="3">
        <v>68.39</v>
      </c>
      <c r="I250" s="3">
        <v>66.05</v>
      </c>
      <c r="J250" s="3">
        <v>59.11</v>
      </c>
      <c r="K250" s="3">
        <v>14.98</v>
      </c>
      <c r="L250" s="3">
        <v>67289.37</v>
      </c>
      <c r="M250" s="3">
        <v>65082.35</v>
      </c>
      <c r="N250" s="3">
        <v>6.53</v>
      </c>
      <c r="O250" s="3">
        <v>6.7239999999999994E-2</v>
      </c>
      <c r="P250" s="3">
        <v>2.5619999999999998</v>
      </c>
      <c r="Q250" s="3">
        <v>114.66</v>
      </c>
      <c r="R250" s="3">
        <v>17.66</v>
      </c>
      <c r="S250" s="3">
        <v>113.23</v>
      </c>
    </row>
    <row r="251" spans="1:19" ht="14.4" x14ac:dyDescent="0.3">
      <c r="A251" s="2">
        <v>44272</v>
      </c>
      <c r="B251" s="3">
        <v>45.37</v>
      </c>
      <c r="C251" s="3">
        <v>62.48</v>
      </c>
      <c r="D251" s="3">
        <v>77.66</v>
      </c>
      <c r="E251" s="3">
        <v>91.56</v>
      </c>
      <c r="F251" s="3">
        <v>77.040000000000006</v>
      </c>
      <c r="G251" s="3">
        <v>64.599999999999994</v>
      </c>
      <c r="H251" s="3">
        <v>68</v>
      </c>
      <c r="I251" s="3">
        <v>65.77</v>
      </c>
      <c r="J251" s="3">
        <v>59.37</v>
      </c>
      <c r="K251" s="3">
        <v>14.98</v>
      </c>
      <c r="L251" s="3">
        <v>66494.490000000005</v>
      </c>
      <c r="M251" s="3">
        <v>63552.27</v>
      </c>
      <c r="N251" s="3">
        <v>6.65</v>
      </c>
      <c r="O251" s="3">
        <v>6.8229999999999999E-2</v>
      </c>
      <c r="P251" s="3">
        <v>2.528</v>
      </c>
      <c r="Q251" s="3">
        <v>113.7</v>
      </c>
      <c r="R251" s="3">
        <v>17.97</v>
      </c>
      <c r="S251" s="3">
        <v>114.62</v>
      </c>
    </row>
    <row r="252" spans="1:19" ht="14.4" x14ac:dyDescent="0.3">
      <c r="A252" s="2">
        <v>44273</v>
      </c>
      <c r="B252" s="3">
        <v>45.37</v>
      </c>
      <c r="C252" s="3">
        <v>62.48</v>
      </c>
      <c r="D252" s="3">
        <v>77.66</v>
      </c>
      <c r="E252" s="3">
        <v>91.56</v>
      </c>
      <c r="F252" s="3">
        <v>77.040000000000006</v>
      </c>
      <c r="G252" s="3">
        <v>60</v>
      </c>
      <c r="H252" s="3">
        <v>63.28</v>
      </c>
      <c r="I252" s="3">
        <v>63.9</v>
      </c>
      <c r="J252" s="3">
        <v>56.81</v>
      </c>
      <c r="K252" s="3">
        <v>14.9</v>
      </c>
      <c r="L252" s="3">
        <v>66739.740000000005</v>
      </c>
      <c r="M252" s="3">
        <v>64267.5</v>
      </c>
      <c r="N252" s="3">
        <v>6.5650000000000004</v>
      </c>
      <c r="O252" s="3">
        <v>6.7669999999999994E-2</v>
      </c>
      <c r="P252" s="3">
        <v>2.4809999999999999</v>
      </c>
      <c r="Q252" s="3">
        <v>111.64</v>
      </c>
      <c r="R252" s="3">
        <v>17.760000000000002</v>
      </c>
      <c r="S252" s="3">
        <v>119.13</v>
      </c>
    </row>
    <row r="253" spans="1:19" ht="14.4" x14ac:dyDescent="0.3">
      <c r="A253" s="2">
        <v>44274</v>
      </c>
      <c r="B253" s="3">
        <v>50.48</v>
      </c>
      <c r="C253" s="3">
        <v>67.69</v>
      </c>
      <c r="D253" s="3">
        <v>83.4</v>
      </c>
      <c r="E253" s="3">
        <v>96.48</v>
      </c>
      <c r="F253" s="3">
        <v>80.22</v>
      </c>
      <c r="G253" s="3">
        <v>61.42</v>
      </c>
      <c r="H253" s="3">
        <v>64.53</v>
      </c>
      <c r="I253" s="3">
        <v>64.569999999999993</v>
      </c>
      <c r="J253" s="3">
        <v>56.49</v>
      </c>
      <c r="K253" s="3">
        <v>14.62</v>
      </c>
      <c r="L253" s="3">
        <v>65911.27</v>
      </c>
      <c r="M253" s="3">
        <v>62730.97</v>
      </c>
      <c r="N253" s="3">
        <v>6.4249999999999998</v>
      </c>
      <c r="O253" s="3">
        <v>6.7930000000000004E-2</v>
      </c>
      <c r="P253" s="3">
        <v>2.5350000000000001</v>
      </c>
      <c r="Q253" s="3">
        <v>111.2</v>
      </c>
      <c r="R253" s="3">
        <v>17.265000000000001</v>
      </c>
      <c r="S253" s="3">
        <v>123.63</v>
      </c>
    </row>
    <row r="254" spans="1:19" ht="14.4" x14ac:dyDescent="0.3">
      <c r="A254" s="2">
        <v>44277</v>
      </c>
      <c r="B254" s="3">
        <v>50.48</v>
      </c>
      <c r="C254" s="3">
        <v>67.69</v>
      </c>
      <c r="D254" s="3">
        <v>83.4</v>
      </c>
      <c r="E254" s="3">
        <v>96.48</v>
      </c>
      <c r="F254" s="3">
        <v>80.22</v>
      </c>
      <c r="G254" s="3">
        <v>61.55</v>
      </c>
      <c r="H254" s="3">
        <v>64.62</v>
      </c>
      <c r="I254" s="3">
        <v>64.709999999999994</v>
      </c>
      <c r="J254" s="3">
        <v>55.91</v>
      </c>
      <c r="K254" s="3">
        <v>14.8</v>
      </c>
      <c r="L254" s="5">
        <f>FORECAST(A254,L248:L253,A248:A253)</f>
        <v>65193.76189189218</v>
      </c>
      <c r="M254" s="5">
        <f>FORECAST(A254,M248:M253,A248:A253)</f>
        <v>61779.350540537387</v>
      </c>
      <c r="N254" s="3">
        <v>6.625</v>
      </c>
      <c r="O254" s="3">
        <v>6.7890000000000006E-2</v>
      </c>
      <c r="P254" s="3">
        <v>2.5819999999999999</v>
      </c>
      <c r="Q254" s="3">
        <v>111.55</v>
      </c>
      <c r="R254" s="3">
        <v>18.045000000000002</v>
      </c>
      <c r="S254" s="3">
        <v>118.75</v>
      </c>
    </row>
    <row r="255" spans="1:19" ht="14.4" x14ac:dyDescent="0.3">
      <c r="A255" s="2">
        <v>44278</v>
      </c>
      <c r="B255" s="3">
        <v>50.48</v>
      </c>
      <c r="C255" s="3">
        <v>67.69</v>
      </c>
      <c r="D255" s="3">
        <v>83.4</v>
      </c>
      <c r="E255" s="3">
        <v>96.48</v>
      </c>
      <c r="F255" s="3">
        <v>80.22</v>
      </c>
      <c r="G255" s="3">
        <v>57.76</v>
      </c>
      <c r="H255" s="3">
        <v>60.79</v>
      </c>
      <c r="I255" s="3">
        <v>63.72</v>
      </c>
      <c r="J255" s="3">
        <v>55.22</v>
      </c>
      <c r="K255" s="3">
        <v>14.52</v>
      </c>
      <c r="L255" s="3">
        <v>65318.52</v>
      </c>
      <c r="M255" s="3">
        <v>60646.05</v>
      </c>
      <c r="N255" s="3">
        <v>6.8550000000000004</v>
      </c>
      <c r="O255" s="3">
        <v>6.7129999999999995E-2</v>
      </c>
      <c r="P255" s="3">
        <v>2.508</v>
      </c>
      <c r="Q255" s="3">
        <v>111.65</v>
      </c>
      <c r="R255" s="3">
        <v>18.39</v>
      </c>
      <c r="S255" s="3">
        <v>120.1</v>
      </c>
    </row>
    <row r="256" spans="1:19" ht="14.4" x14ac:dyDescent="0.3">
      <c r="A256" s="2">
        <v>44279</v>
      </c>
      <c r="B256" s="3">
        <v>50.48</v>
      </c>
      <c r="C256" s="3">
        <v>67.69</v>
      </c>
      <c r="D256" s="3">
        <v>83.4</v>
      </c>
      <c r="E256" s="3">
        <v>96.48</v>
      </c>
      <c r="F256" s="3">
        <v>80.22</v>
      </c>
      <c r="G256" s="3">
        <v>61.18</v>
      </c>
      <c r="H256" s="3">
        <v>64.41</v>
      </c>
      <c r="I256" s="3">
        <v>64.5</v>
      </c>
      <c r="J256" s="3">
        <v>56.34</v>
      </c>
      <c r="K256" s="3">
        <v>14.3</v>
      </c>
      <c r="L256" s="3">
        <v>65257.09</v>
      </c>
      <c r="M256" s="3">
        <v>60444.28</v>
      </c>
      <c r="N256" s="3">
        <v>6.8550000000000004</v>
      </c>
      <c r="O256" s="3">
        <v>6.6710000000000005E-2</v>
      </c>
      <c r="P256" s="3">
        <v>2.5179999999999998</v>
      </c>
      <c r="Q256" s="3">
        <v>112.61</v>
      </c>
      <c r="R256" s="3">
        <v>18.59</v>
      </c>
      <c r="S256" s="3">
        <v>116.62</v>
      </c>
    </row>
    <row r="257" spans="1:19" ht="14.4" x14ac:dyDescent="0.3">
      <c r="A257" s="2">
        <v>44280</v>
      </c>
      <c r="B257" s="3">
        <v>50.48</v>
      </c>
      <c r="C257" s="3">
        <v>67.69</v>
      </c>
      <c r="D257" s="3">
        <v>83.4</v>
      </c>
      <c r="E257" s="3">
        <v>96.48</v>
      </c>
      <c r="F257" s="3">
        <v>80.22</v>
      </c>
      <c r="G257" s="3">
        <v>58.56</v>
      </c>
      <c r="H257" s="3">
        <v>61.95</v>
      </c>
      <c r="I257" s="3">
        <v>64.05</v>
      </c>
      <c r="J257" s="3">
        <v>56.18</v>
      </c>
      <c r="K257" s="3">
        <v>14.4</v>
      </c>
      <c r="L257" s="3">
        <v>64783.62</v>
      </c>
      <c r="M257" s="3">
        <v>60996.95</v>
      </c>
      <c r="N257" s="3">
        <v>6.75</v>
      </c>
      <c r="O257" s="3">
        <v>6.651E-2</v>
      </c>
      <c r="P257" s="3">
        <v>2.57</v>
      </c>
      <c r="Q257" s="3">
        <v>112.28</v>
      </c>
      <c r="R257" s="3">
        <v>18.364999999999998</v>
      </c>
      <c r="S257" s="3">
        <v>110.95</v>
      </c>
    </row>
    <row r="258" spans="1:19" ht="14.4" x14ac:dyDescent="0.3">
      <c r="A258" s="2">
        <v>44281</v>
      </c>
      <c r="B258" s="3">
        <v>49.07</v>
      </c>
      <c r="C258" s="3">
        <v>72.39</v>
      </c>
      <c r="D258" s="3">
        <v>87.65</v>
      </c>
      <c r="E258" s="3">
        <v>100.1</v>
      </c>
      <c r="F258" s="3">
        <v>81.08</v>
      </c>
      <c r="G258" s="3">
        <v>60.97</v>
      </c>
      <c r="H258" s="3">
        <v>64.569999999999993</v>
      </c>
      <c r="I258" s="3">
        <v>64.430000000000007</v>
      </c>
      <c r="J258" s="3">
        <v>57.71</v>
      </c>
      <c r="K258" s="3">
        <v>14.5</v>
      </c>
      <c r="L258" s="3">
        <v>66833.990000000005</v>
      </c>
      <c r="M258" s="3">
        <v>63089.9</v>
      </c>
      <c r="N258" s="3">
        <v>6.93</v>
      </c>
      <c r="O258" s="3">
        <v>6.6799999999999998E-2</v>
      </c>
      <c r="P258" s="3">
        <v>2.5569999999999999</v>
      </c>
      <c r="Q258" s="3">
        <v>113.64</v>
      </c>
      <c r="R258" s="3">
        <v>18.7</v>
      </c>
      <c r="S258" s="3">
        <v>113.08</v>
      </c>
    </row>
    <row r="259" spans="1:19" ht="14.4" x14ac:dyDescent="0.3">
      <c r="A259" s="2">
        <v>44284</v>
      </c>
      <c r="B259" s="3">
        <v>49.07</v>
      </c>
      <c r="C259" s="3">
        <v>72.39</v>
      </c>
      <c r="D259" s="3">
        <v>87.65</v>
      </c>
      <c r="E259" s="3">
        <v>100.1</v>
      </c>
      <c r="F259" s="3">
        <v>81.08</v>
      </c>
      <c r="G259" s="3">
        <v>61.56</v>
      </c>
      <c r="H259" s="3">
        <v>64.98</v>
      </c>
      <c r="I259" s="3">
        <v>64.42</v>
      </c>
      <c r="J259" s="3">
        <v>57.4</v>
      </c>
      <c r="K259" s="3">
        <v>16</v>
      </c>
      <c r="L259" s="3">
        <v>67089.37</v>
      </c>
      <c r="M259" s="3">
        <v>62967.34</v>
      </c>
      <c r="N259" s="3">
        <v>6.8650000000000002</v>
      </c>
      <c r="O259" s="3">
        <v>6.7030000000000006E-2</v>
      </c>
      <c r="P259" s="3">
        <v>2.5859999999999999</v>
      </c>
      <c r="Q259" s="3">
        <v>113.28</v>
      </c>
      <c r="R259" s="3">
        <v>18.445</v>
      </c>
      <c r="S259" s="1">
        <f>S260</f>
        <v>113.77</v>
      </c>
    </row>
    <row r="260" spans="1:19" ht="14.4" x14ac:dyDescent="0.3">
      <c r="A260" s="2">
        <v>44285</v>
      </c>
      <c r="B260" s="3">
        <v>49.07</v>
      </c>
      <c r="C260" s="3">
        <v>72.39</v>
      </c>
      <c r="D260" s="3">
        <v>87.65</v>
      </c>
      <c r="E260" s="3">
        <v>100.1</v>
      </c>
      <c r="F260" s="3">
        <v>81.08</v>
      </c>
      <c r="G260" s="3">
        <v>60.55</v>
      </c>
      <c r="H260" s="3">
        <v>64.14</v>
      </c>
      <c r="I260" s="3">
        <v>64.41</v>
      </c>
      <c r="J260" s="3">
        <v>56.69</v>
      </c>
      <c r="K260" s="3">
        <v>15.94</v>
      </c>
      <c r="L260" s="3">
        <v>67291.66</v>
      </c>
      <c r="M260" s="3">
        <v>62335.22</v>
      </c>
      <c r="N260" s="3">
        <v>6.9349999999999996</v>
      </c>
      <c r="O260" s="3">
        <v>6.6989999999999994E-2</v>
      </c>
      <c r="P260" s="3">
        <v>2.6230000000000002</v>
      </c>
      <c r="Q260" s="3">
        <v>111.23</v>
      </c>
      <c r="R260" s="3">
        <v>18.805</v>
      </c>
      <c r="S260" s="3">
        <v>113.77</v>
      </c>
    </row>
    <row r="261" spans="1:19" ht="14.4" x14ac:dyDescent="0.3">
      <c r="A261" s="2">
        <v>44286</v>
      </c>
      <c r="B261" s="3">
        <v>49.07</v>
      </c>
      <c r="C261" s="3">
        <v>72.39</v>
      </c>
      <c r="D261" s="3">
        <v>87.65</v>
      </c>
      <c r="E261" s="3">
        <v>100.1</v>
      </c>
      <c r="F261" s="3">
        <v>81.08</v>
      </c>
      <c r="G261" s="3">
        <v>59.16</v>
      </c>
      <c r="H261" s="3">
        <v>63.54</v>
      </c>
      <c r="I261" s="3">
        <v>64.41</v>
      </c>
      <c r="J261" s="3">
        <v>55.83</v>
      </c>
      <c r="K261" s="3">
        <v>16.02</v>
      </c>
      <c r="L261" s="3">
        <v>66485.289999999994</v>
      </c>
      <c r="M261" s="3">
        <v>62657.36</v>
      </c>
      <c r="N261" s="3">
        <v>7.02</v>
      </c>
      <c r="O261" s="3">
        <v>6.7629999999999996E-2</v>
      </c>
      <c r="P261" s="3">
        <v>2.6080000000000001</v>
      </c>
      <c r="Q261" s="3">
        <v>111.68</v>
      </c>
      <c r="R261" s="3">
        <v>18.995000000000001</v>
      </c>
      <c r="S261" s="3">
        <v>110.93</v>
      </c>
    </row>
    <row r="262" spans="1:19" ht="14.4" x14ac:dyDescent="0.3">
      <c r="A262" s="2">
        <v>44287</v>
      </c>
      <c r="B262" s="3">
        <v>50.24</v>
      </c>
      <c r="C262" s="3">
        <v>67.319999999999993</v>
      </c>
      <c r="D262" s="3">
        <v>82.07</v>
      </c>
      <c r="E262" s="3">
        <v>96.6</v>
      </c>
      <c r="F262" s="3">
        <v>81.41</v>
      </c>
      <c r="G262" s="3">
        <v>61.45</v>
      </c>
      <c r="H262" s="3">
        <v>64.86</v>
      </c>
      <c r="I262" s="3">
        <v>63.27</v>
      </c>
      <c r="J262" s="3">
        <v>57.39</v>
      </c>
      <c r="K262" s="3">
        <v>16.02</v>
      </c>
      <c r="L262" s="3">
        <v>67236.31</v>
      </c>
      <c r="M262" s="3">
        <v>64240.32</v>
      </c>
      <c r="N262" s="3">
        <v>6.9249999999999998</v>
      </c>
      <c r="O262" s="3">
        <v>6.8360000000000004E-2</v>
      </c>
      <c r="P262" s="3">
        <v>2.6389999999999998</v>
      </c>
      <c r="Q262" s="3">
        <v>114.2</v>
      </c>
      <c r="R262" s="3">
        <v>19.170000000000002</v>
      </c>
      <c r="S262" s="3">
        <v>115.68</v>
      </c>
    </row>
    <row r="263" spans="1:19" ht="14.4" x14ac:dyDescent="0.3">
      <c r="A263" s="2">
        <v>44288</v>
      </c>
      <c r="B263" s="1">
        <f t="shared" ref="B263:E263" si="16">B262</f>
        <v>50.24</v>
      </c>
      <c r="C263" s="1">
        <f t="shared" si="16"/>
        <v>67.319999999999993</v>
      </c>
      <c r="D263" s="1">
        <f t="shared" si="16"/>
        <v>82.07</v>
      </c>
      <c r="E263" s="1">
        <f t="shared" si="16"/>
        <v>96.6</v>
      </c>
      <c r="F263" s="1">
        <f t="shared" ref="F263:F264" si="17">F262</f>
        <v>81.41</v>
      </c>
      <c r="G263" s="5">
        <f>(G262+G264)/2</f>
        <v>60.05</v>
      </c>
      <c r="H263" s="1">
        <f>(H262+H264)/2</f>
        <v>63.504999999999995</v>
      </c>
      <c r="I263" s="1">
        <f>(I262+I264)/2</f>
        <v>61.99</v>
      </c>
      <c r="J263" s="1">
        <f>(J262+J264)/2</f>
        <v>56.945</v>
      </c>
      <c r="K263" s="5">
        <f t="shared" ref="K263:K265" si="18">FORECAST(A263,K257:K262,A257:A262)</f>
        <v>16.598025751070963</v>
      </c>
      <c r="L263" s="5">
        <f t="shared" ref="L263:L264" si="19">FORECAST(A263,L257:L262,A257:A262)</f>
        <v>67580.851158797741</v>
      </c>
      <c r="M263" s="5">
        <f t="shared" ref="M263:M264" si="20">FORECAST(A263,M257:M262,A257:A262)</f>
        <v>63769.012317596003</v>
      </c>
      <c r="N263" s="5">
        <f>FORECAST(A263,N257:N262,A257:A262)</f>
        <v>6.9968884120171424</v>
      </c>
      <c r="O263" s="3">
        <v>6.8140000000000006E-2</v>
      </c>
      <c r="P263" s="1">
        <f>AVERAGE(P262,P264)</f>
        <v>2.5750000000000002</v>
      </c>
      <c r="Q263" s="1">
        <f>AVERAGE(Q262,Q264)</f>
        <v>114.655</v>
      </c>
      <c r="R263" s="5">
        <f>AVERAGE(R262,R264)</f>
        <v>19.170000000000002</v>
      </c>
      <c r="S263" s="1">
        <f>S264</f>
        <v>113.87</v>
      </c>
    </row>
    <row r="264" spans="1:19" ht="14.4" x14ac:dyDescent="0.3">
      <c r="A264" s="2">
        <v>44291</v>
      </c>
      <c r="B264" s="1">
        <f t="shared" ref="B264:D264" si="21">B263</f>
        <v>50.24</v>
      </c>
      <c r="C264" s="1">
        <f t="shared" si="21"/>
        <v>67.319999999999993</v>
      </c>
      <c r="D264" s="1">
        <f t="shared" si="21"/>
        <v>82.07</v>
      </c>
      <c r="E264" s="3">
        <v>96.6</v>
      </c>
      <c r="F264" s="1">
        <f t="shared" si="17"/>
        <v>81.41</v>
      </c>
      <c r="G264" s="3">
        <v>58.65</v>
      </c>
      <c r="H264" s="3">
        <v>62.15</v>
      </c>
      <c r="I264" s="3">
        <v>60.71</v>
      </c>
      <c r="J264" s="3">
        <v>56.5</v>
      </c>
      <c r="K264" s="5">
        <f t="shared" si="18"/>
        <v>17.361315392643519</v>
      </c>
      <c r="L264" s="5">
        <f t="shared" si="19"/>
        <v>67500.359192668926</v>
      </c>
      <c r="M264" s="5">
        <f t="shared" si="20"/>
        <v>63922.228115068749</v>
      </c>
      <c r="N264" s="3">
        <v>6.9249999999999998</v>
      </c>
      <c r="O264" s="3">
        <v>6.8680000000000005E-2</v>
      </c>
      <c r="P264" s="3">
        <v>2.5110000000000001</v>
      </c>
      <c r="Q264" s="3">
        <v>115.11</v>
      </c>
      <c r="R264" s="3">
        <v>19.170000000000002</v>
      </c>
      <c r="S264" s="3">
        <v>113.87</v>
      </c>
    </row>
    <row r="265" spans="1:19" ht="14.4" x14ac:dyDescent="0.3">
      <c r="A265" s="2">
        <v>44292</v>
      </c>
      <c r="B265" s="3">
        <v>50.24</v>
      </c>
      <c r="C265" s="3">
        <v>67.319999999999993</v>
      </c>
      <c r="D265" s="3">
        <v>82.07</v>
      </c>
      <c r="E265" s="3">
        <v>96.6</v>
      </c>
      <c r="F265" s="3">
        <v>81.41</v>
      </c>
      <c r="G265" s="3">
        <v>59.33</v>
      </c>
      <c r="H265" s="3">
        <v>62.74</v>
      </c>
      <c r="I265" s="3">
        <v>60.96</v>
      </c>
      <c r="J265" s="3">
        <v>56.34</v>
      </c>
      <c r="K265" s="5">
        <f t="shared" si="18"/>
        <v>17.406801016997633</v>
      </c>
      <c r="L265" s="3">
        <v>68063.89</v>
      </c>
      <c r="M265" s="3">
        <v>66009.320000000007</v>
      </c>
      <c r="N265" s="3">
        <v>6.97</v>
      </c>
      <c r="O265" s="3">
        <v>6.8809999999999996E-2</v>
      </c>
      <c r="P265" s="3">
        <v>2.456</v>
      </c>
      <c r="Q265" s="3">
        <v>113.91</v>
      </c>
      <c r="R265" s="3">
        <v>19.78</v>
      </c>
      <c r="S265" s="3">
        <v>117.77</v>
      </c>
    </row>
    <row r="266" spans="1:19" ht="14.4" x14ac:dyDescent="0.3">
      <c r="A266" s="2">
        <v>44293</v>
      </c>
      <c r="B266" s="3">
        <v>50.24</v>
      </c>
      <c r="C266" s="3">
        <v>67.319999999999993</v>
      </c>
      <c r="D266" s="3">
        <v>82.07</v>
      </c>
      <c r="E266" s="3">
        <v>96.6</v>
      </c>
      <c r="F266" s="3">
        <v>81.41</v>
      </c>
      <c r="G266" s="3">
        <v>59.77</v>
      </c>
      <c r="H266" s="3">
        <v>63.16</v>
      </c>
      <c r="I266" s="3">
        <v>61.46</v>
      </c>
      <c r="J266" s="3">
        <v>56.59</v>
      </c>
      <c r="K266" s="3">
        <v>15.94</v>
      </c>
      <c r="L266" s="3">
        <v>67160.42</v>
      </c>
      <c r="M266" s="3">
        <v>64805.49</v>
      </c>
      <c r="N266" s="3">
        <v>6.98</v>
      </c>
      <c r="O266" s="3">
        <v>6.8570000000000006E-2</v>
      </c>
      <c r="P266" s="3">
        <v>2.52</v>
      </c>
      <c r="Q266" s="3">
        <v>114.75</v>
      </c>
      <c r="R266" s="3">
        <v>19.285</v>
      </c>
      <c r="S266" s="3">
        <v>118.25</v>
      </c>
    </row>
    <row r="267" spans="1:19" ht="14.4" x14ac:dyDescent="0.3">
      <c r="A267" s="2">
        <v>44294</v>
      </c>
      <c r="B267" s="3">
        <v>50.24</v>
      </c>
      <c r="C267" s="3">
        <v>67.319999999999993</v>
      </c>
      <c r="D267" s="3">
        <v>82.07</v>
      </c>
      <c r="E267" s="3">
        <v>96.6</v>
      </c>
      <c r="F267" s="3">
        <v>81.41</v>
      </c>
      <c r="G267" s="3">
        <v>59.6</v>
      </c>
      <c r="H267" s="3">
        <v>63.2</v>
      </c>
      <c r="I267" s="3">
        <v>61.47</v>
      </c>
      <c r="J267" s="3">
        <v>56</v>
      </c>
      <c r="K267" s="3">
        <v>15.9</v>
      </c>
      <c r="L267" s="3">
        <v>67053.97</v>
      </c>
      <c r="M267" s="3">
        <v>65114.63</v>
      </c>
      <c r="N267" s="3">
        <v>6.9850000000000003</v>
      </c>
      <c r="O267" s="3">
        <v>6.88E-2</v>
      </c>
      <c r="P267" s="3">
        <v>2.5219999999999998</v>
      </c>
      <c r="Q267" s="3">
        <v>116.04</v>
      </c>
      <c r="R267" s="3">
        <v>18.989999999999998</v>
      </c>
      <c r="S267" s="3">
        <v>117.18</v>
      </c>
    </row>
    <row r="268" spans="1:19" ht="14.4" x14ac:dyDescent="0.3">
      <c r="A268" s="2">
        <v>44295</v>
      </c>
      <c r="B268" s="3">
        <v>49.82</v>
      </c>
      <c r="C268" s="3">
        <v>67.88</v>
      </c>
      <c r="D268" s="3">
        <v>82.89</v>
      </c>
      <c r="E268" s="3">
        <v>95.95</v>
      </c>
      <c r="F268" s="3">
        <v>81.99</v>
      </c>
      <c r="G268" s="3">
        <v>59.32</v>
      </c>
      <c r="H268" s="3">
        <v>62.95</v>
      </c>
      <c r="I268" s="3">
        <v>61.19</v>
      </c>
      <c r="J268" s="3">
        <v>55.87</v>
      </c>
      <c r="K268" s="3">
        <v>16</v>
      </c>
      <c r="L268" s="3">
        <v>67191.27</v>
      </c>
      <c r="M268" s="3">
        <v>64401.120000000003</v>
      </c>
      <c r="N268" s="3">
        <v>6.9850000000000003</v>
      </c>
      <c r="O268" s="3">
        <v>6.8430000000000005E-2</v>
      </c>
      <c r="P268" s="3">
        <v>2.5259999999999998</v>
      </c>
      <c r="Q268" s="3">
        <v>117.17</v>
      </c>
      <c r="R268" s="3">
        <v>18.940000000000001</v>
      </c>
      <c r="S268" s="3">
        <v>116.7</v>
      </c>
    </row>
    <row r="269" spans="1:19" ht="14.4" x14ac:dyDescent="0.3">
      <c r="A269" s="2">
        <v>44298</v>
      </c>
      <c r="B269" s="3">
        <v>49.82</v>
      </c>
      <c r="C269" s="3">
        <v>67.88</v>
      </c>
      <c r="D269" s="3">
        <v>82.89</v>
      </c>
      <c r="E269" s="3">
        <v>95.95</v>
      </c>
      <c r="F269" s="3">
        <v>81.99</v>
      </c>
      <c r="G269" s="3">
        <v>59.7</v>
      </c>
      <c r="H269" s="3">
        <v>63.28</v>
      </c>
      <c r="I269" s="3">
        <v>61.3</v>
      </c>
      <c r="J269" s="3">
        <v>55.5</v>
      </c>
      <c r="K269" s="3">
        <v>16.02</v>
      </c>
      <c r="L269" s="3">
        <v>66390.02</v>
      </c>
      <c r="M269" s="3">
        <v>62513.22</v>
      </c>
      <c r="N269" s="3">
        <v>7.0049999999999999</v>
      </c>
      <c r="O269" s="3">
        <v>6.8589999999999998E-2</v>
      </c>
      <c r="P269" s="3">
        <v>2.5609999999999999</v>
      </c>
      <c r="Q269" s="3">
        <v>117.71</v>
      </c>
      <c r="R269" s="3">
        <v>19.649999999999999</v>
      </c>
      <c r="S269" s="3">
        <v>112.62</v>
      </c>
    </row>
    <row r="270" spans="1:19" ht="14.4" x14ac:dyDescent="0.3">
      <c r="A270" s="2">
        <v>44299</v>
      </c>
      <c r="B270" s="3">
        <v>49.82</v>
      </c>
      <c r="C270" s="3">
        <v>67.88</v>
      </c>
      <c r="D270" s="3">
        <v>82.89</v>
      </c>
      <c r="E270" s="3">
        <v>95.95</v>
      </c>
      <c r="F270" s="3">
        <v>81.99</v>
      </c>
      <c r="G270" s="3">
        <v>60.18</v>
      </c>
      <c r="H270" s="3">
        <v>63.67</v>
      </c>
      <c r="I270" s="3">
        <v>61.53</v>
      </c>
      <c r="J270" s="3">
        <v>55.71</v>
      </c>
      <c r="K270" s="3">
        <v>16.02</v>
      </c>
      <c r="L270" s="3">
        <v>67072.490000000005</v>
      </c>
      <c r="M270" s="3">
        <v>63317.05</v>
      </c>
      <c r="N270" s="3">
        <v>7.0149999999999997</v>
      </c>
      <c r="O270" s="3">
        <v>6.8860000000000005E-2</v>
      </c>
      <c r="P270" s="3">
        <v>2.6190000000000002</v>
      </c>
      <c r="Q270" s="3">
        <v>118.72</v>
      </c>
      <c r="R270" s="3">
        <v>19.510000000000002</v>
      </c>
      <c r="S270" s="3">
        <v>112.35</v>
      </c>
    </row>
    <row r="271" spans="1:19" ht="14.4" x14ac:dyDescent="0.3">
      <c r="A271" s="2">
        <v>44300</v>
      </c>
      <c r="B271" s="3">
        <v>49.82</v>
      </c>
      <c r="C271" s="3">
        <v>67.88</v>
      </c>
      <c r="D271" s="3">
        <v>82.89</v>
      </c>
      <c r="E271" s="3">
        <v>95.95</v>
      </c>
      <c r="F271" s="3">
        <v>81.99</v>
      </c>
      <c r="G271" s="3">
        <v>63.15</v>
      </c>
      <c r="H271" s="3">
        <v>66.58</v>
      </c>
      <c r="I271" s="3">
        <v>63.26</v>
      </c>
      <c r="J271" s="3">
        <v>57.32</v>
      </c>
      <c r="K271" s="3">
        <v>16.420000000000002</v>
      </c>
      <c r="L271" s="3">
        <v>67812.149999999994</v>
      </c>
      <c r="M271" s="3">
        <v>63141.38</v>
      </c>
      <c r="N271" s="3">
        <v>7.0149999999999997</v>
      </c>
      <c r="O271" s="3">
        <v>6.9430000000000006E-2</v>
      </c>
      <c r="P271" s="3">
        <v>2.6179999999999999</v>
      </c>
      <c r="Q271" s="3">
        <v>118.19</v>
      </c>
      <c r="R271" s="3">
        <v>19.68</v>
      </c>
      <c r="S271" s="1">
        <f>S272</f>
        <v>112.02</v>
      </c>
    </row>
    <row r="272" spans="1:19" ht="14.4" x14ac:dyDescent="0.3">
      <c r="A272" s="2">
        <v>44301</v>
      </c>
      <c r="B272" s="3">
        <v>49.82</v>
      </c>
      <c r="C272" s="3">
        <v>67.88</v>
      </c>
      <c r="D272" s="3">
        <v>82.89</v>
      </c>
      <c r="E272" s="3">
        <v>95.95</v>
      </c>
      <c r="F272" s="3">
        <v>81.99</v>
      </c>
      <c r="G272" s="3">
        <v>63.46</v>
      </c>
      <c r="H272" s="3">
        <v>66.94</v>
      </c>
      <c r="I272" s="3">
        <v>63.48</v>
      </c>
      <c r="J272" s="3">
        <v>56.98</v>
      </c>
      <c r="K272" s="3">
        <v>16.38</v>
      </c>
      <c r="L272" s="3">
        <v>67823.09</v>
      </c>
      <c r="M272" s="3">
        <v>63456.71</v>
      </c>
      <c r="N272" s="3">
        <v>7.0170000000000003</v>
      </c>
      <c r="O272" s="3">
        <v>7.0569999999999994E-2</v>
      </c>
      <c r="P272" s="3">
        <v>2.6579999999999999</v>
      </c>
      <c r="Q272" s="3">
        <v>119.86</v>
      </c>
      <c r="R272" s="3">
        <v>20.260000000000002</v>
      </c>
      <c r="S272" s="3">
        <v>112.02</v>
      </c>
    </row>
    <row r="273" spans="1:19" ht="14.4" x14ac:dyDescent="0.3">
      <c r="A273" s="2">
        <v>44302</v>
      </c>
      <c r="B273" s="3">
        <v>48.63</v>
      </c>
      <c r="C273" s="3">
        <v>65.73</v>
      </c>
      <c r="D273" s="3">
        <v>82.91</v>
      </c>
      <c r="E273" s="3">
        <v>89.92</v>
      </c>
      <c r="F273" s="3">
        <v>78.66</v>
      </c>
      <c r="G273" s="3">
        <v>63.13</v>
      </c>
      <c r="H273" s="3">
        <v>66.77</v>
      </c>
      <c r="I273" s="3">
        <v>63.42</v>
      </c>
      <c r="J273" s="3">
        <v>56.66</v>
      </c>
      <c r="K273" s="3">
        <v>16.600000000000001</v>
      </c>
      <c r="L273" s="3">
        <v>68698.78</v>
      </c>
      <c r="M273" s="3">
        <v>65518.14</v>
      </c>
      <c r="N273" s="3">
        <v>8.2449999999999992</v>
      </c>
      <c r="O273" s="3">
        <v>6.9800000000000001E-2</v>
      </c>
      <c r="P273" s="3">
        <v>2.68</v>
      </c>
      <c r="Q273" s="3">
        <v>120.73</v>
      </c>
      <c r="R273" s="3">
        <v>20.54</v>
      </c>
      <c r="S273" s="3">
        <v>115.13</v>
      </c>
    </row>
    <row r="274" spans="1:19" ht="14.4" x14ac:dyDescent="0.3">
      <c r="A274" s="2">
        <v>44305</v>
      </c>
      <c r="B274" s="3">
        <v>48.63</v>
      </c>
      <c r="C274" s="3">
        <v>65.73</v>
      </c>
      <c r="D274" s="3">
        <v>82.91</v>
      </c>
      <c r="E274" s="3">
        <v>89.92</v>
      </c>
      <c r="F274" s="3">
        <v>78.66</v>
      </c>
      <c r="G274" s="3">
        <v>63.38</v>
      </c>
      <c r="H274" s="3">
        <v>67.05</v>
      </c>
      <c r="I274" s="3">
        <v>63.47</v>
      </c>
      <c r="J274" s="3">
        <v>56.48</v>
      </c>
      <c r="K274" s="3">
        <v>16.48</v>
      </c>
      <c r="L274" s="3">
        <v>68094.28</v>
      </c>
      <c r="M274" s="3">
        <v>64250.42</v>
      </c>
      <c r="N274" s="3">
        <v>8.6649999999999991</v>
      </c>
      <c r="O274" s="3">
        <v>7.0279999999999995E-2</v>
      </c>
      <c r="P274" s="3">
        <v>2.7490000000000001</v>
      </c>
      <c r="Q274" s="3">
        <v>119.74</v>
      </c>
      <c r="R274" s="3">
        <v>20.94</v>
      </c>
      <c r="S274" s="3">
        <v>117.45</v>
      </c>
    </row>
    <row r="275" spans="1:19" ht="14.4" x14ac:dyDescent="0.3">
      <c r="A275" s="2">
        <v>44306</v>
      </c>
      <c r="B275" s="3">
        <v>48.63</v>
      </c>
      <c r="C275" s="3">
        <v>65.73</v>
      </c>
      <c r="D275" s="3">
        <v>82.91</v>
      </c>
      <c r="E275" s="3">
        <v>89.92</v>
      </c>
      <c r="F275" s="3">
        <v>78.66</v>
      </c>
      <c r="G275" s="3">
        <v>62.44</v>
      </c>
      <c r="H275" s="3">
        <v>66.569999999999993</v>
      </c>
      <c r="I275" s="3">
        <v>63.23</v>
      </c>
      <c r="J275" s="3">
        <v>55.29</v>
      </c>
      <c r="K275" s="3">
        <v>16.46</v>
      </c>
      <c r="L275" s="3">
        <v>66835.520000000004</v>
      </c>
      <c r="M275" s="3">
        <v>63774.84</v>
      </c>
      <c r="N275" s="3">
        <v>8.65</v>
      </c>
      <c r="O275" s="3">
        <v>6.9849999999999995E-2</v>
      </c>
      <c r="P275" s="3">
        <v>2.7269999999999999</v>
      </c>
      <c r="Q275" s="3">
        <v>119.76</v>
      </c>
      <c r="R275" s="3">
        <v>21.065000000000001</v>
      </c>
      <c r="S275" s="3">
        <v>117.6</v>
      </c>
    </row>
    <row r="276" spans="1:19" ht="14.4" x14ac:dyDescent="0.3">
      <c r="A276" s="2">
        <v>44307</v>
      </c>
      <c r="B276" s="3">
        <v>48.63</v>
      </c>
      <c r="C276" s="3">
        <v>65.73</v>
      </c>
      <c r="D276" s="3">
        <v>82.91</v>
      </c>
      <c r="E276" s="3">
        <v>89.92</v>
      </c>
      <c r="F276" s="3">
        <v>78.66</v>
      </c>
      <c r="G276" s="3">
        <v>61.35</v>
      </c>
      <c r="H276" s="3">
        <v>65.319999999999993</v>
      </c>
      <c r="I276" s="3">
        <v>62.71</v>
      </c>
      <c r="J276" s="3">
        <v>56</v>
      </c>
      <c r="K276" s="3">
        <v>16.36</v>
      </c>
      <c r="L276" s="3">
        <v>67145.75</v>
      </c>
      <c r="M276" s="3">
        <v>65801.34</v>
      </c>
      <c r="N276" s="3">
        <v>8.5500000000000007</v>
      </c>
      <c r="O276" s="3">
        <v>7.0150000000000004E-2</v>
      </c>
      <c r="P276" s="3">
        <v>2.6920000000000002</v>
      </c>
      <c r="Q276" s="3">
        <v>119.53</v>
      </c>
      <c r="R276" s="3">
        <v>21.11</v>
      </c>
      <c r="S276" s="1">
        <f>S277</f>
        <v>119.98</v>
      </c>
    </row>
    <row r="277" spans="1:19" ht="14.4" x14ac:dyDescent="0.3">
      <c r="A277" s="2">
        <v>44308</v>
      </c>
      <c r="B277" s="3">
        <v>48.63</v>
      </c>
      <c r="C277" s="3">
        <v>65.73</v>
      </c>
      <c r="D277" s="3">
        <v>82.91</v>
      </c>
      <c r="E277" s="3">
        <v>89.92</v>
      </c>
      <c r="F277" s="3">
        <v>78.66</v>
      </c>
      <c r="G277" s="3">
        <v>61.43</v>
      </c>
      <c r="H277" s="3">
        <v>65.400000000000006</v>
      </c>
      <c r="I277" s="3">
        <v>62.68</v>
      </c>
      <c r="J277" s="3">
        <v>55.27</v>
      </c>
      <c r="K277" s="3">
        <v>16.559999999999999</v>
      </c>
      <c r="L277" s="3">
        <v>66971.59</v>
      </c>
      <c r="M277" s="3">
        <v>64550.22</v>
      </c>
      <c r="N277" s="3">
        <v>8.5500000000000007</v>
      </c>
      <c r="O277" s="3">
        <v>6.9870000000000002E-2</v>
      </c>
      <c r="P277" s="3">
        <v>2.7490000000000001</v>
      </c>
      <c r="Q277" s="3">
        <v>119.84</v>
      </c>
      <c r="R277" s="3">
        <v>21.37</v>
      </c>
      <c r="S277" s="3">
        <v>119.98</v>
      </c>
    </row>
    <row r="278" spans="1:19" ht="14.4" x14ac:dyDescent="0.3">
      <c r="A278" s="2">
        <v>44309</v>
      </c>
      <c r="B278" s="3">
        <v>48.78</v>
      </c>
      <c r="C278" s="3">
        <v>65.599999999999994</v>
      </c>
      <c r="D278" s="3">
        <v>81.430000000000007</v>
      </c>
      <c r="E278" s="3">
        <v>90.72</v>
      </c>
      <c r="F278" s="3">
        <v>82.38</v>
      </c>
      <c r="G278" s="3">
        <v>62.14</v>
      </c>
      <c r="H278" s="3">
        <v>66.11</v>
      </c>
      <c r="I278" s="3">
        <v>62.8</v>
      </c>
      <c r="J278" s="3">
        <v>55.57</v>
      </c>
      <c r="K278" s="3">
        <v>16.54</v>
      </c>
      <c r="L278" s="3">
        <v>67295.740000000005</v>
      </c>
      <c r="M278" s="3">
        <v>64272.27</v>
      </c>
      <c r="N278" s="3">
        <v>8.1999999999999993</v>
      </c>
      <c r="O278" s="3">
        <v>6.9959999999999994E-2</v>
      </c>
      <c r="P278" s="3">
        <v>2.73</v>
      </c>
      <c r="Q278" s="3">
        <v>121.27</v>
      </c>
      <c r="R278" s="3">
        <v>20.045000000000002</v>
      </c>
      <c r="S278" s="3">
        <v>119.23</v>
      </c>
    </row>
    <row r="279" spans="1:19" ht="14.4" x14ac:dyDescent="0.3">
      <c r="A279" s="2">
        <v>44312</v>
      </c>
      <c r="B279" s="3">
        <v>48.78</v>
      </c>
      <c r="C279" s="3">
        <v>65.599999999999994</v>
      </c>
      <c r="D279" s="3">
        <v>81.430000000000007</v>
      </c>
      <c r="E279" s="3">
        <v>90.72</v>
      </c>
      <c r="F279" s="3">
        <v>82.38</v>
      </c>
      <c r="G279" s="3">
        <v>61.91</v>
      </c>
      <c r="H279" s="3">
        <v>65.650000000000006</v>
      </c>
      <c r="I279" s="3">
        <v>62.62</v>
      </c>
      <c r="J279" s="3">
        <v>55.68</v>
      </c>
      <c r="K279" s="3">
        <v>16.2</v>
      </c>
      <c r="L279" s="3">
        <v>67572.58</v>
      </c>
      <c r="M279" s="3">
        <v>63681.25</v>
      </c>
      <c r="N279" s="3">
        <v>8.25</v>
      </c>
      <c r="O279" s="3">
        <v>6.9989999999999997E-2</v>
      </c>
      <c r="P279" s="3">
        <v>2.79</v>
      </c>
      <c r="Q279" s="3">
        <v>120.86</v>
      </c>
      <c r="R279" s="3">
        <v>20</v>
      </c>
      <c r="S279" s="3">
        <v>125.33</v>
      </c>
    </row>
    <row r="280" spans="1:19" ht="14.4" x14ac:dyDescent="0.3">
      <c r="A280" s="2">
        <v>44313</v>
      </c>
      <c r="B280" s="3">
        <v>48.78</v>
      </c>
      <c r="C280" s="3">
        <v>65.599999999999994</v>
      </c>
      <c r="D280" s="3">
        <v>81.430000000000007</v>
      </c>
      <c r="E280" s="3">
        <v>90.72</v>
      </c>
      <c r="F280" s="3">
        <v>82.38</v>
      </c>
      <c r="G280" s="3">
        <v>62.94</v>
      </c>
      <c r="H280" s="3">
        <v>66.42</v>
      </c>
      <c r="I280" s="3">
        <v>62.75</v>
      </c>
      <c r="J280" s="3">
        <v>56.41</v>
      </c>
      <c r="K280" s="3">
        <v>16.12</v>
      </c>
      <c r="L280" s="5">
        <f>FORECAST(A280,L274:L279,A274:A279)</f>
        <v>67286.680486486526</v>
      </c>
      <c r="M280" s="5">
        <f>FORECAST(A280,M274:M279,A274:A279)</f>
        <v>63933.172594594769</v>
      </c>
      <c r="N280" s="3">
        <v>8.6</v>
      </c>
      <c r="O280" s="3">
        <v>6.9650000000000004E-2</v>
      </c>
      <c r="P280" s="3">
        <v>2.8730000000000002</v>
      </c>
      <c r="Q280" s="3">
        <v>121.23</v>
      </c>
      <c r="R280" s="3">
        <v>21.405000000000001</v>
      </c>
      <c r="S280" s="3">
        <v>125.47</v>
      </c>
    </row>
    <row r="281" spans="1:19" ht="14.4" x14ac:dyDescent="0.3">
      <c r="A281" s="2">
        <v>44314</v>
      </c>
      <c r="B281" s="3">
        <v>48.78</v>
      </c>
      <c r="C281" s="3">
        <v>65.599999999999994</v>
      </c>
      <c r="D281" s="3">
        <v>81.430000000000007</v>
      </c>
      <c r="E281" s="3">
        <v>90.72</v>
      </c>
      <c r="F281" s="3">
        <v>82.38</v>
      </c>
      <c r="G281" s="3">
        <v>63.86</v>
      </c>
      <c r="H281" s="3">
        <v>67.27</v>
      </c>
      <c r="I281" s="3">
        <v>62.81</v>
      </c>
      <c r="J281" s="3">
        <v>58.11</v>
      </c>
      <c r="K281" s="3">
        <v>16.2</v>
      </c>
      <c r="L281" s="3">
        <v>67740.11</v>
      </c>
      <c r="M281" s="3">
        <v>62994.3</v>
      </c>
      <c r="N281" s="3">
        <v>8.6</v>
      </c>
      <c r="O281" s="3">
        <v>7.0209999999999995E-2</v>
      </c>
      <c r="P281" s="3">
        <v>2.9249999999999998</v>
      </c>
      <c r="Q281" s="3">
        <v>119.07</v>
      </c>
      <c r="R281" s="3">
        <v>21.555</v>
      </c>
      <c r="S281" s="3">
        <v>123.37</v>
      </c>
    </row>
    <row r="282" spans="1:19" ht="14.4" x14ac:dyDescent="0.3">
      <c r="A282" s="2">
        <v>44315</v>
      </c>
      <c r="B282" s="3">
        <v>48.78</v>
      </c>
      <c r="C282" s="3">
        <v>65.599999999999994</v>
      </c>
      <c r="D282" s="3">
        <v>81.430000000000007</v>
      </c>
      <c r="E282" s="3">
        <v>90.72</v>
      </c>
      <c r="F282" s="3">
        <v>82.38</v>
      </c>
      <c r="G282" s="3">
        <v>65.010000000000005</v>
      </c>
      <c r="H282" s="3">
        <v>68.56</v>
      </c>
      <c r="I282" s="3">
        <v>62.9</v>
      </c>
      <c r="J282" s="3">
        <v>58.94</v>
      </c>
      <c r="K282" s="3">
        <v>16.579999999999998</v>
      </c>
      <c r="L282" s="3">
        <v>67392.73</v>
      </c>
      <c r="M282" s="3">
        <v>62207.06</v>
      </c>
      <c r="N282" s="3">
        <v>8.8000000000000007</v>
      </c>
      <c r="O282" s="3">
        <v>6.9849999999999995E-2</v>
      </c>
      <c r="P282" s="3">
        <v>2.911</v>
      </c>
      <c r="Q282" s="3">
        <v>117.68</v>
      </c>
      <c r="R282" s="3">
        <v>22.5</v>
      </c>
      <c r="S282" s="3">
        <v>125.18</v>
      </c>
    </row>
    <row r="283" spans="1:19" ht="14.4" x14ac:dyDescent="0.3">
      <c r="A283" s="2">
        <v>44316</v>
      </c>
      <c r="B283" s="3">
        <v>47.25</v>
      </c>
      <c r="C283" s="3">
        <v>66.38</v>
      </c>
      <c r="D283" s="3">
        <v>81.81</v>
      </c>
      <c r="E283" s="3">
        <v>93.14</v>
      </c>
      <c r="F283" s="3">
        <v>81.03</v>
      </c>
      <c r="G283" s="3">
        <v>63.58</v>
      </c>
      <c r="H283" s="3">
        <v>67.25</v>
      </c>
      <c r="I283" s="3">
        <v>62.89</v>
      </c>
      <c r="J283" s="3">
        <v>57.24</v>
      </c>
      <c r="K283" s="3">
        <v>16.2</v>
      </c>
      <c r="L283" s="3">
        <v>66937</v>
      </c>
      <c r="M283" s="3">
        <v>61780.68</v>
      </c>
      <c r="N283" s="3">
        <v>8.8949999999999996</v>
      </c>
      <c r="O283" s="3">
        <v>6.8919999999999995E-2</v>
      </c>
      <c r="P283" s="3">
        <v>2.931</v>
      </c>
      <c r="Q283" s="3">
        <v>117.71</v>
      </c>
      <c r="R283" s="3">
        <v>23.285</v>
      </c>
      <c r="S283" s="3">
        <v>123.45</v>
      </c>
    </row>
    <row r="284" spans="1:19" ht="14.4" x14ac:dyDescent="0.3">
      <c r="A284" s="2">
        <v>44319</v>
      </c>
      <c r="B284" s="1">
        <f t="shared" ref="B284:D284" si="22">B283</f>
        <v>47.25</v>
      </c>
      <c r="C284" s="1">
        <f t="shared" si="22"/>
        <v>66.38</v>
      </c>
      <c r="D284" s="1">
        <f t="shared" si="22"/>
        <v>81.81</v>
      </c>
      <c r="E284" s="3">
        <v>93.14</v>
      </c>
      <c r="F284" s="1">
        <f>F283</f>
        <v>81.03</v>
      </c>
      <c r="G284" s="3">
        <v>64.489999999999995</v>
      </c>
      <c r="H284" s="3">
        <v>67.56</v>
      </c>
      <c r="I284" s="3">
        <v>65.03</v>
      </c>
      <c r="J284" s="3">
        <v>58.82</v>
      </c>
      <c r="K284" s="3">
        <v>16.2</v>
      </c>
      <c r="L284" s="3">
        <v>66586.240000000005</v>
      </c>
      <c r="M284" s="3">
        <v>62537.93</v>
      </c>
      <c r="N284" s="3">
        <v>8.9049999999999994</v>
      </c>
      <c r="O284" s="3">
        <v>6.9409999999999999E-2</v>
      </c>
      <c r="P284" s="3">
        <v>2.9660000000000002</v>
      </c>
      <c r="Q284" s="3">
        <v>115.46</v>
      </c>
      <c r="R284" s="3">
        <v>23.815000000000001</v>
      </c>
      <c r="S284" s="3">
        <v>126.35</v>
      </c>
    </row>
    <row r="285" spans="1:19" ht="14.4" x14ac:dyDescent="0.3">
      <c r="A285" s="2">
        <v>44320</v>
      </c>
      <c r="B285" s="3">
        <v>47.25</v>
      </c>
      <c r="C285" s="3">
        <v>66.38</v>
      </c>
      <c r="D285" s="3">
        <v>81.81</v>
      </c>
      <c r="E285" s="3">
        <v>93.14</v>
      </c>
      <c r="F285" s="3">
        <v>81.03</v>
      </c>
      <c r="G285" s="3">
        <v>65.69</v>
      </c>
      <c r="H285" s="3">
        <v>68.88</v>
      </c>
      <c r="I285" s="3">
        <v>66.349999999999994</v>
      </c>
      <c r="J285" s="3">
        <v>59.19</v>
      </c>
      <c r="K285" s="3">
        <v>16.36</v>
      </c>
      <c r="L285" s="3">
        <v>66173.97</v>
      </c>
      <c r="M285" s="3">
        <v>61597.89</v>
      </c>
      <c r="N285" s="3">
        <v>9.0050000000000008</v>
      </c>
      <c r="O285" s="3">
        <v>6.9089999999999999E-2</v>
      </c>
      <c r="P285" s="3">
        <v>2.9670000000000001</v>
      </c>
      <c r="Q285" s="3">
        <v>114.54</v>
      </c>
      <c r="R285" s="3">
        <v>23.05</v>
      </c>
      <c r="S285" s="3">
        <v>127.35</v>
      </c>
    </row>
    <row r="286" spans="1:19" ht="14.4" x14ac:dyDescent="0.3">
      <c r="A286" s="2">
        <v>44321</v>
      </c>
      <c r="B286" s="3">
        <v>47.25</v>
      </c>
      <c r="C286" s="3">
        <v>66.38</v>
      </c>
      <c r="D286" s="3">
        <v>81.81</v>
      </c>
      <c r="E286" s="3">
        <v>93.14</v>
      </c>
      <c r="F286" s="3">
        <v>81.03</v>
      </c>
      <c r="G286" s="3">
        <v>65.63</v>
      </c>
      <c r="H286" s="3">
        <v>68.959999999999994</v>
      </c>
      <c r="I286" s="3">
        <v>66.650000000000006</v>
      </c>
      <c r="J286" s="3">
        <v>60.97</v>
      </c>
      <c r="K286" s="3">
        <v>16.48</v>
      </c>
      <c r="L286" s="3">
        <v>67346.19</v>
      </c>
      <c r="M286" s="3">
        <v>61306.62</v>
      </c>
      <c r="N286" s="3">
        <v>8.9700000000000006</v>
      </c>
      <c r="O286" s="3">
        <v>6.9559999999999997E-2</v>
      </c>
      <c r="P286" s="3">
        <v>2.9380000000000002</v>
      </c>
      <c r="Q286" s="3">
        <v>114.72</v>
      </c>
      <c r="R286" s="3">
        <v>23.96</v>
      </c>
      <c r="S286" s="3">
        <v>128.80000000000001</v>
      </c>
    </row>
    <row r="287" spans="1:19" ht="14.4" x14ac:dyDescent="0.3">
      <c r="A287" s="2">
        <v>44322</v>
      </c>
      <c r="B287" s="3">
        <v>47.25</v>
      </c>
      <c r="C287" s="3">
        <v>66.38</v>
      </c>
      <c r="D287" s="3">
        <v>81.81</v>
      </c>
      <c r="E287" s="3">
        <v>93.14</v>
      </c>
      <c r="F287" s="3">
        <v>81.03</v>
      </c>
      <c r="G287" s="3">
        <v>64.709999999999994</v>
      </c>
      <c r="H287" s="3">
        <v>68.09</v>
      </c>
      <c r="I287" s="3">
        <v>66.010000000000005</v>
      </c>
      <c r="J287" s="3">
        <v>61.55</v>
      </c>
      <c r="K287" s="3">
        <v>16.98</v>
      </c>
      <c r="L287" s="3">
        <v>67608.89</v>
      </c>
      <c r="M287" s="3">
        <v>61501.06</v>
      </c>
      <c r="N287" s="3">
        <v>9.06</v>
      </c>
      <c r="O287" s="3">
        <v>7.0309999999999997E-2</v>
      </c>
      <c r="P287" s="3">
        <v>2.9279999999999999</v>
      </c>
      <c r="Q287" s="3">
        <v>113.62</v>
      </c>
      <c r="R287" s="3">
        <v>24.33</v>
      </c>
      <c r="S287" s="3">
        <v>131.66999999999999</v>
      </c>
    </row>
    <row r="288" spans="1:19" ht="14.4" x14ac:dyDescent="0.3">
      <c r="A288" s="2">
        <v>44323</v>
      </c>
      <c r="B288" s="3">
        <v>52.56</v>
      </c>
      <c r="C288" s="3">
        <v>70.27</v>
      </c>
      <c r="D288" s="3">
        <v>86.39</v>
      </c>
      <c r="E288" s="3">
        <v>100.49</v>
      </c>
      <c r="F288" s="3">
        <v>84.03</v>
      </c>
      <c r="G288" s="3">
        <v>64.900000000000006</v>
      </c>
      <c r="H288" s="3">
        <v>68.28</v>
      </c>
      <c r="I288" s="3">
        <v>66.150000000000006</v>
      </c>
      <c r="J288" s="3">
        <v>62.43</v>
      </c>
      <c r="K288" s="3">
        <v>17.2</v>
      </c>
      <c r="L288" s="3">
        <v>68519.53</v>
      </c>
      <c r="M288" s="3">
        <v>62717.07</v>
      </c>
      <c r="N288" s="3">
        <v>9.0449999999999999</v>
      </c>
      <c r="O288" s="3">
        <v>7.1099999999999997E-2</v>
      </c>
      <c r="P288" s="3">
        <v>2.9580000000000002</v>
      </c>
      <c r="Q288" s="3">
        <v>114.81</v>
      </c>
      <c r="R288" s="3">
        <v>23.94</v>
      </c>
      <c r="S288" s="3">
        <v>129.87</v>
      </c>
    </row>
    <row r="289" spans="1:19" ht="14.4" x14ac:dyDescent="0.3">
      <c r="A289" s="2">
        <v>44326</v>
      </c>
      <c r="B289" s="3">
        <v>52.56</v>
      </c>
      <c r="C289" s="3">
        <v>70.27</v>
      </c>
      <c r="D289" s="3">
        <v>86.39</v>
      </c>
      <c r="E289" s="3">
        <v>100.49</v>
      </c>
      <c r="F289" s="3">
        <v>84.03</v>
      </c>
      <c r="G289" s="3">
        <v>64.92</v>
      </c>
      <c r="H289" s="3">
        <v>68.319999999999993</v>
      </c>
      <c r="I289" s="3">
        <v>66.2</v>
      </c>
      <c r="J289" s="3">
        <v>62.58</v>
      </c>
      <c r="K289" s="3">
        <v>18.16</v>
      </c>
      <c r="L289" s="3">
        <v>68377.23</v>
      </c>
      <c r="M289" s="3">
        <v>62540.13</v>
      </c>
      <c r="N289" s="3">
        <v>9.1199999999999992</v>
      </c>
      <c r="O289" s="3">
        <v>7.1150000000000005E-2</v>
      </c>
      <c r="P289" s="3">
        <v>2.9319999999999999</v>
      </c>
      <c r="Q289" s="3">
        <v>114.28</v>
      </c>
      <c r="R289" s="3">
        <v>25.19</v>
      </c>
      <c r="S289" s="3">
        <v>129.80000000000001</v>
      </c>
    </row>
    <row r="290" spans="1:19" ht="14.4" x14ac:dyDescent="0.3">
      <c r="A290" s="2">
        <v>44327</v>
      </c>
      <c r="B290" s="3">
        <v>52.56</v>
      </c>
      <c r="C290" s="3">
        <v>70.27</v>
      </c>
      <c r="D290" s="3">
        <v>86.39</v>
      </c>
      <c r="E290" s="3">
        <v>100.49</v>
      </c>
      <c r="F290" s="3">
        <v>84.03</v>
      </c>
      <c r="G290" s="3">
        <v>65.28</v>
      </c>
      <c r="H290" s="3">
        <v>68.55</v>
      </c>
      <c r="I290" s="3">
        <v>66.319999999999993</v>
      </c>
      <c r="J290" s="3">
        <v>60.59</v>
      </c>
      <c r="K290" s="3">
        <v>17.8</v>
      </c>
      <c r="L290" s="3">
        <v>67241.2</v>
      </c>
      <c r="M290" s="3">
        <v>60938.02</v>
      </c>
      <c r="N290" s="3">
        <v>9.1150000000000002</v>
      </c>
      <c r="O290" s="3">
        <v>7.1379999999999999E-2</v>
      </c>
      <c r="P290" s="3">
        <v>2.9550000000000001</v>
      </c>
      <c r="Q290" s="3">
        <v>113.07</v>
      </c>
      <c r="R290" s="3">
        <v>25.805</v>
      </c>
      <c r="S290" s="3">
        <v>133.85</v>
      </c>
    </row>
    <row r="291" spans="1:19" ht="14.4" x14ac:dyDescent="0.3">
      <c r="A291" s="2">
        <v>44328</v>
      </c>
      <c r="B291" s="3">
        <v>52.56</v>
      </c>
      <c r="C291" s="3">
        <v>70.27</v>
      </c>
      <c r="D291" s="3">
        <v>86.39</v>
      </c>
      <c r="E291" s="3">
        <v>100.49</v>
      </c>
      <c r="F291" s="3">
        <v>84.03</v>
      </c>
      <c r="G291" s="3">
        <v>66.08</v>
      </c>
      <c r="H291" s="3">
        <v>69.319999999999993</v>
      </c>
      <c r="I291" s="3">
        <v>66.77</v>
      </c>
      <c r="J291" s="3">
        <v>60.04</v>
      </c>
      <c r="K291" s="3">
        <v>18.079999999999998</v>
      </c>
      <c r="L291" s="3">
        <v>67424.27</v>
      </c>
      <c r="M291" s="3">
        <v>61297.23</v>
      </c>
      <c r="N291" s="3">
        <v>9.125</v>
      </c>
      <c r="O291" s="3">
        <v>7.0749999999999993E-2</v>
      </c>
      <c r="P291" s="3">
        <v>2.9689999999999999</v>
      </c>
      <c r="Q291" s="3">
        <v>111.46</v>
      </c>
      <c r="R291" s="3">
        <v>26.42</v>
      </c>
      <c r="S291" s="3">
        <v>132.63</v>
      </c>
    </row>
    <row r="292" spans="1:19" ht="14.4" x14ac:dyDescent="0.3">
      <c r="A292" s="2">
        <v>44329</v>
      </c>
      <c r="B292" s="3">
        <v>52.56</v>
      </c>
      <c r="C292" s="3">
        <v>70.27</v>
      </c>
      <c r="D292" s="3">
        <v>86.39</v>
      </c>
      <c r="E292" s="3">
        <v>100.49</v>
      </c>
      <c r="F292" s="3">
        <v>84.03</v>
      </c>
      <c r="G292" s="3">
        <v>63.82</v>
      </c>
      <c r="H292" s="3">
        <v>67.05</v>
      </c>
      <c r="I292" s="3">
        <v>65.42</v>
      </c>
      <c r="J292" s="3">
        <v>59.3</v>
      </c>
      <c r="K292" s="3">
        <v>17.239999999999998</v>
      </c>
      <c r="L292" s="3">
        <v>66168.649999999994</v>
      </c>
      <c r="M292" s="3">
        <v>60187.040000000001</v>
      </c>
      <c r="N292" s="3">
        <v>9.125</v>
      </c>
      <c r="O292" s="3">
        <v>7.0809999999999998E-2</v>
      </c>
      <c r="P292" s="3">
        <v>2.9729999999999999</v>
      </c>
      <c r="Q292" s="3">
        <v>112.17</v>
      </c>
      <c r="R292" s="3">
        <v>26.25</v>
      </c>
      <c r="S292" s="1">
        <f>S293</f>
        <v>124.45</v>
      </c>
    </row>
    <row r="293" spans="1:19" ht="14.4" x14ac:dyDescent="0.3">
      <c r="A293" s="2">
        <v>44330</v>
      </c>
      <c r="B293" s="3">
        <v>55.17</v>
      </c>
      <c r="C293" s="3">
        <v>74.66</v>
      </c>
      <c r="D293" s="3">
        <v>93.04</v>
      </c>
      <c r="E293" s="3">
        <v>103.85</v>
      </c>
      <c r="F293" s="3">
        <v>87.32</v>
      </c>
      <c r="G293" s="3">
        <v>65.37</v>
      </c>
      <c r="H293" s="3">
        <v>68.709999999999994</v>
      </c>
      <c r="I293" s="3">
        <v>66.33</v>
      </c>
      <c r="J293" s="3">
        <v>60.77</v>
      </c>
      <c r="K293" s="3">
        <v>17.22</v>
      </c>
      <c r="L293" s="3">
        <v>66598.13</v>
      </c>
      <c r="M293" s="3">
        <v>61294.89</v>
      </c>
      <c r="N293" s="5">
        <f>FORECAST(A293,N287:N292,A287:A292)</f>
        <v>9.1480472103004331</v>
      </c>
      <c r="O293" s="3">
        <v>7.0790000000000006E-2</v>
      </c>
      <c r="P293" s="3">
        <v>2.9609999999999999</v>
      </c>
      <c r="Q293" s="3">
        <v>113.26</v>
      </c>
      <c r="R293" s="3">
        <v>26.83</v>
      </c>
      <c r="S293" s="3">
        <v>124.45</v>
      </c>
    </row>
    <row r="294" spans="1:19" ht="14.4" x14ac:dyDescent="0.3">
      <c r="A294" s="2">
        <v>44333</v>
      </c>
      <c r="B294" s="3">
        <v>55.17</v>
      </c>
      <c r="C294" s="3">
        <v>74.66</v>
      </c>
      <c r="D294" s="3">
        <v>93.04</v>
      </c>
      <c r="E294" s="3">
        <v>103.85</v>
      </c>
      <c r="F294" s="3">
        <v>87.32</v>
      </c>
      <c r="G294" s="3">
        <v>66.27</v>
      </c>
      <c r="H294" s="3">
        <v>69.459999999999994</v>
      </c>
      <c r="I294" s="3">
        <v>66.819999999999993</v>
      </c>
      <c r="J294" s="3">
        <v>62.19</v>
      </c>
      <c r="K294" s="3">
        <v>17.32</v>
      </c>
      <c r="L294" s="3">
        <v>67217.11</v>
      </c>
      <c r="M294" s="3">
        <v>63487.77</v>
      </c>
      <c r="N294" s="3">
        <v>10.33</v>
      </c>
      <c r="O294" s="3">
        <v>7.0809999999999998E-2</v>
      </c>
      <c r="P294" s="3">
        <v>3.109</v>
      </c>
      <c r="Q294" s="3">
        <v>112.47</v>
      </c>
      <c r="R294" s="3">
        <v>26.31</v>
      </c>
      <c r="S294" s="3">
        <v>123.77</v>
      </c>
    </row>
    <row r="295" spans="1:19" ht="14.4" x14ac:dyDescent="0.3">
      <c r="A295" s="2">
        <v>44334</v>
      </c>
      <c r="B295" s="3">
        <v>55.17</v>
      </c>
      <c r="C295" s="3">
        <v>74.66</v>
      </c>
      <c r="D295" s="3">
        <v>93.04</v>
      </c>
      <c r="E295" s="3">
        <v>103.85</v>
      </c>
      <c r="F295" s="3">
        <v>87.32</v>
      </c>
      <c r="G295" s="3">
        <v>65.489999999999995</v>
      </c>
      <c r="H295" s="3">
        <v>68.709999999999994</v>
      </c>
      <c r="I295" s="3">
        <v>66.64</v>
      </c>
      <c r="J295" s="3">
        <v>60.43</v>
      </c>
      <c r="K295" s="3">
        <v>17.7</v>
      </c>
      <c r="L295" s="3">
        <v>67254.92</v>
      </c>
      <c r="M295" s="3">
        <v>64163.040000000001</v>
      </c>
      <c r="N295" s="3">
        <v>9.99</v>
      </c>
      <c r="O295" s="3">
        <v>7.1419999999999997E-2</v>
      </c>
      <c r="P295" s="3">
        <v>3.012</v>
      </c>
      <c r="Q295" s="3">
        <v>110.76</v>
      </c>
      <c r="R295" s="3">
        <v>24.81</v>
      </c>
      <c r="S295" s="3">
        <v>125.62</v>
      </c>
    </row>
    <row r="296" spans="1:19" ht="14.4" x14ac:dyDescent="0.3">
      <c r="A296" s="2">
        <v>44335</v>
      </c>
      <c r="B296" s="3">
        <v>55.17</v>
      </c>
      <c r="C296" s="3">
        <v>74.66</v>
      </c>
      <c r="D296" s="3">
        <v>93.04</v>
      </c>
      <c r="E296" s="3">
        <v>103.85</v>
      </c>
      <c r="F296" s="3">
        <v>87.32</v>
      </c>
      <c r="G296" s="3">
        <v>63.36</v>
      </c>
      <c r="H296" s="3">
        <v>66.66</v>
      </c>
      <c r="I296" s="3">
        <v>65.92</v>
      </c>
      <c r="J296" s="3">
        <v>58.98</v>
      </c>
      <c r="K296" s="5">
        <f>FORECAST(A296,K290:K295,A290:A295)</f>
        <v>17.360858369098423</v>
      </c>
      <c r="L296" s="3">
        <v>65855.81</v>
      </c>
      <c r="M296" s="3">
        <v>62509.45</v>
      </c>
      <c r="N296" s="3">
        <v>9.4700000000000006</v>
      </c>
      <c r="O296" s="3">
        <v>7.084E-2</v>
      </c>
      <c r="P296" s="3">
        <v>2.964</v>
      </c>
      <c r="Q296" s="3">
        <v>110.74</v>
      </c>
      <c r="R296" s="3">
        <v>22.664999999999999</v>
      </c>
      <c r="S296" s="3">
        <v>127.27</v>
      </c>
    </row>
    <row r="297" spans="1:19" ht="14.4" x14ac:dyDescent="0.3">
      <c r="A297" s="2">
        <v>44336</v>
      </c>
      <c r="B297" s="3">
        <v>55.17</v>
      </c>
      <c r="C297" s="3">
        <v>74.66</v>
      </c>
      <c r="D297" s="3">
        <v>93.04</v>
      </c>
      <c r="E297" s="3">
        <v>103.85</v>
      </c>
      <c r="F297" s="3">
        <v>87.32</v>
      </c>
      <c r="G297" s="3">
        <v>62.05</v>
      </c>
      <c r="H297" s="3">
        <v>65.11</v>
      </c>
      <c r="I297" s="3">
        <v>65.39</v>
      </c>
      <c r="J297" s="3">
        <v>58.84</v>
      </c>
      <c r="K297" s="3">
        <v>16.84</v>
      </c>
      <c r="L297" s="3">
        <v>66124.44</v>
      </c>
      <c r="M297" s="3">
        <v>62653.04</v>
      </c>
      <c r="N297" s="3">
        <v>10.050000000000001</v>
      </c>
      <c r="O297" s="3">
        <v>7.1510000000000004E-2</v>
      </c>
      <c r="P297" s="3">
        <v>2.9249999999999998</v>
      </c>
      <c r="Q297" s="3">
        <v>111.96</v>
      </c>
      <c r="R297" s="3">
        <v>24.684999999999999</v>
      </c>
      <c r="S297" s="3">
        <v>120.38</v>
      </c>
    </row>
    <row r="298" spans="1:19" ht="14.4" x14ac:dyDescent="0.3">
      <c r="A298" s="2">
        <v>44337</v>
      </c>
      <c r="B298" s="3">
        <v>57.22</v>
      </c>
      <c r="C298" s="3">
        <v>76.72</v>
      </c>
      <c r="D298" s="3">
        <v>91.69</v>
      </c>
      <c r="E298" s="3">
        <v>105.4</v>
      </c>
      <c r="F298" s="3">
        <v>88.39</v>
      </c>
      <c r="G298" s="3">
        <v>63.58</v>
      </c>
      <c r="H298" s="3">
        <v>66.44</v>
      </c>
      <c r="I298" s="3">
        <v>65.73</v>
      </c>
      <c r="J298" s="3">
        <v>58.92</v>
      </c>
      <c r="K298" s="3">
        <v>17.059999999999999</v>
      </c>
      <c r="L298" s="3">
        <v>66238.929999999993</v>
      </c>
      <c r="M298" s="3">
        <v>61719.83</v>
      </c>
      <c r="N298" s="3">
        <v>9.98</v>
      </c>
      <c r="O298" s="3">
        <v>7.1580000000000005E-2</v>
      </c>
      <c r="P298" s="3">
        <v>2.9060000000000001</v>
      </c>
      <c r="Q298" s="3">
        <v>113.16</v>
      </c>
      <c r="R298" s="3">
        <v>24.795000000000002</v>
      </c>
      <c r="S298" s="3">
        <v>124.07</v>
      </c>
    </row>
    <row r="299" spans="1:19" ht="14.4" x14ac:dyDescent="0.3">
      <c r="A299" s="2">
        <v>44340</v>
      </c>
      <c r="B299" s="3">
        <v>57.22</v>
      </c>
      <c r="C299" s="3">
        <v>76.72</v>
      </c>
      <c r="D299" s="3">
        <v>91.69</v>
      </c>
      <c r="E299" s="3">
        <v>105.4</v>
      </c>
      <c r="F299" s="3">
        <v>88.39</v>
      </c>
      <c r="G299" s="3">
        <v>66.05</v>
      </c>
      <c r="H299" s="3">
        <v>68.459999999999994</v>
      </c>
      <c r="I299" s="3">
        <v>66.260000000000005</v>
      </c>
      <c r="J299" s="3">
        <v>59.61</v>
      </c>
      <c r="K299" s="3">
        <v>16.940000000000001</v>
      </c>
      <c r="L299" s="3">
        <v>66054.92</v>
      </c>
      <c r="M299" s="3">
        <v>60580.76</v>
      </c>
      <c r="N299" s="3">
        <v>10.074999999999999</v>
      </c>
      <c r="O299" s="3">
        <v>7.177E-2</v>
      </c>
      <c r="P299" s="3">
        <v>2.8860000000000001</v>
      </c>
      <c r="Q299" s="3">
        <v>112.97</v>
      </c>
      <c r="R299" s="3">
        <v>24.76</v>
      </c>
      <c r="S299" s="3">
        <v>122.4</v>
      </c>
    </row>
    <row r="300" spans="1:19" ht="14.4" x14ac:dyDescent="0.3">
      <c r="A300" s="2">
        <v>44341</v>
      </c>
      <c r="B300" s="3">
        <v>57.22</v>
      </c>
      <c r="C300" s="3">
        <v>76.72</v>
      </c>
      <c r="D300" s="3">
        <v>91.69</v>
      </c>
      <c r="E300" s="3">
        <v>105.4</v>
      </c>
      <c r="F300" s="3">
        <v>88.39</v>
      </c>
      <c r="G300" s="3">
        <v>66.069999999999993</v>
      </c>
      <c r="H300" s="3">
        <v>68.650000000000006</v>
      </c>
      <c r="I300" s="3">
        <v>66.3</v>
      </c>
      <c r="J300" s="3">
        <v>58.26</v>
      </c>
      <c r="K300" s="3">
        <v>17.2</v>
      </c>
      <c r="L300" s="3">
        <v>66076.679999999993</v>
      </c>
      <c r="M300" s="3">
        <v>60346.74</v>
      </c>
      <c r="N300" s="3">
        <v>10.6</v>
      </c>
      <c r="O300" s="3">
        <v>7.2099999999999997E-2</v>
      </c>
      <c r="P300" s="3">
        <v>2.9129999999999998</v>
      </c>
      <c r="Q300" s="3">
        <v>112.38</v>
      </c>
      <c r="R300" s="3">
        <v>26.19</v>
      </c>
      <c r="S300" s="3">
        <v>120.02</v>
      </c>
    </row>
    <row r="301" spans="1:19" ht="14.4" x14ac:dyDescent="0.3">
      <c r="A301" s="2">
        <v>44342</v>
      </c>
      <c r="B301" s="3">
        <v>57.22</v>
      </c>
      <c r="C301" s="3">
        <v>76.72</v>
      </c>
      <c r="D301" s="3">
        <v>91.69</v>
      </c>
      <c r="E301" s="3">
        <v>105.4</v>
      </c>
      <c r="F301" s="3">
        <v>88.39</v>
      </c>
      <c r="G301" s="3">
        <v>66.209999999999994</v>
      </c>
      <c r="H301" s="3">
        <v>68.87</v>
      </c>
      <c r="I301" s="3">
        <v>66.33</v>
      </c>
      <c r="J301" s="3">
        <v>58.94</v>
      </c>
      <c r="K301" s="3">
        <v>17</v>
      </c>
      <c r="L301" s="3">
        <v>66108.23</v>
      </c>
      <c r="M301" s="3">
        <v>59503.5</v>
      </c>
      <c r="N301" s="3">
        <v>10.625</v>
      </c>
      <c r="O301" s="3">
        <v>7.2569999999999996E-2</v>
      </c>
      <c r="P301" s="3">
        <v>2.984</v>
      </c>
      <c r="Q301" s="3">
        <v>112.37</v>
      </c>
      <c r="R301" s="3">
        <v>26.425000000000001</v>
      </c>
      <c r="S301" s="3">
        <v>118.82</v>
      </c>
    </row>
    <row r="302" spans="1:19" ht="14.4" x14ac:dyDescent="0.3">
      <c r="A302" s="2">
        <v>44343</v>
      </c>
      <c r="B302" s="3">
        <v>57.22</v>
      </c>
      <c r="C302" s="3">
        <v>76.72</v>
      </c>
      <c r="D302" s="3">
        <v>91.69</v>
      </c>
      <c r="E302" s="3">
        <v>105.4</v>
      </c>
      <c r="F302" s="3">
        <v>88.39</v>
      </c>
      <c r="G302" s="3">
        <v>66.849999999999994</v>
      </c>
      <c r="H302" s="3">
        <v>69.459999999999994</v>
      </c>
      <c r="I302" s="3">
        <v>66.319999999999993</v>
      </c>
      <c r="J302" s="3">
        <v>58.56</v>
      </c>
      <c r="K302" s="3">
        <v>16.98</v>
      </c>
      <c r="L302" s="3">
        <v>66940.25</v>
      </c>
      <c r="M302" s="3">
        <v>60623.040000000001</v>
      </c>
      <c r="N302" s="3">
        <v>10.375</v>
      </c>
      <c r="O302" s="3">
        <v>7.2639999999999996E-2</v>
      </c>
      <c r="P302" s="3">
        <v>2.9580000000000002</v>
      </c>
      <c r="Q302" s="3">
        <v>112.02</v>
      </c>
      <c r="R302" s="3">
        <v>25.2</v>
      </c>
      <c r="S302" s="3">
        <v>117.55</v>
      </c>
    </row>
    <row r="303" spans="1:19" ht="14.4" x14ac:dyDescent="0.3">
      <c r="A303" s="2">
        <v>44344</v>
      </c>
      <c r="B303" s="3">
        <v>59.18</v>
      </c>
      <c r="C303" s="3">
        <v>78.599999999999994</v>
      </c>
      <c r="D303" s="3">
        <v>94.65</v>
      </c>
      <c r="E303" s="3">
        <v>112.1</v>
      </c>
      <c r="F303" s="3">
        <v>92.26</v>
      </c>
      <c r="G303" s="3">
        <v>66.319999999999993</v>
      </c>
      <c r="H303" s="3">
        <v>69.63</v>
      </c>
      <c r="I303" s="3">
        <v>66.28</v>
      </c>
      <c r="J303" s="3">
        <v>58.37</v>
      </c>
      <c r="K303" s="3">
        <v>17.14</v>
      </c>
      <c r="L303" s="3">
        <v>67554.86</v>
      </c>
      <c r="M303" s="3">
        <v>60174.42</v>
      </c>
      <c r="N303" s="3">
        <v>10.4</v>
      </c>
      <c r="O303" s="3">
        <v>7.2609999999999994E-2</v>
      </c>
      <c r="P303" s="3">
        <v>2.9860000000000002</v>
      </c>
      <c r="Q303" s="3">
        <v>112.88</v>
      </c>
      <c r="R303" s="3">
        <v>24.93</v>
      </c>
      <c r="S303" s="3">
        <v>120.42</v>
      </c>
    </row>
    <row r="304" spans="1:19" ht="14.4" x14ac:dyDescent="0.3">
      <c r="A304" s="2">
        <v>44347</v>
      </c>
      <c r="B304" s="1">
        <f t="shared" ref="B304:D304" si="23">B303</f>
        <v>59.18</v>
      </c>
      <c r="C304" s="1">
        <f t="shared" si="23"/>
        <v>78.599999999999994</v>
      </c>
      <c r="D304" s="1">
        <f t="shared" si="23"/>
        <v>94.65</v>
      </c>
      <c r="E304" s="3">
        <v>112.1</v>
      </c>
      <c r="F304" s="1">
        <f>F303</f>
        <v>92.26</v>
      </c>
      <c r="G304" s="3">
        <v>66.959999999999994</v>
      </c>
      <c r="H304" s="3">
        <v>69.319999999999993</v>
      </c>
      <c r="I304" s="1">
        <f>(I303+I305)/2</f>
        <v>67.384999999999991</v>
      </c>
      <c r="J304" s="1">
        <f>(J303+J305)/2</f>
        <v>59.414999999999999</v>
      </c>
      <c r="K304" s="3">
        <v>17.579999999999998</v>
      </c>
      <c r="L304" s="3">
        <v>67964.039999999994</v>
      </c>
      <c r="M304" s="3">
        <v>62728.46</v>
      </c>
      <c r="N304" s="5">
        <f>FORECAST(A304,N298:N303,A298:A303)</f>
        <v>10.765810810811217</v>
      </c>
      <c r="O304" s="3">
        <v>7.2770000000000001E-2</v>
      </c>
      <c r="P304" s="3">
        <v>3.0550000000000002</v>
      </c>
      <c r="Q304" s="1">
        <f>AVERAGE(Q303,Q305)</f>
        <v>111.345</v>
      </c>
      <c r="R304" s="5">
        <f>AVERAGE(R303,R305)</f>
        <v>25.452500000000001</v>
      </c>
      <c r="S304" s="3">
        <v>119.15</v>
      </c>
    </row>
    <row r="305" spans="1:19" ht="14.4" x14ac:dyDescent="0.3">
      <c r="A305" s="2">
        <v>44348</v>
      </c>
      <c r="B305" s="3">
        <v>59.18</v>
      </c>
      <c r="C305" s="3">
        <v>78.599999999999994</v>
      </c>
      <c r="D305" s="3">
        <v>94.65</v>
      </c>
      <c r="E305" s="3">
        <v>112.1</v>
      </c>
      <c r="F305" s="3">
        <v>92.26</v>
      </c>
      <c r="G305" s="3">
        <v>67.72</v>
      </c>
      <c r="H305" s="3">
        <v>70.25</v>
      </c>
      <c r="I305" s="3">
        <v>68.489999999999995</v>
      </c>
      <c r="J305" s="3">
        <v>60.46</v>
      </c>
      <c r="K305" s="3">
        <v>17.48</v>
      </c>
      <c r="L305" s="3">
        <v>68922.86</v>
      </c>
      <c r="M305" s="3">
        <v>62087.76</v>
      </c>
      <c r="N305" s="3">
        <v>10.65</v>
      </c>
      <c r="O305" s="3">
        <v>7.2669999999999998E-2</v>
      </c>
      <c r="P305" s="3">
        <v>3.1040000000000001</v>
      </c>
      <c r="Q305" s="3">
        <v>109.81</v>
      </c>
      <c r="R305" s="3">
        <v>25.975000000000001</v>
      </c>
      <c r="S305" s="3">
        <v>117.27</v>
      </c>
    </row>
    <row r="306" spans="1:19" ht="14.4" x14ac:dyDescent="0.3">
      <c r="A306" s="2">
        <v>44349</v>
      </c>
      <c r="B306" s="3">
        <v>59.18</v>
      </c>
      <c r="C306" s="3">
        <v>78.599999999999994</v>
      </c>
      <c r="D306" s="3">
        <v>94.65</v>
      </c>
      <c r="E306" s="3">
        <v>112.1</v>
      </c>
      <c r="F306" s="3">
        <v>92.26</v>
      </c>
      <c r="G306" s="3">
        <v>68.83</v>
      </c>
      <c r="H306" s="3">
        <v>71.349999999999994</v>
      </c>
      <c r="I306" s="3">
        <v>69.5</v>
      </c>
      <c r="J306" s="3">
        <v>60.94</v>
      </c>
      <c r="K306" s="3">
        <v>17.48</v>
      </c>
      <c r="L306" s="3">
        <v>69049.039999999994</v>
      </c>
      <c r="M306" s="3">
        <v>61908.14</v>
      </c>
      <c r="N306" s="3">
        <v>10.625</v>
      </c>
      <c r="O306" s="3">
        <v>7.3929999999999996E-2</v>
      </c>
      <c r="P306" s="3">
        <v>3.0750000000000002</v>
      </c>
      <c r="Q306" s="3">
        <v>111.75</v>
      </c>
      <c r="R306" s="3">
        <v>25.725000000000001</v>
      </c>
      <c r="S306" s="3">
        <v>118.23</v>
      </c>
    </row>
    <row r="307" spans="1:19" ht="14.4" x14ac:dyDescent="0.3">
      <c r="A307" s="2">
        <v>44350</v>
      </c>
      <c r="B307" s="3">
        <v>59.18</v>
      </c>
      <c r="C307" s="3">
        <v>78.599999999999994</v>
      </c>
      <c r="D307" s="3">
        <v>94.65</v>
      </c>
      <c r="E307" s="3">
        <v>112.1</v>
      </c>
      <c r="F307" s="3">
        <v>92.26</v>
      </c>
      <c r="G307" s="3">
        <v>68.81</v>
      </c>
      <c r="H307" s="3">
        <v>71.31</v>
      </c>
      <c r="I307" s="3">
        <v>69.47</v>
      </c>
      <c r="J307" s="3">
        <v>61.18</v>
      </c>
      <c r="K307" s="3">
        <v>17.559999999999999</v>
      </c>
      <c r="L307" s="3">
        <v>67791.38</v>
      </c>
      <c r="M307" s="3">
        <v>60169.48</v>
      </c>
      <c r="N307" s="3">
        <v>10.625</v>
      </c>
      <c r="O307" s="3">
        <v>7.3289999999999994E-2</v>
      </c>
      <c r="P307" s="3">
        <v>3.0409999999999999</v>
      </c>
      <c r="Q307" s="3">
        <v>111.6</v>
      </c>
      <c r="R307" s="3">
        <v>25.704999999999998</v>
      </c>
      <c r="S307" s="3">
        <v>119</v>
      </c>
    </row>
    <row r="308" spans="1:19" ht="14.4" x14ac:dyDescent="0.3">
      <c r="A308" s="2">
        <v>44351</v>
      </c>
      <c r="B308" s="3">
        <v>61.73</v>
      </c>
      <c r="C308" s="3">
        <v>82.33</v>
      </c>
      <c r="D308" s="3">
        <v>98.66</v>
      </c>
      <c r="E308" s="3">
        <v>112.6</v>
      </c>
      <c r="F308" s="3">
        <v>96.44</v>
      </c>
      <c r="G308" s="3">
        <v>69.62</v>
      </c>
      <c r="H308" s="3">
        <v>71.89</v>
      </c>
      <c r="I308" s="3">
        <v>70.03</v>
      </c>
      <c r="J308" s="3">
        <v>61.45</v>
      </c>
      <c r="K308" s="3">
        <v>17.399999999999999</v>
      </c>
      <c r="L308" s="3">
        <v>67825.02</v>
      </c>
      <c r="M308" s="3">
        <v>60181.36</v>
      </c>
      <c r="N308" s="3">
        <v>10.605</v>
      </c>
      <c r="O308" s="3">
        <v>7.4349999999999999E-2</v>
      </c>
      <c r="P308" s="3">
        <v>3.097</v>
      </c>
      <c r="Q308" s="3">
        <v>112.18</v>
      </c>
      <c r="R308" s="3">
        <v>25.795000000000002</v>
      </c>
      <c r="S308" s="3">
        <v>118.33</v>
      </c>
    </row>
    <row r="309" spans="1:19" ht="14.4" x14ac:dyDescent="0.3">
      <c r="A309" s="2">
        <v>44354</v>
      </c>
      <c r="B309" s="3">
        <v>61.73</v>
      </c>
      <c r="C309" s="3">
        <v>82.33</v>
      </c>
      <c r="D309" s="3">
        <v>98.66</v>
      </c>
      <c r="E309" s="3">
        <v>112.6</v>
      </c>
      <c r="F309" s="3">
        <v>96.44</v>
      </c>
      <c r="G309" s="3">
        <v>69.23</v>
      </c>
      <c r="H309" s="3">
        <v>71.489999999999995</v>
      </c>
      <c r="I309" s="3">
        <v>69.84</v>
      </c>
      <c r="J309" s="3">
        <v>61.05</v>
      </c>
      <c r="K309" s="3">
        <v>17.46</v>
      </c>
      <c r="L309" s="3">
        <v>67575.42</v>
      </c>
      <c r="M309" s="3">
        <v>59406.03</v>
      </c>
      <c r="N309" s="3">
        <v>10.675000000000001</v>
      </c>
      <c r="O309" s="3">
        <v>7.4050000000000005E-2</v>
      </c>
      <c r="P309" s="3">
        <v>3.07</v>
      </c>
      <c r="Q309" s="3">
        <v>110.4</v>
      </c>
      <c r="R309" s="3">
        <v>26.49</v>
      </c>
      <c r="S309" s="3">
        <v>121.73</v>
      </c>
    </row>
    <row r="310" spans="1:19" ht="14.4" x14ac:dyDescent="0.3">
      <c r="A310" s="2">
        <v>44355</v>
      </c>
      <c r="B310" s="3">
        <v>61.73</v>
      </c>
      <c r="C310" s="3">
        <v>82.33</v>
      </c>
      <c r="D310" s="3">
        <v>98.66</v>
      </c>
      <c r="E310" s="3">
        <v>112.6</v>
      </c>
      <c r="F310" s="3">
        <v>96.44</v>
      </c>
      <c r="G310" s="3">
        <v>70.05</v>
      </c>
      <c r="H310" s="3">
        <v>72.22</v>
      </c>
      <c r="I310" s="3">
        <v>70.36</v>
      </c>
      <c r="J310" s="3">
        <v>62.13</v>
      </c>
      <c r="K310" s="3">
        <v>17.32</v>
      </c>
      <c r="L310" s="3">
        <v>67644.84</v>
      </c>
      <c r="M310" s="3">
        <v>58555.01</v>
      </c>
      <c r="N310" s="3">
        <v>10.85</v>
      </c>
      <c r="O310" s="3">
        <v>7.3630000000000001E-2</v>
      </c>
      <c r="P310" s="3">
        <v>3.1280000000000001</v>
      </c>
      <c r="Q310" s="3">
        <v>111.08</v>
      </c>
      <c r="R310" s="3">
        <v>27.8</v>
      </c>
      <c r="S310" s="3">
        <v>123.62</v>
      </c>
    </row>
    <row r="311" spans="1:19" ht="14.4" x14ac:dyDescent="0.3">
      <c r="A311" s="2">
        <v>44356</v>
      </c>
      <c r="B311" s="3">
        <v>61.73</v>
      </c>
      <c r="C311" s="3">
        <v>82.33</v>
      </c>
      <c r="D311" s="3">
        <v>98.66</v>
      </c>
      <c r="E311" s="3">
        <v>112.6</v>
      </c>
      <c r="F311" s="3">
        <v>96.44</v>
      </c>
      <c r="G311" s="3">
        <v>69.959999999999994</v>
      </c>
      <c r="H311" s="3">
        <v>72.22</v>
      </c>
      <c r="I311" s="3">
        <v>70.34</v>
      </c>
      <c r="J311" s="3">
        <v>62.65</v>
      </c>
      <c r="K311" s="3">
        <v>17.52</v>
      </c>
      <c r="L311" s="3">
        <v>67681.47</v>
      </c>
      <c r="M311" s="3">
        <v>58519.58</v>
      </c>
      <c r="N311" s="3">
        <v>10.9</v>
      </c>
      <c r="O311" s="3">
        <v>7.2639999999999996E-2</v>
      </c>
      <c r="P311" s="3">
        <v>3.129</v>
      </c>
      <c r="Q311" s="3">
        <v>110.85</v>
      </c>
      <c r="R311" s="3">
        <v>28.3</v>
      </c>
      <c r="S311" s="3">
        <v>119.82</v>
      </c>
    </row>
    <row r="312" spans="1:19" ht="14.4" x14ac:dyDescent="0.3">
      <c r="A312" s="2">
        <v>44357</v>
      </c>
      <c r="B312" s="3">
        <v>61.73</v>
      </c>
      <c r="C312" s="3">
        <v>82.33</v>
      </c>
      <c r="D312" s="3">
        <v>98.66</v>
      </c>
      <c r="E312" s="3">
        <v>112.6</v>
      </c>
      <c r="F312" s="3">
        <v>96.44</v>
      </c>
      <c r="G312" s="3">
        <v>70.290000000000006</v>
      </c>
      <c r="H312" s="3">
        <v>72.52</v>
      </c>
      <c r="I312" s="3">
        <v>70.52</v>
      </c>
      <c r="J312" s="3">
        <v>62.75</v>
      </c>
      <c r="K312" s="3">
        <v>17.48</v>
      </c>
      <c r="L312" s="3">
        <v>67542.84</v>
      </c>
      <c r="M312" s="3">
        <v>58148.22</v>
      </c>
      <c r="N312" s="3">
        <v>10.925000000000001</v>
      </c>
      <c r="O312" s="3">
        <v>7.3480000000000004E-2</v>
      </c>
      <c r="P312" s="3">
        <v>3.149</v>
      </c>
      <c r="Q312" s="3">
        <v>111.72</v>
      </c>
      <c r="R312" s="3">
        <v>28.684999999999999</v>
      </c>
      <c r="S312" s="3">
        <v>121.05</v>
      </c>
    </row>
    <row r="313" spans="1:19" ht="14.4" x14ac:dyDescent="0.3">
      <c r="A313" s="2">
        <v>44358</v>
      </c>
      <c r="B313" s="3">
        <v>66.44</v>
      </c>
      <c r="C313" s="3">
        <v>86.03</v>
      </c>
      <c r="D313" s="3">
        <v>101.82</v>
      </c>
      <c r="E313" s="3">
        <v>117.59</v>
      </c>
      <c r="F313" s="3">
        <v>99.19</v>
      </c>
      <c r="G313" s="3">
        <v>70.91</v>
      </c>
      <c r="H313" s="3">
        <v>72.69</v>
      </c>
      <c r="I313" s="3">
        <v>70.61</v>
      </c>
      <c r="J313" s="3">
        <v>62.17</v>
      </c>
      <c r="K313" s="3">
        <v>17.66</v>
      </c>
      <c r="L313" s="3">
        <v>67723.91</v>
      </c>
      <c r="M313" s="3">
        <v>57991.43</v>
      </c>
      <c r="N313" s="3">
        <v>10.92</v>
      </c>
      <c r="O313" s="3">
        <v>7.3039999999999994E-2</v>
      </c>
      <c r="P313" s="3">
        <v>3.2959999999999998</v>
      </c>
      <c r="Q313" s="3">
        <v>112.67</v>
      </c>
      <c r="R313" s="3">
        <v>27.844999999999999</v>
      </c>
      <c r="S313" s="3">
        <v>121.58</v>
      </c>
    </row>
    <row r="314" spans="1:19" ht="14.4" x14ac:dyDescent="0.3">
      <c r="A314" s="2">
        <v>44361</v>
      </c>
      <c r="B314" s="3">
        <v>66.44</v>
      </c>
      <c r="C314" s="3">
        <v>86.03</v>
      </c>
      <c r="D314" s="3">
        <v>101.82</v>
      </c>
      <c r="E314" s="3">
        <v>117.59</v>
      </c>
      <c r="F314" s="3">
        <v>99.19</v>
      </c>
      <c r="G314" s="3">
        <v>70.88</v>
      </c>
      <c r="H314" s="3">
        <v>72.86</v>
      </c>
      <c r="I314" s="3">
        <v>70.78</v>
      </c>
      <c r="J314" s="3">
        <v>62.07</v>
      </c>
      <c r="K314" s="5">
        <f>FORECAST(A314,K308:K313,A308:A313)</f>
        <v>17.648648648648759</v>
      </c>
      <c r="L314" s="3">
        <v>67941.48</v>
      </c>
      <c r="M314" s="3">
        <v>57314.66</v>
      </c>
      <c r="N314" s="3">
        <v>10.92</v>
      </c>
      <c r="O314" s="3">
        <v>7.2569999999999996E-2</v>
      </c>
      <c r="P314" s="3">
        <v>3.3519999999999999</v>
      </c>
      <c r="Q314" s="3">
        <v>113.84</v>
      </c>
      <c r="R314" s="3">
        <v>28.81</v>
      </c>
      <c r="S314" s="3">
        <v>122</v>
      </c>
    </row>
    <row r="315" spans="1:19" ht="14.4" x14ac:dyDescent="0.3">
      <c r="A315" s="2">
        <v>44362</v>
      </c>
      <c r="B315" s="3">
        <v>66.44</v>
      </c>
      <c r="C315" s="3">
        <v>86.03</v>
      </c>
      <c r="D315" s="3">
        <v>101.82</v>
      </c>
      <c r="E315" s="3">
        <v>117.59</v>
      </c>
      <c r="F315" s="3">
        <v>99.19</v>
      </c>
      <c r="G315" s="3">
        <v>72.12</v>
      </c>
      <c r="H315" s="3">
        <v>73.989999999999995</v>
      </c>
      <c r="I315" s="3">
        <v>71.39</v>
      </c>
      <c r="J315" s="3">
        <v>64.33</v>
      </c>
      <c r="K315" s="3">
        <v>17.54</v>
      </c>
      <c r="L315" s="3">
        <v>67310.570000000007</v>
      </c>
      <c r="M315" s="3">
        <v>56313.69</v>
      </c>
      <c r="N315" s="3">
        <v>10.923999999999999</v>
      </c>
      <c r="O315" s="3">
        <v>7.2569999999999996E-2</v>
      </c>
      <c r="P315" s="3">
        <v>3.24</v>
      </c>
      <c r="Q315" s="3">
        <v>114.04</v>
      </c>
      <c r="R315" s="3">
        <v>28.135000000000002</v>
      </c>
      <c r="S315" s="3">
        <v>125.12</v>
      </c>
    </row>
    <row r="316" spans="1:19" ht="14.4" x14ac:dyDescent="0.3">
      <c r="A316" s="2">
        <v>44363</v>
      </c>
      <c r="B316" s="3">
        <v>66.44</v>
      </c>
      <c r="C316" s="3">
        <v>86.03</v>
      </c>
      <c r="D316" s="3">
        <v>101.82</v>
      </c>
      <c r="E316" s="3">
        <v>117.59</v>
      </c>
      <c r="F316" s="3">
        <v>99.19</v>
      </c>
      <c r="G316" s="3">
        <v>72.150000000000006</v>
      </c>
      <c r="H316" s="3">
        <v>74.39</v>
      </c>
      <c r="I316" s="3">
        <v>71.56</v>
      </c>
      <c r="J316" s="3">
        <v>64.099999999999994</v>
      </c>
      <c r="K316" s="3">
        <v>17.54</v>
      </c>
      <c r="L316" s="5">
        <f>FORECAST(A316,L310:L315,A310:A315)</f>
        <v>67589.27004291839</v>
      </c>
      <c r="M316" s="5">
        <f>FORECAST(A316,M310:M315,A310:A315)</f>
        <v>56380.650772530586</v>
      </c>
      <c r="N316" s="3">
        <v>11.63</v>
      </c>
      <c r="O316" s="3">
        <v>7.1309999999999998E-2</v>
      </c>
      <c r="P316" s="3">
        <v>3.2509999999999999</v>
      </c>
      <c r="Q316" s="3">
        <v>113.84</v>
      </c>
      <c r="R316" s="3">
        <v>28.03</v>
      </c>
      <c r="S316" s="3">
        <v>124.88</v>
      </c>
    </row>
    <row r="317" spans="1:19" ht="14.4" x14ac:dyDescent="0.3">
      <c r="A317" s="2">
        <v>44364</v>
      </c>
      <c r="B317" s="3">
        <v>66.44</v>
      </c>
      <c r="C317" s="3">
        <v>86.03</v>
      </c>
      <c r="D317" s="3">
        <v>101.82</v>
      </c>
      <c r="E317" s="3">
        <v>117.59</v>
      </c>
      <c r="F317" s="3">
        <v>99.19</v>
      </c>
      <c r="G317" s="3">
        <v>71.040000000000006</v>
      </c>
      <c r="H317" s="3">
        <v>73.08</v>
      </c>
      <c r="I317" s="3">
        <v>70.94</v>
      </c>
      <c r="J317" s="3">
        <v>61.99</v>
      </c>
      <c r="K317" s="3">
        <v>17.5</v>
      </c>
      <c r="L317" s="3">
        <v>66585.48</v>
      </c>
      <c r="M317" s="3">
        <v>53467.97</v>
      </c>
      <c r="N317" s="3">
        <v>11.595000000000001</v>
      </c>
      <c r="O317" s="3">
        <v>7.0989999999999998E-2</v>
      </c>
      <c r="P317" s="3">
        <v>3.2530000000000001</v>
      </c>
      <c r="Q317" s="3">
        <v>114.02</v>
      </c>
      <c r="R317" s="3">
        <v>28.31</v>
      </c>
      <c r="S317" s="3">
        <v>124.37</v>
      </c>
    </row>
    <row r="318" spans="1:19" ht="14.4" x14ac:dyDescent="0.3">
      <c r="A318" s="2">
        <v>44365</v>
      </c>
      <c r="B318" s="3">
        <v>65.540000000000006</v>
      </c>
      <c r="C318" s="3">
        <v>86.48</v>
      </c>
      <c r="D318" s="3">
        <v>103.31</v>
      </c>
      <c r="E318" s="3">
        <v>116.28</v>
      </c>
      <c r="F318" s="3">
        <v>102.04</v>
      </c>
      <c r="G318" s="3">
        <v>71.64</v>
      </c>
      <c r="H318" s="3">
        <v>73.510000000000005</v>
      </c>
      <c r="I318" s="3">
        <v>71.069999999999993</v>
      </c>
      <c r="J318" s="3">
        <v>60.4</v>
      </c>
      <c r="K318" s="3">
        <v>16.940000000000001</v>
      </c>
      <c r="L318" s="3">
        <v>65635.23</v>
      </c>
      <c r="M318" s="3">
        <v>53988.66</v>
      </c>
      <c r="N318" s="3">
        <v>11.87</v>
      </c>
      <c r="O318" s="3">
        <v>6.9470000000000004E-2</v>
      </c>
      <c r="P318" s="3">
        <v>3.2149999999999999</v>
      </c>
      <c r="Q318" s="3">
        <v>112.76</v>
      </c>
      <c r="R318" s="3">
        <v>29.405000000000001</v>
      </c>
      <c r="S318" s="3">
        <v>126.08</v>
      </c>
    </row>
    <row r="319" spans="1:19" ht="14.4" x14ac:dyDescent="0.3">
      <c r="A319" s="2">
        <v>44368</v>
      </c>
      <c r="B319" s="3">
        <v>65.540000000000006</v>
      </c>
      <c r="C319" s="3">
        <v>86.48</v>
      </c>
      <c r="D319" s="3">
        <v>103.31</v>
      </c>
      <c r="E319" s="3">
        <v>116.28</v>
      </c>
      <c r="F319" s="3">
        <v>102.04</v>
      </c>
      <c r="G319" s="3">
        <v>73.66</v>
      </c>
      <c r="H319" s="3">
        <v>74.900000000000006</v>
      </c>
      <c r="I319" s="3">
        <v>71.48</v>
      </c>
      <c r="J319" s="3">
        <v>62.59</v>
      </c>
      <c r="K319" s="3">
        <v>16.88</v>
      </c>
      <c r="L319" s="3">
        <v>65563.48</v>
      </c>
      <c r="M319" s="3">
        <v>53504.33</v>
      </c>
      <c r="N319" s="3">
        <v>11.95</v>
      </c>
      <c r="O319" s="3">
        <v>7.0220000000000005E-2</v>
      </c>
      <c r="P319" s="3">
        <v>3.1909999999999998</v>
      </c>
      <c r="Q319" s="3">
        <v>113.7</v>
      </c>
      <c r="R319" s="3">
        <v>29.614999999999998</v>
      </c>
      <c r="S319" s="3">
        <v>125.17</v>
      </c>
    </row>
    <row r="320" spans="1:19" ht="14.4" x14ac:dyDescent="0.3">
      <c r="A320" s="2">
        <v>44369</v>
      </c>
      <c r="B320" s="3">
        <v>65.540000000000006</v>
      </c>
      <c r="C320" s="3">
        <v>86.48</v>
      </c>
      <c r="D320" s="3">
        <v>103.31</v>
      </c>
      <c r="E320" s="3">
        <v>116.28</v>
      </c>
      <c r="F320" s="3">
        <v>102.04</v>
      </c>
      <c r="G320" s="3">
        <v>73.06</v>
      </c>
      <c r="H320" s="3">
        <v>74.81</v>
      </c>
      <c r="I320" s="3">
        <v>71.41</v>
      </c>
      <c r="J320" s="3">
        <v>63.79</v>
      </c>
      <c r="K320" s="3">
        <v>16.940000000000001</v>
      </c>
      <c r="L320" s="3">
        <v>65551.73</v>
      </c>
      <c r="M320" s="3">
        <v>53340.08</v>
      </c>
      <c r="N320" s="3">
        <v>12.4</v>
      </c>
      <c r="O320" s="3">
        <v>7.0040000000000005E-2</v>
      </c>
      <c r="P320" s="3">
        <v>3.258</v>
      </c>
      <c r="Q320" s="3">
        <v>114.45</v>
      </c>
      <c r="R320" s="3">
        <v>30.734999999999999</v>
      </c>
      <c r="S320" s="3">
        <v>123.12</v>
      </c>
    </row>
    <row r="321" spans="1:19" ht="14.4" x14ac:dyDescent="0.3">
      <c r="A321" s="2">
        <v>44370</v>
      </c>
      <c r="B321" s="3">
        <v>65.540000000000006</v>
      </c>
      <c r="C321" s="3">
        <v>86.48</v>
      </c>
      <c r="D321" s="3">
        <v>103.31</v>
      </c>
      <c r="E321" s="3">
        <v>116.28</v>
      </c>
      <c r="F321" s="3">
        <v>102.04</v>
      </c>
      <c r="G321" s="3">
        <v>73.08</v>
      </c>
      <c r="H321" s="3">
        <v>75.19</v>
      </c>
      <c r="I321" s="3">
        <v>71.52</v>
      </c>
      <c r="J321" s="3">
        <v>64.260000000000005</v>
      </c>
      <c r="K321" s="3">
        <v>17.36</v>
      </c>
      <c r="L321" s="3">
        <v>65819.63</v>
      </c>
      <c r="M321" s="3">
        <v>54982.21</v>
      </c>
      <c r="N321" s="3">
        <v>12.605</v>
      </c>
      <c r="O321" s="3">
        <v>7.0309999999999997E-2</v>
      </c>
      <c r="P321" s="3">
        <v>3.3330000000000002</v>
      </c>
      <c r="Q321" s="3">
        <v>116.64</v>
      </c>
      <c r="R321" s="3">
        <v>31.545000000000002</v>
      </c>
      <c r="S321" s="3">
        <v>123.73</v>
      </c>
    </row>
    <row r="322" spans="1:19" ht="14.4" x14ac:dyDescent="0.3">
      <c r="A322" s="2">
        <v>44371</v>
      </c>
      <c r="B322" s="3">
        <v>65.540000000000006</v>
      </c>
      <c r="C322" s="3">
        <v>86.48</v>
      </c>
      <c r="D322" s="3">
        <v>103.31</v>
      </c>
      <c r="E322" s="3">
        <v>116.28</v>
      </c>
      <c r="F322" s="3">
        <v>102.04</v>
      </c>
      <c r="G322" s="3">
        <v>73.3</v>
      </c>
      <c r="H322" s="3">
        <v>75.56</v>
      </c>
      <c r="I322" s="3">
        <v>71.599999999999994</v>
      </c>
      <c r="J322" s="3">
        <v>64.52</v>
      </c>
      <c r="K322" s="3">
        <v>17.52</v>
      </c>
      <c r="L322" s="3">
        <v>66263.490000000005</v>
      </c>
      <c r="M322" s="3">
        <v>55247.91</v>
      </c>
      <c r="N322" s="3">
        <v>12.625</v>
      </c>
      <c r="O322" s="3">
        <v>7.0389999999999994E-2</v>
      </c>
      <c r="P322" s="3">
        <v>3.4180000000000001</v>
      </c>
      <c r="Q322" s="3">
        <v>118.09</v>
      </c>
      <c r="R322" s="3">
        <v>32.015000000000001</v>
      </c>
      <c r="S322" s="3">
        <v>124.83</v>
      </c>
    </row>
    <row r="323" spans="1:19" ht="14.4" x14ac:dyDescent="0.3">
      <c r="A323" s="2">
        <v>44372</v>
      </c>
      <c r="B323" s="3">
        <v>68.08</v>
      </c>
      <c r="C323" s="3">
        <v>87.79</v>
      </c>
      <c r="D323" s="3">
        <v>105.41</v>
      </c>
      <c r="E323" s="3">
        <v>115.27</v>
      </c>
      <c r="F323" s="3">
        <v>103.28</v>
      </c>
      <c r="G323" s="3">
        <v>74.05</v>
      </c>
      <c r="H323" s="3">
        <v>76.180000000000007</v>
      </c>
      <c r="I323" s="3">
        <v>71.650000000000006</v>
      </c>
      <c r="J323" s="3">
        <v>64.66</v>
      </c>
      <c r="K323" s="3">
        <v>17.88</v>
      </c>
      <c r="L323" s="3">
        <v>66215.47</v>
      </c>
      <c r="M323" s="3">
        <v>54614.12</v>
      </c>
      <c r="N323" s="3">
        <v>12.755000000000001</v>
      </c>
      <c r="O323" s="3">
        <v>7.0639999999999994E-2</v>
      </c>
      <c r="P323" s="3">
        <v>3.496</v>
      </c>
      <c r="Q323" s="3">
        <v>119.32</v>
      </c>
      <c r="R323" s="3">
        <v>32.384999999999998</v>
      </c>
      <c r="S323" s="3">
        <v>125.27</v>
      </c>
    </row>
    <row r="324" spans="1:19" ht="14.4" x14ac:dyDescent="0.3">
      <c r="A324" s="2">
        <v>44375</v>
      </c>
      <c r="B324" s="3">
        <v>68.08</v>
      </c>
      <c r="C324" s="3">
        <v>87.79</v>
      </c>
      <c r="D324" s="3">
        <v>105.41</v>
      </c>
      <c r="E324" s="3">
        <v>115.27</v>
      </c>
      <c r="F324" s="3">
        <v>103.28</v>
      </c>
      <c r="G324" s="3">
        <v>72.91</v>
      </c>
      <c r="H324" s="3">
        <v>74.680000000000007</v>
      </c>
      <c r="I324" s="3">
        <v>71.540000000000006</v>
      </c>
      <c r="J324" s="3">
        <v>63.01</v>
      </c>
      <c r="K324" s="3">
        <v>17.3</v>
      </c>
      <c r="L324" s="3">
        <v>65809.350000000006</v>
      </c>
      <c r="M324" s="3">
        <v>54455.98</v>
      </c>
      <c r="N324" s="3">
        <v>12.7</v>
      </c>
      <c r="O324" s="3">
        <v>7.0180000000000006E-2</v>
      </c>
      <c r="P324" s="3">
        <v>3.617</v>
      </c>
      <c r="Q324" s="3">
        <v>118.79</v>
      </c>
      <c r="R324" s="3">
        <v>32.29</v>
      </c>
      <c r="S324" s="3">
        <v>128.1</v>
      </c>
    </row>
    <row r="325" spans="1:19" ht="14.4" x14ac:dyDescent="0.3">
      <c r="A325" s="2">
        <v>44376</v>
      </c>
      <c r="B325" s="3">
        <v>68.08</v>
      </c>
      <c r="C325" s="3">
        <v>87.79</v>
      </c>
      <c r="D325" s="3">
        <v>105.41</v>
      </c>
      <c r="E325" s="3">
        <v>115.27</v>
      </c>
      <c r="F325" s="3">
        <v>103.28</v>
      </c>
      <c r="G325" s="3">
        <v>72.98</v>
      </c>
      <c r="H325" s="3">
        <v>74.760000000000005</v>
      </c>
      <c r="I325" s="3">
        <v>71.569999999999993</v>
      </c>
      <c r="J325" s="3">
        <v>62.62</v>
      </c>
      <c r="K325" s="3">
        <v>17.12</v>
      </c>
      <c r="L325" s="3">
        <v>66548.710000000006</v>
      </c>
      <c r="M325" s="3">
        <v>54050.95</v>
      </c>
      <c r="N325" s="3">
        <v>12.975</v>
      </c>
      <c r="O325" s="3">
        <v>6.9629999999999997E-2</v>
      </c>
      <c r="P325" s="3">
        <v>3.63</v>
      </c>
      <c r="Q325" s="3">
        <v>118.76</v>
      </c>
      <c r="R325" s="3">
        <v>33.485999999999997</v>
      </c>
      <c r="S325" s="3">
        <v>126.35</v>
      </c>
    </row>
    <row r="326" spans="1:19" ht="14.4" x14ac:dyDescent="0.3">
      <c r="A326" s="2">
        <v>44377</v>
      </c>
      <c r="B326" s="3">
        <v>68.08</v>
      </c>
      <c r="C326" s="3">
        <v>87.79</v>
      </c>
      <c r="D326" s="3">
        <v>105.41</v>
      </c>
      <c r="E326" s="3">
        <v>115.27</v>
      </c>
      <c r="F326" s="3">
        <v>103.28</v>
      </c>
      <c r="G326" s="3">
        <v>73.47</v>
      </c>
      <c r="H326" s="3">
        <v>75.13</v>
      </c>
      <c r="I326" s="3">
        <v>71.569999999999993</v>
      </c>
      <c r="J326" s="3">
        <v>63.08</v>
      </c>
      <c r="K326" s="3">
        <v>15.22</v>
      </c>
      <c r="L326" s="3">
        <v>66248.740000000005</v>
      </c>
      <c r="M326" s="3">
        <v>54184.77</v>
      </c>
      <c r="N326" s="3">
        <v>13.11</v>
      </c>
      <c r="O326" s="3">
        <v>7.0019999999999999E-2</v>
      </c>
      <c r="P326" s="3">
        <v>3.65</v>
      </c>
      <c r="Q326" s="3">
        <v>118.7</v>
      </c>
      <c r="R326" s="3">
        <v>34.619999999999997</v>
      </c>
      <c r="S326" s="3">
        <v>125.05</v>
      </c>
    </row>
    <row r="327" spans="1:19" ht="14.4" x14ac:dyDescent="0.3">
      <c r="A327" s="2">
        <v>44378</v>
      </c>
      <c r="B327" s="3">
        <v>68.08</v>
      </c>
      <c r="C327" s="3">
        <v>87.79</v>
      </c>
      <c r="D327" s="3">
        <v>105.41</v>
      </c>
      <c r="E327" s="3">
        <v>115.27</v>
      </c>
      <c r="F327" s="3">
        <v>103.28</v>
      </c>
      <c r="G327" s="3">
        <v>75.23</v>
      </c>
      <c r="H327" s="3">
        <v>75.84</v>
      </c>
      <c r="I327" s="3">
        <v>73.88</v>
      </c>
      <c r="J327" s="3">
        <v>63.26</v>
      </c>
      <c r="K327" s="5">
        <f>FORECAST(A327,K321:K326,A321:A326)</f>
        <v>16.051726907631746</v>
      </c>
      <c r="L327" s="3">
        <v>66555.78</v>
      </c>
      <c r="M327" s="3">
        <v>55790.74</v>
      </c>
      <c r="N327" s="3">
        <v>13.23</v>
      </c>
      <c r="O327" s="3">
        <v>6.9309999999999997E-2</v>
      </c>
      <c r="P327" s="3">
        <v>3.661</v>
      </c>
      <c r="Q327" s="3">
        <v>118.84</v>
      </c>
      <c r="R327" s="3">
        <v>36.145000000000003</v>
      </c>
      <c r="S327" s="3">
        <v>126.8</v>
      </c>
    </row>
    <row r="328" spans="1:19" ht="14.4" x14ac:dyDescent="0.3">
      <c r="A328" s="2">
        <v>44379</v>
      </c>
      <c r="B328" s="3">
        <v>69</v>
      </c>
      <c r="C328" s="3">
        <v>89.18</v>
      </c>
      <c r="D328" s="3">
        <v>107.39</v>
      </c>
      <c r="E328" s="3">
        <v>115.27</v>
      </c>
      <c r="F328" s="3">
        <v>105.45</v>
      </c>
      <c r="G328" s="3">
        <v>75.16</v>
      </c>
      <c r="H328" s="3">
        <v>76.17</v>
      </c>
      <c r="I328" s="3">
        <v>74.23</v>
      </c>
      <c r="J328" s="3">
        <v>63.17</v>
      </c>
      <c r="K328" s="3">
        <v>14.94</v>
      </c>
      <c r="L328" s="3">
        <v>66323.759999999995</v>
      </c>
      <c r="M328" s="3">
        <v>55241.68</v>
      </c>
      <c r="N328" s="3">
        <v>13.115</v>
      </c>
      <c r="O328" s="3">
        <v>7.0139999999999994E-2</v>
      </c>
      <c r="P328" s="3">
        <v>3.7</v>
      </c>
      <c r="Q328" s="3">
        <v>118.83</v>
      </c>
      <c r="R328" s="3">
        <v>35.826999999999998</v>
      </c>
      <c r="S328" s="3">
        <v>127.33</v>
      </c>
    </row>
    <row r="329" spans="1:19" ht="14.4" x14ac:dyDescent="0.3">
      <c r="A329" s="2">
        <v>44382</v>
      </c>
      <c r="B329" s="3">
        <v>69</v>
      </c>
      <c r="C329" s="3">
        <v>89.18</v>
      </c>
      <c r="D329" s="3">
        <v>107.39</v>
      </c>
      <c r="E329" s="3">
        <v>115.27</v>
      </c>
      <c r="F329" s="3">
        <v>105.45</v>
      </c>
      <c r="G329" s="3">
        <v>76.25</v>
      </c>
      <c r="H329" s="3">
        <v>77.16</v>
      </c>
      <c r="I329" s="1">
        <f>(I328+I330)/2</f>
        <v>73.580000000000013</v>
      </c>
      <c r="J329" s="1">
        <f>(J328+J330)/2</f>
        <v>62.269999999999996</v>
      </c>
      <c r="K329" s="3">
        <v>15.42</v>
      </c>
      <c r="L329" s="3">
        <v>66166.86</v>
      </c>
      <c r="M329" s="3">
        <v>56127.839999999997</v>
      </c>
      <c r="N329" s="5">
        <f>FORECAST(A329,N323:N328,A323:A328)</f>
        <v>13.399729729730097</v>
      </c>
      <c r="O329" s="3">
        <v>7.0069999999999993E-2</v>
      </c>
      <c r="P329" s="3">
        <v>3.79</v>
      </c>
      <c r="Q329" s="1">
        <f>AVERAGE(Q328,Q330)</f>
        <v>118.405</v>
      </c>
      <c r="R329" s="5">
        <f>AVERAGE(R328,R330)</f>
        <v>34.965999999999994</v>
      </c>
      <c r="S329" s="3">
        <v>130.18</v>
      </c>
    </row>
    <row r="330" spans="1:19" ht="14.4" x14ac:dyDescent="0.3">
      <c r="A330" s="2">
        <v>44383</v>
      </c>
      <c r="B330" s="3">
        <v>69</v>
      </c>
      <c r="C330" s="3">
        <v>89.18</v>
      </c>
      <c r="D330" s="3">
        <v>107.39</v>
      </c>
      <c r="E330" s="3">
        <v>115.27</v>
      </c>
      <c r="F330" s="3">
        <v>105.45</v>
      </c>
      <c r="G330" s="3">
        <v>73.37</v>
      </c>
      <c r="H330" s="3">
        <v>74.53</v>
      </c>
      <c r="I330" s="3">
        <v>72.930000000000007</v>
      </c>
      <c r="J330" s="3">
        <v>61.37</v>
      </c>
      <c r="K330" s="3">
        <v>15.24</v>
      </c>
      <c r="L330" s="3">
        <v>65849.75</v>
      </c>
      <c r="M330" s="3">
        <v>56301.8</v>
      </c>
      <c r="N330" s="3">
        <v>12.885</v>
      </c>
      <c r="O330" s="3">
        <v>6.9470000000000004E-2</v>
      </c>
      <c r="P330" s="3">
        <v>3.637</v>
      </c>
      <c r="Q330" s="3">
        <v>117.98</v>
      </c>
      <c r="R330" s="3">
        <v>34.104999999999997</v>
      </c>
      <c r="S330" s="3">
        <v>130.97</v>
      </c>
    </row>
    <row r="331" spans="1:19" ht="14.4" x14ac:dyDescent="0.3">
      <c r="A331" s="2">
        <v>44384</v>
      </c>
      <c r="B331" s="3">
        <v>69</v>
      </c>
      <c r="C331" s="3">
        <v>89.18</v>
      </c>
      <c r="D331" s="3">
        <v>107.39</v>
      </c>
      <c r="E331" s="3">
        <v>115.27</v>
      </c>
      <c r="F331" s="3">
        <v>105.45</v>
      </c>
      <c r="G331" s="3">
        <v>72.2</v>
      </c>
      <c r="H331" s="3">
        <v>73.430000000000007</v>
      </c>
      <c r="I331" s="3">
        <v>72.08</v>
      </c>
      <c r="J331" s="3">
        <v>60.41</v>
      </c>
      <c r="K331" s="3">
        <v>15.32</v>
      </c>
      <c r="L331" s="3">
        <v>66806.36</v>
      </c>
      <c r="M331" s="3">
        <v>57533.98</v>
      </c>
      <c r="N331" s="3">
        <v>12.685</v>
      </c>
      <c r="O331" s="3">
        <v>6.9830000000000003E-2</v>
      </c>
      <c r="P331" s="3">
        <v>3.5960000000000001</v>
      </c>
      <c r="Q331" s="3">
        <v>118</v>
      </c>
      <c r="R331" s="3">
        <v>32.340000000000003</v>
      </c>
      <c r="S331" s="3">
        <v>132.02000000000001</v>
      </c>
    </row>
    <row r="332" spans="1:19" ht="14.4" x14ac:dyDescent="0.3">
      <c r="A332" s="2">
        <v>44385</v>
      </c>
      <c r="B332" s="3">
        <v>69</v>
      </c>
      <c r="C332" s="3">
        <v>89.18</v>
      </c>
      <c r="D332" s="3">
        <v>107.39</v>
      </c>
      <c r="E332" s="3">
        <v>115.27</v>
      </c>
      <c r="F332" s="3">
        <v>105.45</v>
      </c>
      <c r="G332" s="3">
        <v>72.94</v>
      </c>
      <c r="H332" s="3">
        <v>74.12</v>
      </c>
      <c r="I332" s="3">
        <v>72.58</v>
      </c>
      <c r="J332" s="3">
        <v>60.14</v>
      </c>
      <c r="K332" s="3">
        <v>14.92</v>
      </c>
      <c r="L332" s="3">
        <v>65243.5</v>
      </c>
      <c r="M332" s="3">
        <v>54565.49</v>
      </c>
      <c r="N332" s="3">
        <v>12.935</v>
      </c>
      <c r="O332" s="3">
        <v>6.9699999999999998E-2</v>
      </c>
      <c r="P332" s="3">
        <v>3.6880000000000002</v>
      </c>
      <c r="Q332" s="3">
        <v>118.06</v>
      </c>
      <c r="R332" s="3">
        <v>33.31</v>
      </c>
      <c r="S332" s="3">
        <v>131.78</v>
      </c>
    </row>
    <row r="333" spans="1:19" ht="14.4" x14ac:dyDescent="0.3">
      <c r="A333" s="2">
        <v>44386</v>
      </c>
      <c r="B333" s="3">
        <v>69.59</v>
      </c>
      <c r="C333" s="3">
        <v>91.35</v>
      </c>
      <c r="D333" s="3">
        <v>108.93</v>
      </c>
      <c r="E333" s="3">
        <v>116.79</v>
      </c>
      <c r="F333" s="3">
        <v>106.27</v>
      </c>
      <c r="G333" s="3">
        <v>74.56</v>
      </c>
      <c r="H333" s="3">
        <v>75.55</v>
      </c>
      <c r="I333" s="3">
        <v>73.72</v>
      </c>
      <c r="J333" s="3">
        <v>61.23</v>
      </c>
      <c r="K333" s="3">
        <v>14.92</v>
      </c>
      <c r="L333" s="3">
        <v>66385.570000000007</v>
      </c>
      <c r="M333" s="3">
        <v>54759.6</v>
      </c>
      <c r="N333" s="3">
        <v>13</v>
      </c>
      <c r="O333" s="3">
        <v>7.0499999999999993E-2</v>
      </c>
      <c r="P333" s="3">
        <v>3.6739999999999999</v>
      </c>
      <c r="Q333" s="3">
        <v>118.97</v>
      </c>
      <c r="R333" s="3">
        <v>36.631999999999998</v>
      </c>
      <c r="S333" s="3">
        <v>132.30000000000001</v>
      </c>
    </row>
    <row r="334" spans="1:19" ht="14.4" x14ac:dyDescent="0.3">
      <c r="A334" s="2">
        <v>44389</v>
      </c>
      <c r="B334" s="3">
        <v>69.59</v>
      </c>
      <c r="C334" s="3">
        <v>91.35</v>
      </c>
      <c r="D334" s="3">
        <v>108.93</v>
      </c>
      <c r="E334" s="3">
        <v>116.79</v>
      </c>
      <c r="F334" s="3">
        <v>106.27</v>
      </c>
      <c r="G334" s="3">
        <v>74.099999999999994</v>
      </c>
      <c r="H334" s="3">
        <v>75.16</v>
      </c>
      <c r="I334" s="3">
        <v>73.540000000000006</v>
      </c>
      <c r="J334" s="3">
        <v>61.17</v>
      </c>
      <c r="K334" s="3">
        <v>14.74</v>
      </c>
      <c r="L334" s="3">
        <v>67293.33</v>
      </c>
      <c r="M334" s="3">
        <v>55988.75</v>
      </c>
      <c r="N334" s="3">
        <v>13.01</v>
      </c>
      <c r="O334" s="3">
        <v>6.9339999999999999E-2</v>
      </c>
      <c r="P334" s="3">
        <v>3.7490000000000001</v>
      </c>
      <c r="Q334" s="3">
        <v>119.06</v>
      </c>
      <c r="R334" s="3">
        <v>34.65</v>
      </c>
      <c r="S334" s="3">
        <v>131.6</v>
      </c>
    </row>
    <row r="335" spans="1:19" ht="14.4" x14ac:dyDescent="0.3">
      <c r="A335" s="2">
        <v>44390</v>
      </c>
      <c r="B335" s="3">
        <v>69.59</v>
      </c>
      <c r="C335" s="3">
        <v>91.35</v>
      </c>
      <c r="D335" s="3">
        <v>108.93</v>
      </c>
      <c r="E335" s="3">
        <v>116.79</v>
      </c>
      <c r="F335" s="3">
        <v>106.27</v>
      </c>
      <c r="G335" s="3">
        <v>75.25</v>
      </c>
      <c r="H335" s="3">
        <v>76.489999999999995</v>
      </c>
      <c r="I335" s="3">
        <v>74.36</v>
      </c>
      <c r="J335" s="3">
        <v>60.88</v>
      </c>
      <c r="K335" s="3">
        <v>15</v>
      </c>
      <c r="L335" s="3">
        <v>67088.27</v>
      </c>
      <c r="M335" s="3">
        <v>57405.69</v>
      </c>
      <c r="N335" s="3">
        <v>12.97</v>
      </c>
      <c r="O335" s="3">
        <v>6.7839999999999998E-2</v>
      </c>
      <c r="P335" s="3">
        <v>3.6960000000000002</v>
      </c>
      <c r="Q335" s="3">
        <v>118.69</v>
      </c>
      <c r="R335" s="3">
        <v>35.465000000000003</v>
      </c>
      <c r="S335" s="3">
        <v>136.37</v>
      </c>
    </row>
    <row r="336" spans="1:19" ht="14.4" x14ac:dyDescent="0.3">
      <c r="A336" s="2">
        <v>44391</v>
      </c>
      <c r="B336" s="3">
        <v>69.59</v>
      </c>
      <c r="C336" s="3">
        <v>91.35</v>
      </c>
      <c r="D336" s="3">
        <v>108.93</v>
      </c>
      <c r="E336" s="3">
        <v>116.79</v>
      </c>
      <c r="F336" s="3">
        <v>106.27</v>
      </c>
      <c r="G336" s="3">
        <v>73.13</v>
      </c>
      <c r="H336" s="3">
        <v>74.760000000000005</v>
      </c>
      <c r="I336" s="3">
        <v>73.48</v>
      </c>
      <c r="J336" s="3">
        <v>59.53</v>
      </c>
      <c r="K336" s="3">
        <v>15.2</v>
      </c>
      <c r="L336" s="3">
        <v>67897.600000000006</v>
      </c>
      <c r="M336" s="3">
        <v>58500.84</v>
      </c>
      <c r="N336" s="3">
        <v>12.975</v>
      </c>
      <c r="O336" s="3">
        <v>6.9029999999999994E-2</v>
      </c>
      <c r="P336" s="3">
        <v>3.66</v>
      </c>
      <c r="Q336" s="3">
        <v>118.18</v>
      </c>
      <c r="R336" s="3">
        <v>34.774999999999999</v>
      </c>
      <c r="S336" s="3">
        <v>138.02000000000001</v>
      </c>
    </row>
    <row r="337" spans="1:19" ht="14.4" x14ac:dyDescent="0.3">
      <c r="A337" s="2">
        <v>44392</v>
      </c>
      <c r="B337" s="3">
        <v>69.59</v>
      </c>
      <c r="C337" s="3">
        <v>91.35</v>
      </c>
      <c r="D337" s="3">
        <v>108.93</v>
      </c>
      <c r="E337" s="3">
        <v>116.79</v>
      </c>
      <c r="F337" s="3">
        <v>106.27</v>
      </c>
      <c r="G337" s="3">
        <v>71.650000000000006</v>
      </c>
      <c r="H337" s="3">
        <v>73.47</v>
      </c>
      <c r="I337" s="3">
        <v>72.83</v>
      </c>
      <c r="J337" s="3">
        <v>58.95</v>
      </c>
      <c r="K337" s="3">
        <v>15.22</v>
      </c>
      <c r="L337" s="3">
        <v>67538.61</v>
      </c>
      <c r="M337" s="3">
        <v>57985.18</v>
      </c>
      <c r="N337" s="3">
        <v>12.973000000000001</v>
      </c>
      <c r="O337" s="3">
        <v>6.862E-2</v>
      </c>
      <c r="P337" s="3">
        <v>3.6139999999999999</v>
      </c>
      <c r="Q337" s="3">
        <v>117.99</v>
      </c>
      <c r="R337" s="3">
        <v>33.795000000000002</v>
      </c>
      <c r="S337" s="3">
        <v>136.47</v>
      </c>
    </row>
    <row r="338" spans="1:19" ht="14.4" x14ac:dyDescent="0.3">
      <c r="A338" s="2">
        <v>44393</v>
      </c>
      <c r="B338" s="3">
        <v>76.650000000000006</v>
      </c>
      <c r="C338" s="3">
        <v>98.11</v>
      </c>
      <c r="D338" s="3">
        <v>117.78</v>
      </c>
      <c r="E338" s="3">
        <v>121.27</v>
      </c>
      <c r="F338" s="3">
        <v>111.27</v>
      </c>
      <c r="G338" s="3">
        <v>71.81</v>
      </c>
      <c r="H338" s="3">
        <v>73.59</v>
      </c>
      <c r="I338" s="3">
        <v>72.92</v>
      </c>
      <c r="J338" s="3">
        <v>57.32</v>
      </c>
      <c r="K338" s="3">
        <v>15.24</v>
      </c>
      <c r="L338" s="3">
        <v>66529.53</v>
      </c>
      <c r="M338" s="3">
        <v>56143.62</v>
      </c>
      <c r="N338" s="3">
        <v>13.96</v>
      </c>
      <c r="O338" s="3">
        <v>6.9099999999999995E-2</v>
      </c>
      <c r="P338" s="3">
        <v>3.6739999999999999</v>
      </c>
      <c r="Q338" s="3">
        <v>118.06</v>
      </c>
      <c r="R338" s="3">
        <v>34.840000000000003</v>
      </c>
      <c r="S338" s="3">
        <v>137.44999999999999</v>
      </c>
    </row>
    <row r="339" spans="1:19" ht="14.4" x14ac:dyDescent="0.3">
      <c r="A339" s="2">
        <v>44396</v>
      </c>
      <c r="B339" s="3">
        <v>76.650000000000006</v>
      </c>
      <c r="C339" s="3">
        <v>98.11</v>
      </c>
      <c r="D339" s="3">
        <v>117.78</v>
      </c>
      <c r="E339" s="3">
        <v>121.27</v>
      </c>
      <c r="F339" s="3">
        <v>111.27</v>
      </c>
      <c r="G339" s="3">
        <v>66.42</v>
      </c>
      <c r="H339" s="3">
        <v>68.62</v>
      </c>
      <c r="I339" s="3">
        <v>71.010000000000005</v>
      </c>
      <c r="J339" s="3">
        <v>55.35</v>
      </c>
      <c r="K339" s="3">
        <v>15.24</v>
      </c>
      <c r="L339" s="3">
        <v>64804.74</v>
      </c>
      <c r="M339" s="3">
        <v>53836.9</v>
      </c>
      <c r="N339" s="3">
        <v>14.19</v>
      </c>
      <c r="O339" s="3">
        <v>6.8589999999999998E-2</v>
      </c>
      <c r="P339" s="3">
        <v>3.7789999999999999</v>
      </c>
      <c r="Q339" s="3">
        <v>117.36</v>
      </c>
      <c r="R339" s="3">
        <v>35.65</v>
      </c>
      <c r="S339" s="3">
        <v>145.32</v>
      </c>
    </row>
    <row r="340" spans="1:19" ht="14.4" x14ac:dyDescent="0.3">
      <c r="A340" s="2">
        <v>44397</v>
      </c>
      <c r="B340" s="3">
        <v>76.650000000000006</v>
      </c>
      <c r="C340" s="3">
        <v>98.11</v>
      </c>
      <c r="D340" s="3">
        <v>117.78</v>
      </c>
      <c r="E340" s="3">
        <v>121.27</v>
      </c>
      <c r="F340" s="3">
        <v>111.27</v>
      </c>
      <c r="G340" s="3">
        <v>67.42</v>
      </c>
      <c r="H340" s="3">
        <v>69.349999999999994</v>
      </c>
      <c r="I340" s="3">
        <v>71.28</v>
      </c>
      <c r="J340" s="3">
        <v>55.96</v>
      </c>
      <c r="K340" s="3">
        <v>15.02</v>
      </c>
      <c r="L340" s="3">
        <v>65724.679999999993</v>
      </c>
      <c r="M340" s="3">
        <v>54913.13</v>
      </c>
      <c r="N340" s="3">
        <v>14.035</v>
      </c>
      <c r="O340" s="3">
        <v>6.8419999999999995E-2</v>
      </c>
      <c r="P340" s="3">
        <v>3.8759999999999999</v>
      </c>
      <c r="Q340" s="3">
        <v>119.14</v>
      </c>
      <c r="R340" s="3">
        <v>35.164999999999999</v>
      </c>
      <c r="S340" s="3">
        <v>142.37</v>
      </c>
    </row>
    <row r="341" spans="1:19" ht="14.4" x14ac:dyDescent="0.3">
      <c r="A341" s="2">
        <v>44398</v>
      </c>
      <c r="B341" s="3">
        <v>76.650000000000006</v>
      </c>
      <c r="C341" s="3">
        <v>98.11</v>
      </c>
      <c r="D341" s="3">
        <v>117.78</v>
      </c>
      <c r="E341" s="3">
        <v>121.27</v>
      </c>
      <c r="F341" s="3">
        <v>111.27</v>
      </c>
      <c r="G341" s="3">
        <v>70.3</v>
      </c>
      <c r="H341" s="3">
        <v>72.23</v>
      </c>
      <c r="I341" s="3">
        <v>72.28</v>
      </c>
      <c r="J341" s="3">
        <v>57.76</v>
      </c>
      <c r="K341" s="3">
        <v>14.82</v>
      </c>
      <c r="L341" s="3">
        <v>66558.460000000006</v>
      </c>
      <c r="M341" s="3">
        <v>55004.68</v>
      </c>
      <c r="N341" s="3">
        <v>14.31</v>
      </c>
      <c r="O341" s="3">
        <v>6.8440000000000001E-2</v>
      </c>
      <c r="P341" s="3">
        <v>3.9590000000000001</v>
      </c>
      <c r="Q341" s="3">
        <v>120.23</v>
      </c>
      <c r="R341" s="3">
        <v>35.950000000000003</v>
      </c>
      <c r="S341" s="1">
        <f>S342</f>
        <v>148.57</v>
      </c>
    </row>
    <row r="342" spans="1:19" ht="14.4" x14ac:dyDescent="0.3">
      <c r="A342" s="2">
        <v>44399</v>
      </c>
      <c r="B342" s="3">
        <v>76.650000000000006</v>
      </c>
      <c r="C342" s="3">
        <v>98.11</v>
      </c>
      <c r="D342" s="3">
        <v>117.78</v>
      </c>
      <c r="E342" s="3">
        <v>121.27</v>
      </c>
      <c r="F342" s="3">
        <v>111.27</v>
      </c>
      <c r="G342" s="3">
        <v>71.91</v>
      </c>
      <c r="H342" s="3">
        <v>73.790000000000006</v>
      </c>
      <c r="I342" s="3">
        <v>72.81</v>
      </c>
      <c r="J342" s="3">
        <v>57.11</v>
      </c>
      <c r="K342" s="3">
        <v>15.02</v>
      </c>
      <c r="L342" s="3">
        <v>67404.27</v>
      </c>
      <c r="M342" s="3">
        <v>55816.69</v>
      </c>
      <c r="N342" s="3">
        <v>14.275</v>
      </c>
      <c r="O342" s="3">
        <v>6.8040000000000003E-2</v>
      </c>
      <c r="P342" s="3">
        <v>4.0030000000000001</v>
      </c>
      <c r="Q342" s="3">
        <v>120.37</v>
      </c>
      <c r="R342" s="3">
        <v>36.130000000000003</v>
      </c>
      <c r="S342" s="3">
        <v>148.57</v>
      </c>
    </row>
    <row r="343" spans="1:19" ht="14.4" x14ac:dyDescent="0.3">
      <c r="A343" s="2">
        <v>44400</v>
      </c>
      <c r="B343" s="3">
        <v>81.12</v>
      </c>
      <c r="C343" s="3">
        <v>102.56</v>
      </c>
      <c r="D343" s="3">
        <v>123.15</v>
      </c>
      <c r="E343" s="3">
        <v>129.15</v>
      </c>
      <c r="F343" s="3">
        <v>116.25</v>
      </c>
      <c r="G343" s="3">
        <v>72.069999999999993</v>
      </c>
      <c r="H343" s="3">
        <v>74.099999999999994</v>
      </c>
      <c r="I343" s="3">
        <v>72.87</v>
      </c>
      <c r="J343" s="3">
        <v>57.04</v>
      </c>
      <c r="K343" s="3">
        <v>15.14</v>
      </c>
      <c r="L343" s="3">
        <v>68063.7</v>
      </c>
      <c r="M343" s="3">
        <v>55876.03</v>
      </c>
      <c r="N343" s="3">
        <v>14.18</v>
      </c>
      <c r="O343" s="3">
        <v>6.7280000000000006E-2</v>
      </c>
      <c r="P343" s="3">
        <v>4.0599999999999996</v>
      </c>
      <c r="Q343" s="3">
        <v>121.36</v>
      </c>
      <c r="R343" s="3">
        <v>35.524999999999999</v>
      </c>
      <c r="S343" s="3">
        <v>147.87</v>
      </c>
    </row>
    <row r="344" spans="1:19" ht="14.4" x14ac:dyDescent="0.3">
      <c r="A344" s="2">
        <v>44403</v>
      </c>
      <c r="B344" s="3">
        <v>81.12</v>
      </c>
      <c r="C344" s="3">
        <v>102.56</v>
      </c>
      <c r="D344" s="3">
        <v>123.15</v>
      </c>
      <c r="E344" s="3">
        <v>129.15</v>
      </c>
      <c r="F344" s="3">
        <v>116.25</v>
      </c>
      <c r="G344" s="3">
        <v>71.91</v>
      </c>
      <c r="H344" s="3">
        <v>74.5</v>
      </c>
      <c r="I344" s="3">
        <v>72.83</v>
      </c>
      <c r="J344" s="3">
        <v>58.48</v>
      </c>
      <c r="K344" s="3">
        <v>14.82</v>
      </c>
      <c r="L344" s="3">
        <v>68051.05</v>
      </c>
      <c r="M344" s="3">
        <v>58073.2</v>
      </c>
      <c r="N344" s="3">
        <v>14.59</v>
      </c>
      <c r="O344" s="3">
        <v>6.7580000000000001E-2</v>
      </c>
      <c r="P344" s="3">
        <v>4.1020000000000003</v>
      </c>
      <c r="Q344" s="3">
        <v>120.43</v>
      </c>
      <c r="R344" s="3">
        <v>36.914999999999999</v>
      </c>
      <c r="S344" s="3">
        <v>146.58000000000001</v>
      </c>
    </row>
    <row r="345" spans="1:19" ht="14.4" x14ac:dyDescent="0.3">
      <c r="A345" s="2">
        <v>44404</v>
      </c>
      <c r="B345" s="3">
        <v>81.12</v>
      </c>
      <c r="C345" s="3">
        <v>102.56</v>
      </c>
      <c r="D345" s="3">
        <v>123.15</v>
      </c>
      <c r="E345" s="3">
        <v>129.15</v>
      </c>
      <c r="F345" s="3">
        <v>116.25</v>
      </c>
      <c r="G345" s="3">
        <v>71.650000000000006</v>
      </c>
      <c r="H345" s="3">
        <v>74.48</v>
      </c>
      <c r="I345" s="3">
        <v>72.81</v>
      </c>
      <c r="J345" s="3">
        <v>57.83</v>
      </c>
      <c r="K345" s="3">
        <v>14.54</v>
      </c>
      <c r="L345" s="3">
        <v>67340.72</v>
      </c>
      <c r="M345" s="3">
        <v>57682.1</v>
      </c>
      <c r="N345" s="3">
        <v>14.805</v>
      </c>
      <c r="O345" s="3">
        <v>6.7589999999999997E-2</v>
      </c>
      <c r="P345" s="3">
        <v>3.9710000000000001</v>
      </c>
      <c r="Q345" s="3">
        <v>121.05</v>
      </c>
      <c r="R345" s="3">
        <v>37.590000000000003</v>
      </c>
      <c r="S345" s="3">
        <v>143.05000000000001</v>
      </c>
    </row>
    <row r="346" spans="1:19" ht="14.4" x14ac:dyDescent="0.3">
      <c r="A346" s="2">
        <v>44405</v>
      </c>
      <c r="B346" s="3">
        <v>81.12</v>
      </c>
      <c r="C346" s="3">
        <v>102.56</v>
      </c>
      <c r="D346" s="3">
        <v>123.15</v>
      </c>
      <c r="E346" s="3">
        <v>129.15</v>
      </c>
      <c r="F346" s="3">
        <v>116.25</v>
      </c>
      <c r="G346" s="3">
        <v>72.39</v>
      </c>
      <c r="H346" s="3">
        <v>74.739999999999995</v>
      </c>
      <c r="I346" s="3">
        <v>72.81</v>
      </c>
      <c r="J346" s="3">
        <v>58.22</v>
      </c>
      <c r="K346" s="3">
        <v>14.54</v>
      </c>
      <c r="L346" s="3">
        <v>68525.539999999994</v>
      </c>
      <c r="M346" s="3">
        <v>58940.06</v>
      </c>
      <c r="N346" s="3">
        <v>15.085000000000001</v>
      </c>
      <c r="O346" s="3">
        <v>6.7739999999999995E-2</v>
      </c>
      <c r="P346" s="3">
        <v>4.0439999999999996</v>
      </c>
      <c r="Q346" s="3">
        <v>121.32</v>
      </c>
      <c r="R346" s="3">
        <v>39.700000000000003</v>
      </c>
      <c r="S346" s="3">
        <v>139.63</v>
      </c>
    </row>
    <row r="347" spans="1:19" ht="14.4" x14ac:dyDescent="0.3">
      <c r="A347" s="2">
        <v>44406</v>
      </c>
      <c r="B347" s="3">
        <v>81.12</v>
      </c>
      <c r="C347" s="3">
        <v>102.56</v>
      </c>
      <c r="D347" s="3">
        <v>123.15</v>
      </c>
      <c r="E347" s="3">
        <v>129.15</v>
      </c>
      <c r="F347" s="3">
        <v>116.25</v>
      </c>
      <c r="G347" s="3">
        <v>73.62</v>
      </c>
      <c r="H347" s="3">
        <v>76.05</v>
      </c>
      <c r="I347" s="3">
        <v>72.89</v>
      </c>
      <c r="J347" s="3">
        <v>58.93</v>
      </c>
      <c r="K347" s="3">
        <v>14.72</v>
      </c>
      <c r="L347" s="3">
        <v>69565.23</v>
      </c>
      <c r="M347" s="3">
        <v>60624.91</v>
      </c>
      <c r="N347" s="3">
        <v>15.25</v>
      </c>
      <c r="O347" s="3">
        <v>6.8659999999999999E-2</v>
      </c>
      <c r="P347" s="3">
        <v>4.0590000000000002</v>
      </c>
      <c r="Q347" s="3">
        <v>120.82</v>
      </c>
      <c r="R347" s="3">
        <v>41.154000000000003</v>
      </c>
      <c r="S347" s="3">
        <v>144.62</v>
      </c>
    </row>
    <row r="348" spans="1:19" ht="14.4" x14ac:dyDescent="0.3">
      <c r="A348" s="2">
        <v>44407</v>
      </c>
      <c r="B348" s="3">
        <v>82</v>
      </c>
      <c r="C348" s="3">
        <v>104.57</v>
      </c>
      <c r="D348" s="3">
        <v>125.64</v>
      </c>
      <c r="E348" s="3">
        <v>130.15</v>
      </c>
      <c r="F348" s="3">
        <v>117.69</v>
      </c>
      <c r="G348" s="3">
        <v>73.95</v>
      </c>
      <c r="H348" s="3">
        <v>76.33</v>
      </c>
      <c r="I348" s="3">
        <v>72.900000000000006</v>
      </c>
      <c r="J348" s="3">
        <v>57.57</v>
      </c>
      <c r="K348" s="3">
        <v>14.7</v>
      </c>
      <c r="L348" s="3">
        <v>68970.78</v>
      </c>
      <c r="M348" s="3">
        <v>59964.91</v>
      </c>
      <c r="N348" s="3">
        <v>14.755000000000001</v>
      </c>
      <c r="O348" s="3">
        <v>6.8599999999999994E-2</v>
      </c>
      <c r="P348" s="3">
        <v>3.9140000000000001</v>
      </c>
      <c r="Q348" s="3">
        <v>119.83</v>
      </c>
      <c r="R348" s="3">
        <v>40.755000000000003</v>
      </c>
      <c r="S348" s="3">
        <v>143.66999999999999</v>
      </c>
    </row>
    <row r="349" spans="1:19" ht="14.4" x14ac:dyDescent="0.3">
      <c r="A349" s="2">
        <v>44410</v>
      </c>
      <c r="B349" s="3">
        <v>82</v>
      </c>
      <c r="C349" s="3">
        <v>104.57</v>
      </c>
      <c r="D349" s="3">
        <v>125.64</v>
      </c>
      <c r="E349" s="3">
        <v>130.15</v>
      </c>
      <c r="F349" s="3">
        <v>117.69</v>
      </c>
      <c r="G349" s="3">
        <v>71.260000000000005</v>
      </c>
      <c r="H349" s="3">
        <v>72.89</v>
      </c>
      <c r="I349" s="3">
        <v>71.37</v>
      </c>
      <c r="J349" s="3">
        <v>57.58</v>
      </c>
      <c r="K349" s="3">
        <v>14.9</v>
      </c>
      <c r="L349" s="3">
        <v>68822.75</v>
      </c>
      <c r="M349" s="3">
        <v>59268.9</v>
      </c>
      <c r="N349" s="3">
        <v>15.465</v>
      </c>
      <c r="O349" s="3">
        <v>6.9110000000000005E-2</v>
      </c>
      <c r="P349" s="3">
        <v>3.9350000000000001</v>
      </c>
      <c r="Q349" s="3">
        <v>119.43</v>
      </c>
      <c r="R349" s="3">
        <v>42.155000000000001</v>
      </c>
      <c r="S349" s="3">
        <v>144.19999999999999</v>
      </c>
    </row>
    <row r="350" spans="1:19" ht="14.4" x14ac:dyDescent="0.3">
      <c r="A350" s="2">
        <v>44411</v>
      </c>
      <c r="B350" s="3">
        <v>82</v>
      </c>
      <c r="C350" s="3">
        <v>104.57</v>
      </c>
      <c r="D350" s="3">
        <v>125.64</v>
      </c>
      <c r="E350" s="3">
        <v>130.15</v>
      </c>
      <c r="F350" s="3">
        <v>117.69</v>
      </c>
      <c r="G350" s="3">
        <v>70.56</v>
      </c>
      <c r="H350" s="3">
        <v>72.41</v>
      </c>
      <c r="I350" s="3">
        <v>70.95</v>
      </c>
      <c r="J350" s="3">
        <v>58.2</v>
      </c>
      <c r="K350" s="3">
        <v>14.86</v>
      </c>
      <c r="L350" s="3">
        <v>68705.73</v>
      </c>
      <c r="M350" s="3">
        <v>59640.92</v>
      </c>
      <c r="N350" s="3">
        <v>15.34</v>
      </c>
      <c r="O350" s="3">
        <v>6.9809999999999997E-2</v>
      </c>
      <c r="P350" s="3">
        <v>4.0270000000000001</v>
      </c>
      <c r="Q350" s="3">
        <v>119.12</v>
      </c>
      <c r="R350" s="3">
        <v>41.244999999999997</v>
      </c>
      <c r="S350" s="3">
        <v>142.97999999999999</v>
      </c>
    </row>
    <row r="351" spans="1:19" ht="14.4" x14ac:dyDescent="0.3">
      <c r="A351" s="2">
        <v>44412</v>
      </c>
      <c r="B351" s="3">
        <v>82</v>
      </c>
      <c r="C351" s="3">
        <v>104.57</v>
      </c>
      <c r="D351" s="3">
        <v>125.64</v>
      </c>
      <c r="E351" s="3">
        <v>130.15</v>
      </c>
      <c r="F351" s="3">
        <v>117.69</v>
      </c>
      <c r="G351" s="3">
        <v>68.150000000000006</v>
      </c>
      <c r="H351" s="3">
        <v>70.38</v>
      </c>
      <c r="I351" s="3">
        <v>69.39</v>
      </c>
      <c r="J351" s="3">
        <v>56.84</v>
      </c>
      <c r="K351" s="3">
        <v>15</v>
      </c>
      <c r="L351" s="3">
        <v>68898.039999999994</v>
      </c>
      <c r="M351" s="3">
        <v>59996.95</v>
      </c>
      <c r="N351" s="3">
        <v>15.324999999999999</v>
      </c>
      <c r="O351" s="3">
        <v>6.9540000000000005E-2</v>
      </c>
      <c r="P351" s="3">
        <v>4.1580000000000004</v>
      </c>
      <c r="Q351" s="3">
        <v>119.53</v>
      </c>
      <c r="R351" s="3">
        <v>42.255000000000003</v>
      </c>
      <c r="S351" s="3">
        <v>140.62</v>
      </c>
    </row>
    <row r="352" spans="1:19" ht="14.4" x14ac:dyDescent="0.3">
      <c r="A352" s="2">
        <v>44413</v>
      </c>
      <c r="B352" s="3">
        <v>82</v>
      </c>
      <c r="C352" s="3">
        <v>104.57</v>
      </c>
      <c r="D352" s="3">
        <v>125.64</v>
      </c>
      <c r="E352" s="3">
        <v>130.15</v>
      </c>
      <c r="F352" s="3">
        <v>117.69</v>
      </c>
      <c r="G352" s="3">
        <v>69.09</v>
      </c>
      <c r="H352" s="3">
        <v>71.290000000000006</v>
      </c>
      <c r="I352" s="3">
        <v>70.22</v>
      </c>
      <c r="J352" s="3">
        <v>57.2</v>
      </c>
      <c r="K352" s="3">
        <v>15</v>
      </c>
      <c r="L352" s="3">
        <v>68371.23</v>
      </c>
      <c r="M352" s="3">
        <v>57841.68</v>
      </c>
      <c r="N352" s="3">
        <v>15.4</v>
      </c>
      <c r="O352" s="3">
        <v>6.8879999999999997E-2</v>
      </c>
      <c r="P352" s="3">
        <v>4.1399999999999997</v>
      </c>
      <c r="Q352" s="3">
        <v>119.42</v>
      </c>
      <c r="R352" s="3">
        <v>42.9</v>
      </c>
      <c r="S352" s="3">
        <v>139.6</v>
      </c>
    </row>
    <row r="353" spans="1:19" ht="14.4" x14ac:dyDescent="0.3">
      <c r="A353" s="2">
        <v>44414</v>
      </c>
      <c r="B353" s="3">
        <v>82.66</v>
      </c>
      <c r="C353" s="3">
        <v>104.82</v>
      </c>
      <c r="D353" s="3">
        <v>125.73</v>
      </c>
      <c r="E353" s="3">
        <v>133.49</v>
      </c>
      <c r="F353" s="3">
        <v>120.14</v>
      </c>
      <c r="G353" s="3">
        <v>68.28</v>
      </c>
      <c r="H353" s="3">
        <v>70.7</v>
      </c>
      <c r="I353" s="3">
        <v>69.739999999999995</v>
      </c>
      <c r="J353" s="3">
        <v>57.86</v>
      </c>
      <c r="K353" s="3">
        <v>15.06</v>
      </c>
      <c r="L353" s="3">
        <v>68673.95</v>
      </c>
      <c r="M353" s="3">
        <v>55672.480000000003</v>
      </c>
      <c r="N353" s="3">
        <v>15.7</v>
      </c>
      <c r="O353" s="3">
        <v>6.8459999999999993E-2</v>
      </c>
      <c r="P353" s="3">
        <v>4.1399999999999997</v>
      </c>
      <c r="Q353" s="3">
        <v>120</v>
      </c>
      <c r="R353" s="3">
        <v>43.12</v>
      </c>
      <c r="S353" s="3">
        <v>139.87</v>
      </c>
    </row>
    <row r="354" spans="1:19" ht="14.4" x14ac:dyDescent="0.3">
      <c r="A354" s="2">
        <v>44417</v>
      </c>
      <c r="B354" s="3">
        <v>82.66</v>
      </c>
      <c r="C354" s="3">
        <v>104.82</v>
      </c>
      <c r="D354" s="3">
        <v>125.73</v>
      </c>
      <c r="E354" s="3">
        <v>133.49</v>
      </c>
      <c r="F354" s="3">
        <v>120.14</v>
      </c>
      <c r="G354" s="3">
        <v>66.48</v>
      </c>
      <c r="H354" s="3">
        <v>69.040000000000006</v>
      </c>
      <c r="I354" s="3">
        <v>68.489999999999995</v>
      </c>
      <c r="J354" s="3">
        <v>57.2</v>
      </c>
      <c r="K354" s="3">
        <v>15.18</v>
      </c>
      <c r="L354" s="5">
        <f>FORECAST(A354,L348:L353,A348:A353)</f>
        <v>68402.912432432175</v>
      </c>
      <c r="M354" s="5">
        <f>FORECAST(A354,M348:M353,A348:A353)</f>
        <v>55862.531621620059</v>
      </c>
      <c r="N354" s="3">
        <v>15.76</v>
      </c>
      <c r="O354" s="3">
        <v>6.7610000000000003E-2</v>
      </c>
      <c r="P354" s="3">
        <v>4.0599999999999996</v>
      </c>
      <c r="Q354" s="3">
        <v>119.97</v>
      </c>
      <c r="R354" s="3">
        <v>42.784999999999997</v>
      </c>
      <c r="S354" s="3">
        <v>138.68</v>
      </c>
    </row>
    <row r="355" spans="1:19" ht="14.4" x14ac:dyDescent="0.3">
      <c r="A355" s="2">
        <v>44418</v>
      </c>
      <c r="B355" s="3">
        <v>82.66</v>
      </c>
      <c r="C355" s="3">
        <v>104.82</v>
      </c>
      <c r="D355" s="3">
        <v>125.73</v>
      </c>
      <c r="E355" s="3">
        <v>133.49</v>
      </c>
      <c r="F355" s="3">
        <v>120.14</v>
      </c>
      <c r="G355" s="3">
        <v>68.290000000000006</v>
      </c>
      <c r="H355" s="3">
        <v>70.63</v>
      </c>
      <c r="I355" s="3">
        <v>69.709999999999994</v>
      </c>
      <c r="J355" s="3">
        <v>58.18</v>
      </c>
      <c r="K355" s="3">
        <v>15.26</v>
      </c>
      <c r="L355" s="3">
        <v>69602.039999999994</v>
      </c>
      <c r="M355" s="3">
        <v>53518.02</v>
      </c>
      <c r="N355" s="3">
        <v>15.8</v>
      </c>
      <c r="O355" s="3">
        <v>6.7540000000000003E-2</v>
      </c>
      <c r="P355" s="3">
        <v>4.0890000000000004</v>
      </c>
      <c r="Q355" s="3">
        <v>119.59</v>
      </c>
      <c r="R355" s="3">
        <v>44.655000000000001</v>
      </c>
      <c r="S355" s="3">
        <v>136.1</v>
      </c>
    </row>
    <row r="356" spans="1:19" ht="14.4" x14ac:dyDescent="0.3">
      <c r="A356" s="2">
        <v>44419</v>
      </c>
      <c r="B356" s="3">
        <v>82.66</v>
      </c>
      <c r="C356" s="3">
        <v>104.82</v>
      </c>
      <c r="D356" s="3">
        <v>125.73</v>
      </c>
      <c r="E356" s="3">
        <v>133.49</v>
      </c>
      <c r="F356" s="3">
        <v>120.14</v>
      </c>
      <c r="G356" s="3">
        <v>69.25</v>
      </c>
      <c r="H356" s="3">
        <v>71.44</v>
      </c>
      <c r="I356" s="3">
        <v>70.42</v>
      </c>
      <c r="J356" s="3">
        <v>58.35</v>
      </c>
      <c r="K356" s="3">
        <v>15.4</v>
      </c>
      <c r="L356" s="3">
        <v>69617.16</v>
      </c>
      <c r="M356" s="3">
        <v>55275.23</v>
      </c>
      <c r="N356" s="3">
        <v>15.65</v>
      </c>
      <c r="O356" s="3">
        <v>6.8140000000000006E-2</v>
      </c>
      <c r="P356" s="3">
        <v>4.0590000000000002</v>
      </c>
      <c r="Q356" s="3">
        <v>118.72</v>
      </c>
      <c r="R356" s="3">
        <v>45.984999999999999</v>
      </c>
      <c r="S356" s="3">
        <v>132.82</v>
      </c>
    </row>
    <row r="357" spans="1:19" ht="14.4" x14ac:dyDescent="0.3">
      <c r="A357" s="2">
        <v>44420</v>
      </c>
      <c r="B357" s="3">
        <v>82.66</v>
      </c>
      <c r="C357" s="3">
        <v>104.82</v>
      </c>
      <c r="D357" s="3">
        <v>125.73</v>
      </c>
      <c r="E357" s="3">
        <v>133.49</v>
      </c>
      <c r="F357" s="3">
        <v>120.14</v>
      </c>
      <c r="G357" s="3">
        <v>69.09</v>
      </c>
      <c r="H357" s="3">
        <v>71.31</v>
      </c>
      <c r="I357" s="3">
        <v>70.44</v>
      </c>
      <c r="J357" s="3">
        <v>57.35</v>
      </c>
      <c r="K357" s="3">
        <v>15.48</v>
      </c>
      <c r="L357" s="3">
        <v>69401.95</v>
      </c>
      <c r="M357" s="3">
        <v>53965.82</v>
      </c>
      <c r="N357" s="3">
        <v>15.664999999999999</v>
      </c>
      <c r="O357" s="3">
        <v>6.7589999999999997E-2</v>
      </c>
      <c r="P357" s="3">
        <v>3.9329999999999998</v>
      </c>
      <c r="Q357" s="3">
        <v>118.04</v>
      </c>
      <c r="R357" s="3">
        <v>45.87</v>
      </c>
      <c r="S357" s="3">
        <v>135.18</v>
      </c>
    </row>
    <row r="358" spans="1:19" ht="14.4" x14ac:dyDescent="0.3">
      <c r="A358" s="2">
        <v>44421</v>
      </c>
      <c r="B358" s="3">
        <v>87.6</v>
      </c>
      <c r="C358" s="3">
        <v>108.79</v>
      </c>
      <c r="D358" s="3">
        <v>132.07</v>
      </c>
      <c r="E358" s="3">
        <v>137.06</v>
      </c>
      <c r="F358" s="3">
        <v>120.16</v>
      </c>
      <c r="G358" s="3">
        <v>68.44</v>
      </c>
      <c r="H358" s="3">
        <v>70.59</v>
      </c>
      <c r="I358" s="3">
        <v>70.05</v>
      </c>
      <c r="J358" s="3">
        <v>56.77</v>
      </c>
      <c r="K358" s="3">
        <v>15.44</v>
      </c>
      <c r="L358" s="3">
        <v>69384.759999999995</v>
      </c>
      <c r="M358" s="3">
        <v>54569.77</v>
      </c>
      <c r="N358" s="3">
        <v>15.654999999999999</v>
      </c>
      <c r="O358" s="3">
        <v>6.7849999999999994E-2</v>
      </c>
      <c r="P358" s="3">
        <v>3.8610000000000002</v>
      </c>
      <c r="Q358" s="3">
        <v>116.88</v>
      </c>
      <c r="R358" s="3">
        <v>44.63</v>
      </c>
      <c r="S358" s="3">
        <v>136.47999999999999</v>
      </c>
    </row>
    <row r="359" spans="1:19" ht="14.4" x14ac:dyDescent="0.3">
      <c r="A359" s="2">
        <v>44424</v>
      </c>
      <c r="B359" s="3">
        <v>87.6</v>
      </c>
      <c r="C359" s="3">
        <v>108.79</v>
      </c>
      <c r="D359" s="3">
        <v>132.07</v>
      </c>
      <c r="E359" s="3">
        <v>137.06</v>
      </c>
      <c r="F359" s="3">
        <v>120.16</v>
      </c>
      <c r="G359" s="3">
        <v>67.290000000000006</v>
      </c>
      <c r="H359" s="3">
        <v>69.510000000000005</v>
      </c>
      <c r="I359" s="3">
        <v>69.53</v>
      </c>
      <c r="J359" s="3">
        <v>55.94</v>
      </c>
      <c r="K359" s="3">
        <v>15.68</v>
      </c>
      <c r="L359" s="3">
        <v>68824.7</v>
      </c>
      <c r="M359" s="3">
        <v>54863.08</v>
      </c>
      <c r="N359" s="3">
        <v>17.989999999999998</v>
      </c>
      <c r="O359" s="3">
        <v>6.7349999999999993E-2</v>
      </c>
      <c r="P359" s="3">
        <v>3.9460000000000002</v>
      </c>
      <c r="Q359" s="3">
        <v>118.04</v>
      </c>
      <c r="R359" s="3">
        <v>47.99</v>
      </c>
      <c r="S359" s="3">
        <v>135.62</v>
      </c>
    </row>
    <row r="360" spans="1:19" ht="14.4" x14ac:dyDescent="0.3">
      <c r="A360" s="2">
        <v>44425</v>
      </c>
      <c r="B360" s="3">
        <v>87.6</v>
      </c>
      <c r="C360" s="3">
        <v>108.79</v>
      </c>
      <c r="D360" s="3">
        <v>132.07</v>
      </c>
      <c r="E360" s="3">
        <v>137.06</v>
      </c>
      <c r="F360" s="3">
        <v>120.16</v>
      </c>
      <c r="G360" s="3">
        <v>66.59</v>
      </c>
      <c r="H360" s="3">
        <v>69.03</v>
      </c>
      <c r="I360" s="3">
        <v>69.33</v>
      </c>
      <c r="J360" s="3">
        <v>55.56</v>
      </c>
      <c r="K360" s="3">
        <v>15.38</v>
      </c>
      <c r="L360" s="3">
        <v>68939.839999999997</v>
      </c>
      <c r="M360" s="3">
        <v>56189.04</v>
      </c>
      <c r="N360" s="3">
        <v>17.48</v>
      </c>
      <c r="O360" s="3">
        <v>6.7049999999999998E-2</v>
      </c>
      <c r="P360" s="3">
        <v>3.8370000000000002</v>
      </c>
      <c r="Q360" s="3">
        <v>117.61</v>
      </c>
      <c r="R360" s="3">
        <v>46.95</v>
      </c>
      <c r="S360" s="3">
        <v>135.52000000000001</v>
      </c>
    </row>
    <row r="361" spans="1:19" ht="14.4" x14ac:dyDescent="0.3">
      <c r="A361" s="2">
        <v>44426</v>
      </c>
      <c r="B361" s="3">
        <v>87.6</v>
      </c>
      <c r="C361" s="3">
        <v>108.79</v>
      </c>
      <c r="D361" s="3">
        <v>132.07</v>
      </c>
      <c r="E361" s="3">
        <v>137.06</v>
      </c>
      <c r="F361" s="3">
        <v>120.16</v>
      </c>
      <c r="G361" s="3">
        <v>65.459999999999994</v>
      </c>
      <c r="H361" s="3">
        <v>68.23</v>
      </c>
      <c r="I361" s="3">
        <v>68.95</v>
      </c>
      <c r="J361" s="3">
        <v>54.39</v>
      </c>
      <c r="K361" s="3">
        <v>15.32</v>
      </c>
      <c r="L361" s="3">
        <v>67905.679999999993</v>
      </c>
      <c r="M361" s="3">
        <v>54511.48</v>
      </c>
      <c r="N361" s="3">
        <v>16.77</v>
      </c>
      <c r="O361" s="3">
        <v>6.6869999999999999E-2</v>
      </c>
      <c r="P361" s="3">
        <v>3.8519999999999999</v>
      </c>
      <c r="Q361" s="3">
        <v>115.39</v>
      </c>
      <c r="R361" s="3">
        <v>45.384999999999998</v>
      </c>
      <c r="S361" s="3">
        <v>134.66999999999999</v>
      </c>
    </row>
    <row r="362" spans="1:19" ht="14.4" x14ac:dyDescent="0.3">
      <c r="A362" s="2">
        <v>44427</v>
      </c>
      <c r="B362" s="3">
        <v>87.6</v>
      </c>
      <c r="C362" s="3">
        <v>108.79</v>
      </c>
      <c r="D362" s="3">
        <v>132.07</v>
      </c>
      <c r="E362" s="3">
        <v>137.06</v>
      </c>
      <c r="F362" s="3">
        <v>120.16</v>
      </c>
      <c r="G362" s="3">
        <v>63.69</v>
      </c>
      <c r="H362" s="3">
        <v>66.45</v>
      </c>
      <c r="I362" s="3">
        <v>68.03</v>
      </c>
      <c r="J362" s="3">
        <v>52.73</v>
      </c>
      <c r="K362" s="3">
        <v>15.12</v>
      </c>
      <c r="L362" s="3">
        <v>66113.48</v>
      </c>
      <c r="M362" s="3">
        <v>52479.040000000001</v>
      </c>
      <c r="N362" s="3">
        <v>15.18</v>
      </c>
      <c r="O362" s="3">
        <v>6.5720000000000001E-2</v>
      </c>
      <c r="P362" s="3">
        <v>3.83</v>
      </c>
      <c r="Q362" s="3">
        <v>116.38</v>
      </c>
      <c r="R362" s="3">
        <v>40.395000000000003</v>
      </c>
      <c r="S362" s="1">
        <f>S363</f>
        <v>133.82</v>
      </c>
    </row>
    <row r="363" spans="1:19" ht="14.4" x14ac:dyDescent="0.3">
      <c r="A363" s="2">
        <v>44428</v>
      </c>
      <c r="B363" s="3">
        <v>88.46</v>
      </c>
      <c r="C363" s="3">
        <v>110.86</v>
      </c>
      <c r="D363" s="3">
        <v>133.05000000000001</v>
      </c>
      <c r="E363" s="3">
        <v>139.82</v>
      </c>
      <c r="F363" s="3">
        <v>125.12</v>
      </c>
      <c r="G363" s="3">
        <v>62.32</v>
      </c>
      <c r="H363" s="3">
        <v>65.180000000000007</v>
      </c>
      <c r="I363" s="3">
        <v>67.599999999999994</v>
      </c>
      <c r="J363" s="3">
        <v>52.74</v>
      </c>
      <c r="K363" s="3">
        <v>14.82</v>
      </c>
      <c r="L363" s="3">
        <v>66011.06</v>
      </c>
      <c r="M363" s="3">
        <v>51063.34</v>
      </c>
      <c r="N363" s="3">
        <v>15.574999999999999</v>
      </c>
      <c r="O363" s="3">
        <v>6.5320000000000003E-2</v>
      </c>
      <c r="P363" s="3">
        <v>3.851</v>
      </c>
      <c r="Q363" s="3">
        <v>117.15</v>
      </c>
      <c r="R363" s="3">
        <v>41.944000000000003</v>
      </c>
      <c r="S363" s="3">
        <v>133.82</v>
      </c>
    </row>
    <row r="364" spans="1:19" ht="14.4" x14ac:dyDescent="0.3">
      <c r="A364" s="2">
        <v>44431</v>
      </c>
      <c r="B364" s="3">
        <v>88.46</v>
      </c>
      <c r="C364" s="3">
        <v>110.86</v>
      </c>
      <c r="D364" s="3">
        <v>133.05000000000001</v>
      </c>
      <c r="E364" s="3">
        <v>139.82</v>
      </c>
      <c r="F364" s="3">
        <v>125.12</v>
      </c>
      <c r="G364" s="3">
        <v>65.64</v>
      </c>
      <c r="H364" s="3">
        <v>68.75</v>
      </c>
      <c r="I364" s="3">
        <v>68.760000000000005</v>
      </c>
      <c r="J364" s="3">
        <v>54.91</v>
      </c>
      <c r="K364" s="3">
        <v>15.44</v>
      </c>
      <c r="L364" s="3">
        <v>66829.210000000006</v>
      </c>
      <c r="M364" s="3">
        <v>53412.66</v>
      </c>
      <c r="N364" s="3">
        <v>16.34</v>
      </c>
      <c r="O364" s="3">
        <v>6.6089999999999996E-2</v>
      </c>
      <c r="P364" s="3">
        <v>3.9449999999999998</v>
      </c>
      <c r="Q364" s="3">
        <v>118.07</v>
      </c>
      <c r="R364" s="3">
        <v>41.68</v>
      </c>
      <c r="S364" s="3">
        <v>138.83000000000001</v>
      </c>
    </row>
    <row r="365" spans="1:19" ht="14.4" x14ac:dyDescent="0.3">
      <c r="A365" s="2">
        <v>44432</v>
      </c>
      <c r="B365" s="3">
        <v>88.46</v>
      </c>
      <c r="C365" s="3">
        <v>110.86</v>
      </c>
      <c r="D365" s="3">
        <v>133.05000000000001</v>
      </c>
      <c r="E365" s="3">
        <v>139.82</v>
      </c>
      <c r="F365" s="3">
        <v>125.12</v>
      </c>
      <c r="G365" s="3">
        <v>67.540000000000006</v>
      </c>
      <c r="H365" s="3">
        <v>71.05</v>
      </c>
      <c r="I365" s="3">
        <v>69.31</v>
      </c>
      <c r="J365" s="3">
        <v>55.36</v>
      </c>
      <c r="K365" s="3">
        <v>15.54</v>
      </c>
      <c r="L365" s="3">
        <v>67451.539999999994</v>
      </c>
      <c r="M365" s="3">
        <v>53767.5</v>
      </c>
      <c r="N365" s="3">
        <v>16.850000000000001</v>
      </c>
      <c r="O365" s="3">
        <v>6.6589999999999996E-2</v>
      </c>
      <c r="P365" s="3">
        <v>3.8959999999999999</v>
      </c>
      <c r="Q365" s="3">
        <v>117.4</v>
      </c>
      <c r="R365" s="3">
        <v>44.87</v>
      </c>
      <c r="S365" s="3">
        <v>143.57</v>
      </c>
    </row>
    <row r="366" spans="1:19" ht="14.4" x14ac:dyDescent="0.3">
      <c r="A366" s="2">
        <v>44433</v>
      </c>
      <c r="B366" s="3">
        <v>88.46</v>
      </c>
      <c r="C366" s="3">
        <v>110.86</v>
      </c>
      <c r="D366" s="3">
        <v>133.05000000000001</v>
      </c>
      <c r="E366" s="3">
        <v>139.82</v>
      </c>
      <c r="F366" s="3">
        <v>125.12</v>
      </c>
      <c r="G366" s="3">
        <v>68.36</v>
      </c>
      <c r="H366" s="3">
        <v>72.25</v>
      </c>
      <c r="I366" s="3">
        <v>69.45</v>
      </c>
      <c r="J366" s="3">
        <v>55.46</v>
      </c>
      <c r="K366" s="3">
        <v>15.94</v>
      </c>
      <c r="L366" s="3">
        <v>67452.86</v>
      </c>
      <c r="M366" s="3">
        <v>52141.54</v>
      </c>
      <c r="N366" s="3">
        <v>17.03</v>
      </c>
      <c r="O366" s="3">
        <v>6.6860000000000003E-2</v>
      </c>
      <c r="P366" s="3">
        <v>3.8969999999999998</v>
      </c>
      <c r="Q366" s="3">
        <v>117.3</v>
      </c>
      <c r="R366" s="3">
        <v>45.284999999999997</v>
      </c>
      <c r="S366" s="3">
        <v>143.05000000000001</v>
      </c>
    </row>
    <row r="367" spans="1:19" ht="14.4" x14ac:dyDescent="0.3">
      <c r="A367" s="2">
        <v>44434</v>
      </c>
      <c r="B367" s="3">
        <v>88.46</v>
      </c>
      <c r="C367" s="3">
        <v>110.86</v>
      </c>
      <c r="D367" s="3">
        <v>133.05000000000001</v>
      </c>
      <c r="E367" s="3">
        <v>139.82</v>
      </c>
      <c r="F367" s="3">
        <v>125.12</v>
      </c>
      <c r="G367" s="3">
        <v>67.42</v>
      </c>
      <c r="H367" s="3">
        <v>71.069999999999993</v>
      </c>
      <c r="I367" s="3">
        <v>69.239999999999995</v>
      </c>
      <c r="J367" s="3">
        <v>54.71</v>
      </c>
      <c r="K367" s="3">
        <v>15.94</v>
      </c>
      <c r="L367" s="3">
        <v>67068.740000000005</v>
      </c>
      <c r="M367" s="3">
        <v>52390.3</v>
      </c>
      <c r="N367" s="3">
        <v>17.245000000000001</v>
      </c>
      <c r="O367" s="3">
        <v>6.6879999999999995E-2</v>
      </c>
      <c r="P367" s="3">
        <v>4.1840000000000002</v>
      </c>
      <c r="Q367" s="3">
        <v>117.55</v>
      </c>
      <c r="R367" s="3">
        <v>45.79</v>
      </c>
      <c r="S367" s="3">
        <v>146.91999999999999</v>
      </c>
    </row>
    <row r="368" spans="1:19" ht="14.4" x14ac:dyDescent="0.3">
      <c r="A368" s="2">
        <v>44435</v>
      </c>
      <c r="B368" s="3">
        <v>89.14</v>
      </c>
      <c r="C368" s="3">
        <v>113.48</v>
      </c>
      <c r="D368" s="3">
        <v>135.76</v>
      </c>
      <c r="E368" s="3">
        <v>142.09</v>
      </c>
      <c r="F368" s="3">
        <v>126.11</v>
      </c>
      <c r="G368" s="3">
        <v>68.739999999999995</v>
      </c>
      <c r="H368" s="3">
        <v>72.7</v>
      </c>
      <c r="I368" s="3">
        <v>69.44</v>
      </c>
      <c r="J368" s="3">
        <v>55.77</v>
      </c>
      <c r="K368" s="3">
        <v>16.100000000000001</v>
      </c>
      <c r="L368" s="3">
        <v>67646.080000000002</v>
      </c>
      <c r="M368" s="3">
        <v>53967.46</v>
      </c>
      <c r="N368" s="3">
        <v>17.7</v>
      </c>
      <c r="O368" s="3">
        <v>6.7830000000000001E-2</v>
      </c>
      <c r="P368" s="3">
        <v>4.37</v>
      </c>
      <c r="Q368" s="3">
        <v>118.41</v>
      </c>
      <c r="R368" s="3">
        <v>47.805999999999997</v>
      </c>
      <c r="S368" s="3">
        <v>144.62</v>
      </c>
    </row>
    <row r="369" spans="1:19" ht="14.4" x14ac:dyDescent="0.3">
      <c r="A369" s="2">
        <v>44438</v>
      </c>
      <c r="B369" s="1">
        <f t="shared" ref="B369:D369" si="24">B368</f>
        <v>89.14</v>
      </c>
      <c r="C369" s="1">
        <f t="shared" si="24"/>
        <v>113.48</v>
      </c>
      <c r="D369" s="1">
        <f t="shared" si="24"/>
        <v>135.76</v>
      </c>
      <c r="E369" s="3">
        <v>142.09</v>
      </c>
      <c r="F369" s="1">
        <f>F368</f>
        <v>126.11</v>
      </c>
      <c r="G369" s="3">
        <v>69.209999999999994</v>
      </c>
      <c r="H369" s="3">
        <v>73.41</v>
      </c>
      <c r="I369" s="3">
        <v>69.459999999999994</v>
      </c>
      <c r="J369" s="3">
        <v>55.16</v>
      </c>
      <c r="K369" s="3">
        <v>16.38</v>
      </c>
      <c r="L369" s="3">
        <v>67064.69</v>
      </c>
      <c r="M369" s="3">
        <v>52905.08</v>
      </c>
      <c r="N369" s="3">
        <v>17.72</v>
      </c>
      <c r="O369" s="3">
        <v>6.8129999999999996E-2</v>
      </c>
      <c r="P369" s="3">
        <v>4.3049999999999997</v>
      </c>
      <c r="Q369" s="3">
        <v>119.36</v>
      </c>
      <c r="R369" s="3">
        <v>49.68</v>
      </c>
      <c r="S369" s="3">
        <v>160.02000000000001</v>
      </c>
    </row>
    <row r="370" spans="1:19" ht="14.4" x14ac:dyDescent="0.3">
      <c r="A370" s="2">
        <v>44439</v>
      </c>
      <c r="B370" s="3">
        <v>89.14</v>
      </c>
      <c r="C370" s="3">
        <v>113.48</v>
      </c>
      <c r="D370" s="3">
        <v>135.76</v>
      </c>
      <c r="E370" s="3">
        <v>142.09</v>
      </c>
      <c r="F370" s="3">
        <v>126.11</v>
      </c>
      <c r="G370" s="3">
        <v>68.5</v>
      </c>
      <c r="H370" s="3">
        <v>72.989999999999995</v>
      </c>
      <c r="I370" s="3">
        <v>69.489999999999995</v>
      </c>
      <c r="J370" s="3">
        <v>54.52</v>
      </c>
      <c r="K370" s="3">
        <v>17.22</v>
      </c>
      <c r="L370" s="3">
        <v>67427.929999999993</v>
      </c>
      <c r="M370" s="3">
        <v>53105.97</v>
      </c>
      <c r="N370" s="3">
        <v>18.22</v>
      </c>
      <c r="O370" s="3">
        <v>6.8839999999999998E-2</v>
      </c>
      <c r="P370" s="3">
        <v>4.3769999999999998</v>
      </c>
      <c r="Q370" s="3">
        <v>119.53</v>
      </c>
      <c r="R370" s="3">
        <v>50.34</v>
      </c>
      <c r="S370" s="3">
        <v>168.28</v>
      </c>
    </row>
    <row r="371" spans="1:19" ht="14.4" x14ac:dyDescent="0.3">
      <c r="A371" s="2">
        <v>44440</v>
      </c>
      <c r="B371" s="3">
        <v>89.14</v>
      </c>
      <c r="C371" s="3">
        <v>113.48</v>
      </c>
      <c r="D371" s="3">
        <v>135.76</v>
      </c>
      <c r="E371" s="3">
        <v>142.09</v>
      </c>
      <c r="F371" s="3">
        <v>126.11</v>
      </c>
      <c r="G371" s="3">
        <v>68.59</v>
      </c>
      <c r="H371" s="3">
        <v>71.59</v>
      </c>
      <c r="I371" s="3">
        <v>69.92</v>
      </c>
      <c r="J371" s="3">
        <v>53.77</v>
      </c>
      <c r="K371" s="3">
        <v>16.8</v>
      </c>
      <c r="L371" s="3">
        <v>66976.05</v>
      </c>
      <c r="M371" s="3">
        <v>52385.68</v>
      </c>
      <c r="N371" s="3">
        <v>18.02</v>
      </c>
      <c r="O371" s="3">
        <v>6.9330000000000003E-2</v>
      </c>
      <c r="P371" s="3">
        <v>4.6150000000000002</v>
      </c>
      <c r="Q371" s="3">
        <v>120.62</v>
      </c>
      <c r="R371" s="3">
        <v>50.23</v>
      </c>
      <c r="S371" s="3">
        <v>186.77</v>
      </c>
    </row>
    <row r="372" spans="1:19" ht="14.4" x14ac:dyDescent="0.3">
      <c r="A372" s="2">
        <v>44441</v>
      </c>
      <c r="B372" s="3">
        <v>89.14</v>
      </c>
      <c r="C372" s="3">
        <v>113.48</v>
      </c>
      <c r="D372" s="3">
        <v>135.76</v>
      </c>
      <c r="E372" s="3">
        <v>142.09</v>
      </c>
      <c r="F372" s="3">
        <v>126.11</v>
      </c>
      <c r="G372" s="3">
        <v>69.989999999999995</v>
      </c>
      <c r="H372" s="3">
        <v>73.03</v>
      </c>
      <c r="I372" s="3">
        <v>71.22</v>
      </c>
      <c r="J372" s="3">
        <v>55.08</v>
      </c>
      <c r="K372" s="3">
        <v>16.98</v>
      </c>
      <c r="L372" s="3">
        <v>66654.240000000005</v>
      </c>
      <c r="M372" s="3">
        <v>49981.79</v>
      </c>
      <c r="N372" s="3">
        <v>18.46</v>
      </c>
      <c r="O372" s="3">
        <v>6.9120000000000001E-2</v>
      </c>
      <c r="P372" s="3">
        <v>4.641</v>
      </c>
      <c r="Q372" s="3">
        <v>120.73</v>
      </c>
      <c r="R372" s="3">
        <v>51.914999999999999</v>
      </c>
      <c r="S372" s="3">
        <v>188.87</v>
      </c>
    </row>
    <row r="373" spans="1:19" ht="14.4" x14ac:dyDescent="0.3">
      <c r="A373" s="2">
        <v>44442</v>
      </c>
      <c r="B373" s="3">
        <v>95.79</v>
      </c>
      <c r="C373" s="3">
        <v>120.49</v>
      </c>
      <c r="D373" s="3">
        <v>144.6</v>
      </c>
      <c r="E373" s="3">
        <v>148.85</v>
      </c>
      <c r="F373" s="3">
        <v>130.82</v>
      </c>
      <c r="G373" s="3">
        <v>69.290000000000006</v>
      </c>
      <c r="H373" s="3">
        <v>72.61</v>
      </c>
      <c r="I373" s="3">
        <v>70.64</v>
      </c>
      <c r="J373" s="3">
        <v>54.87</v>
      </c>
      <c r="K373" s="3">
        <v>17.239999999999998</v>
      </c>
      <c r="L373" s="3">
        <v>66371.850000000006</v>
      </c>
      <c r="M373" s="3">
        <v>51120.68</v>
      </c>
      <c r="N373" s="3">
        <v>18.46</v>
      </c>
      <c r="O373" s="3">
        <v>6.9769999999999999E-2</v>
      </c>
      <c r="P373" s="3">
        <v>4.7119999999999997</v>
      </c>
      <c r="Q373" s="3">
        <v>121.13</v>
      </c>
      <c r="R373" s="3">
        <v>51.505000000000003</v>
      </c>
      <c r="S373" s="3">
        <v>179.75</v>
      </c>
    </row>
    <row r="374" spans="1:19" ht="14.4" x14ac:dyDescent="0.3">
      <c r="A374" s="2">
        <v>44445</v>
      </c>
      <c r="B374" s="3">
        <v>95.79</v>
      </c>
      <c r="C374" s="3">
        <v>120.49</v>
      </c>
      <c r="D374" s="3">
        <v>144.6</v>
      </c>
      <c r="E374" s="3">
        <v>148.85</v>
      </c>
      <c r="F374" s="3">
        <v>130.82</v>
      </c>
      <c r="G374" s="3">
        <v>68.8</v>
      </c>
      <c r="H374" s="3">
        <v>72.22</v>
      </c>
      <c r="I374" s="1">
        <f>(I373+I375)/2</f>
        <v>70.174999999999997</v>
      </c>
      <c r="J374" s="1">
        <f>(J373+J375)/2</f>
        <v>54.709999999999994</v>
      </c>
      <c r="K374" s="3">
        <v>17.78</v>
      </c>
      <c r="L374" s="3">
        <v>66253.8</v>
      </c>
      <c r="M374" s="3">
        <v>49296.09</v>
      </c>
      <c r="N374" s="5">
        <f>FORECAST(A374,N368:N373,A368:A373)</f>
        <v>18.797297297297519</v>
      </c>
      <c r="O374" s="3">
        <v>7.0220000000000005E-2</v>
      </c>
      <c r="P374" s="3">
        <v>4.6929999999999996</v>
      </c>
      <c r="Q374" s="1">
        <f>AVERAGE(Q373,Q375)</f>
        <v>119.935</v>
      </c>
      <c r="R374" s="5">
        <f>AVERAGE(R373,R375)</f>
        <v>52.707499999999996</v>
      </c>
      <c r="S374" s="3">
        <v>187.05</v>
      </c>
    </row>
    <row r="375" spans="1:19" ht="14.4" x14ac:dyDescent="0.3">
      <c r="A375" s="2">
        <v>44446</v>
      </c>
      <c r="B375" s="3">
        <v>95.79</v>
      </c>
      <c r="C375" s="3">
        <v>120.49</v>
      </c>
      <c r="D375" s="3">
        <v>144.6</v>
      </c>
      <c r="E375" s="3">
        <v>148.85</v>
      </c>
      <c r="F375" s="3">
        <v>130.82</v>
      </c>
      <c r="G375" s="3">
        <v>68.349999999999994</v>
      </c>
      <c r="H375" s="3">
        <v>71.69</v>
      </c>
      <c r="I375" s="3">
        <v>69.709999999999994</v>
      </c>
      <c r="J375" s="3">
        <v>54.55</v>
      </c>
      <c r="K375" s="3">
        <v>18.100000000000001</v>
      </c>
      <c r="L375" s="3">
        <v>66514.91</v>
      </c>
      <c r="M375" s="3">
        <v>49111.81</v>
      </c>
      <c r="N375" s="3">
        <v>18.684999999999999</v>
      </c>
      <c r="O375" s="3">
        <v>6.9830000000000003E-2</v>
      </c>
      <c r="P375" s="3">
        <v>4.5679999999999996</v>
      </c>
      <c r="Q375" s="3">
        <v>118.74</v>
      </c>
      <c r="R375" s="3">
        <v>53.91</v>
      </c>
      <c r="S375" s="3">
        <v>190.33</v>
      </c>
    </row>
    <row r="376" spans="1:19" ht="14.4" x14ac:dyDescent="0.3">
      <c r="A376" s="2">
        <v>44447</v>
      </c>
      <c r="B376" s="3">
        <v>95.79</v>
      </c>
      <c r="C376" s="3">
        <v>120.49</v>
      </c>
      <c r="D376" s="3">
        <v>144.6</v>
      </c>
      <c r="E376" s="3">
        <v>148.85</v>
      </c>
      <c r="F376" s="3">
        <v>130.82</v>
      </c>
      <c r="G376" s="3">
        <v>69.3</v>
      </c>
      <c r="H376" s="3">
        <v>72.599999999999994</v>
      </c>
      <c r="I376" s="3">
        <v>70.38</v>
      </c>
      <c r="J376" s="3">
        <v>54.05</v>
      </c>
      <c r="K376" s="3">
        <v>18</v>
      </c>
      <c r="L376" s="3">
        <v>65525.35</v>
      </c>
      <c r="M376" s="3">
        <v>47572.97</v>
      </c>
      <c r="N376" s="3">
        <v>18.649999999999999</v>
      </c>
      <c r="O376" s="3">
        <v>7.0440000000000003E-2</v>
      </c>
      <c r="P376" s="3">
        <v>4.9139999999999997</v>
      </c>
      <c r="Q376" s="3">
        <v>119.74</v>
      </c>
      <c r="R376" s="3">
        <v>55.29</v>
      </c>
      <c r="S376" s="3">
        <v>197</v>
      </c>
    </row>
    <row r="377" spans="1:19" ht="14.4" x14ac:dyDescent="0.3">
      <c r="A377" s="2">
        <v>44448</v>
      </c>
      <c r="B377" s="3">
        <v>95.79</v>
      </c>
      <c r="C377" s="3">
        <v>120.49</v>
      </c>
      <c r="D377" s="3">
        <v>144.6</v>
      </c>
      <c r="E377" s="3">
        <v>148.85</v>
      </c>
      <c r="F377" s="3">
        <v>130.82</v>
      </c>
      <c r="G377" s="3">
        <v>68.14</v>
      </c>
      <c r="H377" s="3">
        <v>71.45</v>
      </c>
      <c r="I377" s="3">
        <v>69.63</v>
      </c>
      <c r="J377" s="3">
        <v>54.09</v>
      </c>
      <c r="K377" s="3">
        <v>18.46</v>
      </c>
      <c r="L377" s="3">
        <v>64176.53</v>
      </c>
      <c r="M377" s="3">
        <v>45804.4</v>
      </c>
      <c r="N377" s="3">
        <v>18.625</v>
      </c>
      <c r="O377" s="3">
        <v>7.0319999999999994E-2</v>
      </c>
      <c r="P377" s="3">
        <v>5.0309999999999997</v>
      </c>
      <c r="Q377" s="3">
        <v>119.45</v>
      </c>
      <c r="R377" s="3">
        <v>56.58</v>
      </c>
      <c r="S377" s="3">
        <v>199.62</v>
      </c>
    </row>
    <row r="378" spans="1:19" ht="14.4" x14ac:dyDescent="0.3">
      <c r="A378" s="2">
        <v>44449</v>
      </c>
      <c r="B378" s="3">
        <v>98.9</v>
      </c>
      <c r="C378" s="3">
        <v>124.34</v>
      </c>
      <c r="D378" s="3">
        <v>148.35</v>
      </c>
      <c r="E378" s="3">
        <v>153.77000000000001</v>
      </c>
      <c r="F378" s="3">
        <v>135.88</v>
      </c>
      <c r="G378" s="3">
        <v>69.72</v>
      </c>
      <c r="H378" s="3">
        <v>72.92</v>
      </c>
      <c r="I378" s="3">
        <v>70.7</v>
      </c>
      <c r="J378" s="3">
        <v>53.98</v>
      </c>
      <c r="K378" s="3">
        <v>18.38</v>
      </c>
      <c r="L378" s="3">
        <v>64296.06</v>
      </c>
      <c r="M378" s="3">
        <v>45226.87</v>
      </c>
      <c r="N378" s="3">
        <v>18.649999999999999</v>
      </c>
      <c r="O378" s="3">
        <v>7.0319999999999994E-2</v>
      </c>
      <c r="P378" s="3">
        <v>4.9379999999999997</v>
      </c>
      <c r="Q378" s="3">
        <v>118.84</v>
      </c>
      <c r="R378" s="3">
        <v>57.915999999999997</v>
      </c>
      <c r="S378" s="1">
        <f>S379</f>
        <v>197.58</v>
      </c>
    </row>
    <row r="379" spans="1:19" ht="14.4" x14ac:dyDescent="0.3">
      <c r="A379" s="2">
        <v>44452</v>
      </c>
      <c r="B379" s="3">
        <v>98.9</v>
      </c>
      <c r="C379" s="3">
        <v>124.34</v>
      </c>
      <c r="D379" s="3">
        <v>148.35</v>
      </c>
      <c r="E379" s="3">
        <v>153.77000000000001</v>
      </c>
      <c r="F379" s="3">
        <v>135.88</v>
      </c>
      <c r="G379" s="3">
        <v>70.45</v>
      </c>
      <c r="H379" s="3">
        <v>73.510000000000005</v>
      </c>
      <c r="I379" s="3">
        <v>71.11</v>
      </c>
      <c r="J379" s="3">
        <v>55.37</v>
      </c>
      <c r="K379" s="3">
        <v>19.079999999999998</v>
      </c>
      <c r="L379" s="3">
        <v>64652.32</v>
      </c>
      <c r="M379" s="3">
        <v>46596.46</v>
      </c>
      <c r="N379" s="3">
        <v>18.82</v>
      </c>
      <c r="O379" s="3">
        <v>7.0650000000000004E-2</v>
      </c>
      <c r="P379" s="3">
        <v>5.2309999999999999</v>
      </c>
      <c r="Q379" s="3">
        <v>118.55</v>
      </c>
      <c r="R379" s="3">
        <v>61.28</v>
      </c>
      <c r="S379" s="3">
        <v>197.58</v>
      </c>
    </row>
    <row r="380" spans="1:19" ht="14.4" x14ac:dyDescent="0.3">
      <c r="A380" s="2">
        <v>44453</v>
      </c>
      <c r="B380" s="3">
        <v>98.9</v>
      </c>
      <c r="C380" s="3">
        <v>124.34</v>
      </c>
      <c r="D380" s="3">
        <v>148.35</v>
      </c>
      <c r="E380" s="3">
        <v>153.77000000000001</v>
      </c>
      <c r="F380" s="3">
        <v>135.88</v>
      </c>
      <c r="G380" s="3">
        <v>70.459999999999994</v>
      </c>
      <c r="H380" s="3">
        <v>73.599999999999994</v>
      </c>
      <c r="I380" s="3">
        <v>71.19</v>
      </c>
      <c r="J380" s="3">
        <v>54.58</v>
      </c>
      <c r="K380" s="3">
        <v>18.579999999999998</v>
      </c>
      <c r="L380" s="3">
        <v>64300.46</v>
      </c>
      <c r="M380" s="3">
        <v>45878.78</v>
      </c>
      <c r="N380" s="3">
        <v>18.934999999999999</v>
      </c>
      <c r="O380" s="3">
        <v>6.9760000000000003E-2</v>
      </c>
      <c r="P380" s="3">
        <v>5.26</v>
      </c>
      <c r="Q380" s="3">
        <v>119.26</v>
      </c>
      <c r="R380" s="3">
        <v>65.765000000000001</v>
      </c>
      <c r="S380" s="3">
        <v>195.43</v>
      </c>
    </row>
    <row r="381" spans="1:19" ht="14.4" x14ac:dyDescent="0.3">
      <c r="A381" s="2">
        <v>44454</v>
      </c>
      <c r="B381" s="3">
        <v>98.9</v>
      </c>
      <c r="C381" s="3">
        <v>124.34</v>
      </c>
      <c r="D381" s="3">
        <v>148.35</v>
      </c>
      <c r="E381" s="3">
        <v>153.77000000000001</v>
      </c>
      <c r="F381" s="3">
        <v>135.88</v>
      </c>
      <c r="G381" s="3">
        <v>72.61</v>
      </c>
      <c r="H381" s="3">
        <v>75.459999999999994</v>
      </c>
      <c r="I381" s="3">
        <v>72.09</v>
      </c>
      <c r="J381" s="3">
        <v>56.42</v>
      </c>
      <c r="K381" s="3">
        <v>18.52</v>
      </c>
      <c r="L381" s="3">
        <v>64385.13</v>
      </c>
      <c r="M381" s="3">
        <v>46059.41</v>
      </c>
      <c r="N381" s="3">
        <v>19.018999999999998</v>
      </c>
      <c r="O381" s="3">
        <v>6.9339999999999999E-2</v>
      </c>
      <c r="P381" s="3">
        <v>5.46</v>
      </c>
      <c r="Q381" s="3">
        <v>118.76</v>
      </c>
      <c r="R381" s="3">
        <v>70.704999999999998</v>
      </c>
      <c r="S381" s="3">
        <v>199.73</v>
      </c>
    </row>
    <row r="382" spans="1:19" ht="14.4" x14ac:dyDescent="0.3">
      <c r="A382" s="2">
        <v>44455</v>
      </c>
      <c r="B382" s="3">
        <v>98.9</v>
      </c>
      <c r="C382" s="3">
        <v>124.34</v>
      </c>
      <c r="D382" s="3">
        <v>148.35</v>
      </c>
      <c r="E382" s="3">
        <v>153.77000000000001</v>
      </c>
      <c r="F382" s="3">
        <v>135.88</v>
      </c>
      <c r="G382" s="3">
        <v>72.61</v>
      </c>
      <c r="H382" s="3">
        <v>75.67</v>
      </c>
      <c r="I382" s="3">
        <v>72.069999999999993</v>
      </c>
      <c r="J382" s="3">
        <v>55.82</v>
      </c>
      <c r="K382" s="3">
        <v>18.18</v>
      </c>
      <c r="L382" s="3">
        <v>63313.75</v>
      </c>
      <c r="M382" s="3">
        <v>43901.36</v>
      </c>
      <c r="N382" s="3">
        <v>23.42</v>
      </c>
      <c r="O382" s="3">
        <v>6.8459999999999993E-2</v>
      </c>
      <c r="P382" s="3">
        <v>5.335</v>
      </c>
      <c r="Q382" s="3">
        <v>118.93</v>
      </c>
      <c r="R382" s="3">
        <v>63.25</v>
      </c>
      <c r="S382" s="3">
        <v>203.05</v>
      </c>
    </row>
    <row r="383" spans="1:19" ht="14.4" x14ac:dyDescent="0.3">
      <c r="A383" s="2">
        <v>44456</v>
      </c>
      <c r="B383" s="3">
        <v>100.79</v>
      </c>
      <c r="C383" s="3">
        <v>126.75</v>
      </c>
      <c r="D383" s="3">
        <v>149.79</v>
      </c>
      <c r="E383" s="3">
        <v>158.69999999999999</v>
      </c>
      <c r="F383" s="3">
        <v>138.5</v>
      </c>
      <c r="G383" s="3">
        <v>71.97</v>
      </c>
      <c r="H383" s="3">
        <v>75.34</v>
      </c>
      <c r="I383" s="3">
        <v>71.92</v>
      </c>
      <c r="J383" s="3">
        <v>55.16</v>
      </c>
      <c r="K383" s="3">
        <v>17.579999999999998</v>
      </c>
      <c r="L383" s="3">
        <v>62863.64</v>
      </c>
      <c r="M383" s="3">
        <v>44201.63</v>
      </c>
      <c r="N383" s="3">
        <v>25</v>
      </c>
      <c r="O383" s="3">
        <v>6.8040000000000003E-2</v>
      </c>
      <c r="P383" s="3">
        <v>5.1050000000000004</v>
      </c>
      <c r="Q383" s="3">
        <v>117.7</v>
      </c>
      <c r="R383" s="3">
        <v>65.102999999999994</v>
      </c>
      <c r="S383" s="3">
        <v>199.58</v>
      </c>
    </row>
    <row r="384" spans="1:19" ht="14.4" x14ac:dyDescent="0.3">
      <c r="A384" s="2">
        <v>44459</v>
      </c>
      <c r="B384" s="3">
        <v>100.79</v>
      </c>
      <c r="C384" s="3">
        <v>126.75</v>
      </c>
      <c r="D384" s="3">
        <v>149.79</v>
      </c>
      <c r="E384" s="3">
        <v>158.69999999999999</v>
      </c>
      <c r="F384" s="3">
        <v>138.5</v>
      </c>
      <c r="G384" s="3">
        <v>70.290000000000006</v>
      </c>
      <c r="H384" s="3">
        <v>73.92</v>
      </c>
      <c r="I384" s="3">
        <v>71.36</v>
      </c>
      <c r="J384" s="3">
        <v>53.69</v>
      </c>
      <c r="K384" s="3">
        <v>17.04</v>
      </c>
      <c r="L384" s="3">
        <v>61453.42</v>
      </c>
      <c r="M384" s="3">
        <v>44289.19</v>
      </c>
      <c r="N384" s="3">
        <v>27.184999999999999</v>
      </c>
      <c r="O384" s="3">
        <v>6.7570000000000005E-2</v>
      </c>
      <c r="P384" s="3">
        <v>4.9850000000000003</v>
      </c>
      <c r="Q384" s="3">
        <v>116.83</v>
      </c>
      <c r="R384" s="3">
        <v>75.314999999999998</v>
      </c>
      <c r="S384" s="3">
        <v>194.17</v>
      </c>
    </row>
    <row r="385" spans="1:19" ht="14.4" x14ac:dyDescent="0.3">
      <c r="A385" s="2">
        <v>44460</v>
      </c>
      <c r="B385" s="3">
        <v>100.79</v>
      </c>
      <c r="C385" s="3">
        <v>126.75</v>
      </c>
      <c r="D385" s="3">
        <v>149.79</v>
      </c>
      <c r="E385" s="3">
        <v>158.69999999999999</v>
      </c>
      <c r="F385" s="3">
        <v>138.5</v>
      </c>
      <c r="G385" s="3">
        <v>70.56</v>
      </c>
      <c r="H385" s="3">
        <v>74.36</v>
      </c>
      <c r="I385" s="3">
        <v>71.569999999999993</v>
      </c>
      <c r="J385" s="3">
        <v>53.64</v>
      </c>
      <c r="K385" s="3">
        <v>17.239999999999998</v>
      </c>
      <c r="L385" s="3">
        <v>62362.18</v>
      </c>
      <c r="M385" s="3">
        <v>44560.22</v>
      </c>
      <c r="N385" s="3">
        <v>27.524999999999999</v>
      </c>
      <c r="O385" s="3">
        <v>6.7390000000000005E-2</v>
      </c>
      <c r="P385" s="3">
        <v>4.8049999999999997</v>
      </c>
      <c r="Q385" s="3">
        <v>116.74</v>
      </c>
      <c r="R385" s="3">
        <v>73.78</v>
      </c>
      <c r="S385" s="3">
        <v>194.58</v>
      </c>
    </row>
    <row r="386" spans="1:19" ht="14.4" x14ac:dyDescent="0.3">
      <c r="A386" s="2">
        <v>44461</v>
      </c>
      <c r="B386" s="3">
        <v>100.79</v>
      </c>
      <c r="C386" s="3">
        <v>126.75</v>
      </c>
      <c r="D386" s="3">
        <v>149.79</v>
      </c>
      <c r="E386" s="3">
        <v>158.69999999999999</v>
      </c>
      <c r="F386" s="3">
        <v>138.5</v>
      </c>
      <c r="G386" s="3">
        <v>72.23</v>
      </c>
      <c r="H386" s="3">
        <v>76.19</v>
      </c>
      <c r="I386" s="3">
        <v>72.14</v>
      </c>
      <c r="J386" s="3">
        <v>55.21</v>
      </c>
      <c r="K386" s="5">
        <f>FORECAST(A386,K380:K385,A380:A385)</f>
        <v>16.769270386264907</v>
      </c>
      <c r="L386" s="3">
        <v>63353.05</v>
      </c>
      <c r="M386" s="3">
        <v>45597.05</v>
      </c>
      <c r="N386" s="3">
        <v>26.975000000000001</v>
      </c>
      <c r="O386" s="3">
        <v>6.7540000000000003E-2</v>
      </c>
      <c r="P386" s="3">
        <v>4.8049999999999997</v>
      </c>
      <c r="Q386" s="3">
        <v>116.91</v>
      </c>
      <c r="R386" s="3">
        <v>71.69</v>
      </c>
      <c r="S386" s="3">
        <v>200.22</v>
      </c>
    </row>
    <row r="387" spans="1:19" ht="14.4" x14ac:dyDescent="0.3">
      <c r="A387" s="2">
        <v>44462</v>
      </c>
      <c r="B387" s="3">
        <v>100.79</v>
      </c>
      <c r="C387" s="3">
        <v>126.75</v>
      </c>
      <c r="D387" s="3">
        <v>149.79</v>
      </c>
      <c r="E387" s="3">
        <v>158.69999999999999</v>
      </c>
      <c r="F387" s="3">
        <v>138.5</v>
      </c>
      <c r="G387" s="3">
        <v>73.3</v>
      </c>
      <c r="H387" s="3">
        <v>77.25</v>
      </c>
      <c r="I387" s="3">
        <v>72.349999999999994</v>
      </c>
      <c r="J387" s="3">
        <v>57.08</v>
      </c>
      <c r="K387" s="3">
        <v>17.68</v>
      </c>
      <c r="L387" s="3">
        <v>64049.05</v>
      </c>
      <c r="M387" s="3">
        <v>45246.01</v>
      </c>
      <c r="N387" s="3">
        <v>26.8</v>
      </c>
      <c r="O387" s="3">
        <v>6.7780000000000007E-2</v>
      </c>
      <c r="P387" s="3">
        <v>4.976</v>
      </c>
      <c r="Q387" s="3">
        <v>118.91</v>
      </c>
      <c r="R387" s="3">
        <v>69.685000000000002</v>
      </c>
      <c r="S387" s="3">
        <v>200.4</v>
      </c>
    </row>
    <row r="388" spans="1:19" ht="14.4" x14ac:dyDescent="0.3">
      <c r="A388" s="2">
        <v>44463</v>
      </c>
      <c r="B388" s="3">
        <v>104.18</v>
      </c>
      <c r="C388" s="3">
        <v>130.63</v>
      </c>
      <c r="D388" s="3">
        <v>156.16999999999999</v>
      </c>
      <c r="E388" s="3">
        <v>162.24</v>
      </c>
      <c r="F388" s="3">
        <v>141.65</v>
      </c>
      <c r="G388" s="3">
        <v>73.98</v>
      </c>
      <c r="H388" s="3">
        <v>78.09</v>
      </c>
      <c r="I388" s="3">
        <v>72.45</v>
      </c>
      <c r="J388" s="3">
        <v>57.59</v>
      </c>
      <c r="K388" s="3">
        <v>16.760000000000002</v>
      </c>
      <c r="L388" s="5">
        <f>FORECAST(A388,L382:L387,A382:A387)</f>
        <v>63142.603519313503</v>
      </c>
      <c r="M388" s="5">
        <f>FORECAST(A388,M382:M387,A382:A387)</f>
        <v>45481.782317597419</v>
      </c>
      <c r="N388" s="3">
        <v>27.495000000000001</v>
      </c>
      <c r="O388" s="3">
        <v>6.6790000000000002E-2</v>
      </c>
      <c r="P388" s="3">
        <v>5.14</v>
      </c>
      <c r="Q388" s="3">
        <v>119.74</v>
      </c>
      <c r="R388" s="3">
        <v>70.239999999999995</v>
      </c>
      <c r="S388" s="3">
        <v>197.12</v>
      </c>
    </row>
    <row r="389" spans="1:19" ht="14.4" x14ac:dyDescent="0.3">
      <c r="A389" s="2">
        <v>44466</v>
      </c>
      <c r="B389" s="3">
        <v>104.18</v>
      </c>
      <c r="C389" s="3">
        <v>130.63</v>
      </c>
      <c r="D389" s="3">
        <v>156.16999999999999</v>
      </c>
      <c r="E389" s="3">
        <v>162.24</v>
      </c>
      <c r="F389" s="3">
        <v>141.65</v>
      </c>
      <c r="G389" s="3">
        <v>75.45</v>
      </c>
      <c r="H389" s="3">
        <v>79.53</v>
      </c>
      <c r="I389" s="3">
        <v>72.61</v>
      </c>
      <c r="J389" s="3">
        <v>59.3</v>
      </c>
      <c r="K389" s="3">
        <v>16.84</v>
      </c>
      <c r="L389" s="3">
        <v>64197.36</v>
      </c>
      <c r="M389" s="3">
        <v>44391.71</v>
      </c>
      <c r="N389" s="3">
        <v>29.195</v>
      </c>
      <c r="O389" s="3">
        <v>6.6780000000000006E-2</v>
      </c>
      <c r="P389" s="3">
        <v>5.7060000000000004</v>
      </c>
      <c r="Q389" s="3">
        <v>118.64</v>
      </c>
      <c r="R389" s="3">
        <v>76.504999999999995</v>
      </c>
      <c r="S389" s="3">
        <v>196.33</v>
      </c>
    </row>
    <row r="390" spans="1:19" ht="14.4" x14ac:dyDescent="0.3">
      <c r="A390" s="2">
        <v>44467</v>
      </c>
      <c r="B390" s="3">
        <v>104.18</v>
      </c>
      <c r="C390" s="3">
        <v>130.63</v>
      </c>
      <c r="D390" s="3">
        <v>156.16999999999999</v>
      </c>
      <c r="E390" s="3">
        <v>162.24</v>
      </c>
      <c r="F390" s="3">
        <v>141.65</v>
      </c>
      <c r="G390" s="3">
        <v>75.290000000000006</v>
      </c>
      <c r="H390" s="3">
        <v>79.09</v>
      </c>
      <c r="I390" s="3">
        <v>72.63</v>
      </c>
      <c r="J390" s="3">
        <v>59.92</v>
      </c>
      <c r="K390" s="3">
        <v>18.100000000000001</v>
      </c>
      <c r="L390" s="3">
        <v>63784.41</v>
      </c>
      <c r="M390" s="3">
        <v>43477.11</v>
      </c>
      <c r="N390" s="3">
        <v>29.35</v>
      </c>
      <c r="O390" s="3">
        <v>6.6189999999999999E-2</v>
      </c>
      <c r="P390" s="3">
        <v>5.8410000000000002</v>
      </c>
      <c r="Q390" s="3">
        <v>116.55</v>
      </c>
      <c r="R390" s="3">
        <v>78.564999999999998</v>
      </c>
      <c r="S390" s="3">
        <v>198.78</v>
      </c>
    </row>
    <row r="391" spans="1:19" ht="14.4" x14ac:dyDescent="0.3">
      <c r="A391" s="2">
        <v>44468</v>
      </c>
      <c r="B391" s="3">
        <v>104.18</v>
      </c>
      <c r="C391" s="3">
        <v>130.63</v>
      </c>
      <c r="D391" s="3">
        <v>156.16999999999999</v>
      </c>
      <c r="E391" s="3">
        <v>162.24</v>
      </c>
      <c r="F391" s="3">
        <v>141.65</v>
      </c>
      <c r="G391" s="3">
        <v>74.83</v>
      </c>
      <c r="H391" s="3">
        <v>78.64</v>
      </c>
      <c r="I391" s="3">
        <v>72.569999999999993</v>
      </c>
      <c r="J391" s="3">
        <v>59.88</v>
      </c>
      <c r="K391" s="3">
        <v>17.559999999999999</v>
      </c>
      <c r="L391" s="3">
        <v>64363.66</v>
      </c>
      <c r="M391" s="3">
        <v>43281.18</v>
      </c>
      <c r="N391" s="3">
        <v>30.004999999999999</v>
      </c>
      <c r="O391" s="3">
        <v>6.583E-2</v>
      </c>
      <c r="P391" s="3">
        <v>5.4770000000000003</v>
      </c>
      <c r="Q391" s="3">
        <v>116.9</v>
      </c>
      <c r="R391" s="3">
        <v>86.608999999999995</v>
      </c>
      <c r="S391" s="3">
        <v>212.42</v>
      </c>
    </row>
    <row r="392" spans="1:19" ht="14.4" x14ac:dyDescent="0.3">
      <c r="A392" s="2">
        <v>44469</v>
      </c>
      <c r="B392" s="3">
        <v>104.18</v>
      </c>
      <c r="C392" s="3">
        <v>130.63</v>
      </c>
      <c r="D392" s="3">
        <v>156.16999999999999</v>
      </c>
      <c r="E392" s="3">
        <v>162.24</v>
      </c>
      <c r="F392" s="3">
        <v>141.65</v>
      </c>
      <c r="G392" s="3">
        <v>75.03</v>
      </c>
      <c r="H392" s="3">
        <v>78.52</v>
      </c>
      <c r="I392" s="3">
        <v>72.61</v>
      </c>
      <c r="J392" s="3">
        <v>58.82</v>
      </c>
      <c r="K392" s="3">
        <v>18.22</v>
      </c>
      <c r="L392" s="3">
        <v>64281.77</v>
      </c>
      <c r="M392" s="3">
        <v>44663.839999999997</v>
      </c>
      <c r="N392" s="3">
        <v>31.094999999999999</v>
      </c>
      <c r="O392" s="3">
        <v>6.6210000000000005E-2</v>
      </c>
      <c r="P392" s="3">
        <v>5.867</v>
      </c>
      <c r="Q392" s="3">
        <v>114.82</v>
      </c>
      <c r="R392" s="3">
        <v>97.775000000000006</v>
      </c>
      <c r="S392" s="3">
        <v>215.32</v>
      </c>
    </row>
    <row r="393" spans="1:19" ht="14.4" x14ac:dyDescent="0.3">
      <c r="A393" s="2">
        <v>44470</v>
      </c>
      <c r="B393" s="3">
        <v>126.17</v>
      </c>
      <c r="C393" s="3">
        <v>155.43</v>
      </c>
      <c r="D393" s="3">
        <v>183.7</v>
      </c>
      <c r="E393" s="3">
        <v>193.94</v>
      </c>
      <c r="F393" s="3">
        <v>160.76</v>
      </c>
      <c r="G393" s="3">
        <v>75.88</v>
      </c>
      <c r="H393" s="3">
        <v>79.28</v>
      </c>
      <c r="I393" s="3">
        <v>76.77</v>
      </c>
      <c r="J393" s="3">
        <v>60.93</v>
      </c>
      <c r="K393" s="5">
        <f>FORECAST(A393,K387:K392,A387:A392)</f>
        <v>17.99948497853984</v>
      </c>
      <c r="L393" s="3">
        <v>63661.02</v>
      </c>
      <c r="M393" s="3">
        <v>44281.81</v>
      </c>
      <c r="N393" s="3">
        <v>31.07</v>
      </c>
      <c r="O393" s="3">
        <v>6.7140000000000005E-2</v>
      </c>
      <c r="P393" s="3">
        <v>5.6189999999999998</v>
      </c>
      <c r="Q393" s="3">
        <v>115.4</v>
      </c>
      <c r="R393" s="3">
        <v>93.625</v>
      </c>
      <c r="S393" s="3">
        <v>206.78</v>
      </c>
    </row>
    <row r="394" spans="1:19" ht="14.4" x14ac:dyDescent="0.3">
      <c r="A394" s="2">
        <v>44473</v>
      </c>
      <c r="B394" s="3">
        <v>126.17</v>
      </c>
      <c r="C394" s="3">
        <v>155.43</v>
      </c>
      <c r="D394" s="3">
        <v>183.7</v>
      </c>
      <c r="E394" s="3">
        <v>193.94</v>
      </c>
      <c r="F394" s="3">
        <v>160.76</v>
      </c>
      <c r="G394" s="3">
        <v>77.62</v>
      </c>
      <c r="H394" s="3">
        <v>81.260000000000005</v>
      </c>
      <c r="I394" s="3">
        <v>78.52</v>
      </c>
      <c r="J394" s="3">
        <v>61.72</v>
      </c>
      <c r="K394" s="3">
        <v>18.38</v>
      </c>
      <c r="L394" s="3">
        <v>64129</v>
      </c>
      <c r="M394" s="3">
        <v>45901.56</v>
      </c>
      <c r="N394" s="3">
        <v>31.56</v>
      </c>
      <c r="O394" s="3">
        <v>6.6439999999999999E-2</v>
      </c>
      <c r="P394" s="3">
        <v>5.766</v>
      </c>
      <c r="Q394" s="3">
        <v>114.7</v>
      </c>
      <c r="R394" s="3">
        <v>96.65</v>
      </c>
      <c r="S394" s="3">
        <v>210.82</v>
      </c>
    </row>
    <row r="395" spans="1:19" ht="14.4" x14ac:dyDescent="0.3">
      <c r="A395" s="2">
        <v>44474</v>
      </c>
      <c r="B395" s="3">
        <v>126.17</v>
      </c>
      <c r="C395" s="3">
        <v>155.43</v>
      </c>
      <c r="D395" s="3">
        <v>183.7</v>
      </c>
      <c r="E395" s="3">
        <v>193.94</v>
      </c>
      <c r="F395" s="3">
        <v>160.76</v>
      </c>
      <c r="G395" s="3">
        <v>78.930000000000007</v>
      </c>
      <c r="H395" s="3">
        <v>82.56</v>
      </c>
      <c r="I395" s="3">
        <v>79.709999999999994</v>
      </c>
      <c r="J395" s="3">
        <v>61.62</v>
      </c>
      <c r="K395" s="3">
        <v>18.82</v>
      </c>
      <c r="L395" s="3">
        <v>64542.87</v>
      </c>
      <c r="M395" s="3">
        <v>45198.94</v>
      </c>
      <c r="N395" s="3">
        <v>35.064999999999998</v>
      </c>
      <c r="O395" s="3">
        <v>6.6650000000000001E-2</v>
      </c>
      <c r="P395" s="3">
        <v>6.3120000000000003</v>
      </c>
      <c r="Q395" s="3">
        <v>118.08</v>
      </c>
      <c r="R395" s="3">
        <v>116.02</v>
      </c>
      <c r="S395" s="3">
        <v>210.85</v>
      </c>
    </row>
    <row r="396" spans="1:19" ht="14.4" x14ac:dyDescent="0.3">
      <c r="A396" s="2">
        <v>44475</v>
      </c>
      <c r="B396" s="3">
        <v>126.17</v>
      </c>
      <c r="C396" s="3">
        <v>155.43</v>
      </c>
      <c r="D396" s="3">
        <v>183.7</v>
      </c>
      <c r="E396" s="3">
        <v>193.94</v>
      </c>
      <c r="F396" s="3">
        <v>160.76</v>
      </c>
      <c r="G396" s="3">
        <v>77.430000000000007</v>
      </c>
      <c r="H396" s="3">
        <v>81.08</v>
      </c>
      <c r="I396" s="3">
        <v>78.69</v>
      </c>
      <c r="J396" s="3">
        <v>60.49</v>
      </c>
      <c r="K396" s="3">
        <v>18.88</v>
      </c>
      <c r="L396" s="3">
        <v>63987.02</v>
      </c>
      <c r="M396" s="3">
        <v>45097.82</v>
      </c>
      <c r="N396" s="3">
        <v>34.049999999999997</v>
      </c>
      <c r="O396" s="3">
        <v>6.676E-2</v>
      </c>
      <c r="P396" s="3">
        <v>5.6749999999999998</v>
      </c>
      <c r="Q396" s="3">
        <v>122.62</v>
      </c>
      <c r="R396" s="3">
        <v>108.19</v>
      </c>
      <c r="S396" s="3">
        <v>209.18</v>
      </c>
    </row>
    <row r="397" spans="1:19" ht="14.4" x14ac:dyDescent="0.3">
      <c r="A397" s="2">
        <v>44476</v>
      </c>
      <c r="B397" s="3">
        <v>126.17</v>
      </c>
      <c r="C397" s="3">
        <v>155.43</v>
      </c>
      <c r="D397" s="3">
        <v>183.7</v>
      </c>
      <c r="E397" s="3">
        <v>193.94</v>
      </c>
      <c r="F397" s="3">
        <v>160.76</v>
      </c>
      <c r="G397" s="3">
        <v>78.3</v>
      </c>
      <c r="H397" s="3">
        <v>81.95</v>
      </c>
      <c r="I397" s="3">
        <v>79.45</v>
      </c>
      <c r="J397" s="3">
        <v>60.66</v>
      </c>
      <c r="K397" s="3">
        <v>18.68</v>
      </c>
      <c r="L397" s="3">
        <v>65157.75</v>
      </c>
      <c r="M397" s="3">
        <v>47964.04</v>
      </c>
      <c r="N397" s="3">
        <v>33.08</v>
      </c>
      <c r="O397" s="3">
        <v>6.6909999999999997E-2</v>
      </c>
      <c r="P397" s="3">
        <v>5.6769999999999996</v>
      </c>
      <c r="Q397" s="3">
        <v>126.4</v>
      </c>
      <c r="R397" s="3">
        <v>96.584999999999994</v>
      </c>
      <c r="S397" s="3">
        <v>213.43</v>
      </c>
    </row>
    <row r="398" spans="1:19" ht="14.4" x14ac:dyDescent="0.3">
      <c r="A398" s="2">
        <v>44477</v>
      </c>
      <c r="B398" s="3">
        <v>152.61000000000001</v>
      </c>
      <c r="C398" s="3">
        <v>185.6</v>
      </c>
      <c r="D398" s="3">
        <v>216.97</v>
      </c>
      <c r="E398" s="3">
        <v>229.89</v>
      </c>
      <c r="F398" s="3">
        <v>175.32</v>
      </c>
      <c r="G398" s="3">
        <v>79.349999999999994</v>
      </c>
      <c r="H398" s="3">
        <v>82.39</v>
      </c>
      <c r="I398" s="3">
        <v>79.760000000000005</v>
      </c>
      <c r="J398" s="3">
        <v>62.18</v>
      </c>
      <c r="K398" s="3">
        <v>17.46</v>
      </c>
      <c r="L398" s="3">
        <v>65242.61</v>
      </c>
      <c r="M398" s="3">
        <v>51050.33</v>
      </c>
      <c r="N398" s="3">
        <v>32.06</v>
      </c>
      <c r="O398" s="3">
        <v>6.6809999999999994E-2</v>
      </c>
      <c r="P398" s="3">
        <v>5.5650000000000004</v>
      </c>
      <c r="Q398" s="3">
        <v>128.1</v>
      </c>
      <c r="R398" s="3">
        <v>87.605000000000004</v>
      </c>
      <c r="S398" s="3">
        <v>231.97</v>
      </c>
    </row>
    <row r="399" spans="1:19" ht="14.4" x14ac:dyDescent="0.3">
      <c r="A399" s="4">
        <v>44480</v>
      </c>
      <c r="B399" s="3">
        <v>152.61000000000001</v>
      </c>
      <c r="C399" s="3">
        <v>185.6</v>
      </c>
      <c r="D399" s="3">
        <v>216.97</v>
      </c>
      <c r="E399" s="3">
        <v>229.89</v>
      </c>
      <c r="F399" s="3">
        <v>175.32</v>
      </c>
      <c r="G399" s="3">
        <v>80.52</v>
      </c>
      <c r="H399" s="3">
        <v>83.65</v>
      </c>
      <c r="I399" s="3">
        <v>80.680000000000007</v>
      </c>
      <c r="J399" s="3">
        <v>61.56</v>
      </c>
      <c r="K399" s="3">
        <v>18.14</v>
      </c>
      <c r="L399" s="3">
        <v>66101.039999999994</v>
      </c>
      <c r="M399" s="3">
        <v>51714.73</v>
      </c>
      <c r="N399" s="3">
        <v>33.08</v>
      </c>
      <c r="O399" s="3">
        <v>6.6360000000000002E-2</v>
      </c>
      <c r="P399" s="3">
        <v>5.3449999999999998</v>
      </c>
      <c r="Q399" s="3">
        <v>127.57</v>
      </c>
      <c r="R399" s="3">
        <v>85.215000000000003</v>
      </c>
      <c r="S399" s="3">
        <v>260.3</v>
      </c>
    </row>
    <row r="400" spans="1:19" ht="14.4" x14ac:dyDescent="0.3">
      <c r="A400" s="4">
        <v>44481</v>
      </c>
      <c r="B400" s="3">
        <v>152.61000000000001</v>
      </c>
      <c r="C400" s="3">
        <v>185.6</v>
      </c>
      <c r="D400" s="3">
        <v>216.97</v>
      </c>
      <c r="E400" s="3">
        <v>229.89</v>
      </c>
      <c r="F400" s="3">
        <v>175.32</v>
      </c>
      <c r="G400" s="3">
        <v>80.64</v>
      </c>
      <c r="H400" s="3">
        <v>83.42</v>
      </c>
      <c r="I400" s="3">
        <v>80.58</v>
      </c>
      <c r="J400" s="3">
        <v>61.24</v>
      </c>
      <c r="K400" s="3">
        <v>18.34</v>
      </c>
      <c r="L400" s="3">
        <v>65988.12</v>
      </c>
      <c r="M400" s="3">
        <v>52741.48</v>
      </c>
      <c r="N400" s="3">
        <v>32.9</v>
      </c>
      <c r="O400" s="3">
        <v>6.6710000000000005E-2</v>
      </c>
      <c r="P400" s="3">
        <v>5.5049999999999999</v>
      </c>
      <c r="Q400" s="3">
        <v>127.54</v>
      </c>
      <c r="R400" s="3">
        <v>85.7</v>
      </c>
      <c r="S400" s="3">
        <v>263.52</v>
      </c>
    </row>
    <row r="401" spans="1:19" ht="14.4" x14ac:dyDescent="0.3">
      <c r="A401" s="4">
        <v>44482</v>
      </c>
      <c r="B401" s="3">
        <v>152.61000000000001</v>
      </c>
      <c r="C401" s="3">
        <v>185.6</v>
      </c>
      <c r="D401" s="3">
        <v>216.97</v>
      </c>
      <c r="E401" s="3">
        <v>229.89</v>
      </c>
      <c r="F401" s="3">
        <v>175.32</v>
      </c>
      <c r="G401" s="3">
        <v>80.44</v>
      </c>
      <c r="H401" s="3">
        <v>83.18</v>
      </c>
      <c r="I401" s="3">
        <v>80.45</v>
      </c>
      <c r="J401" s="3">
        <v>61.07</v>
      </c>
      <c r="K401" s="5">
        <f t="shared" ref="K401:K402" si="25">FORECAST(A401,K395:K400,A395:A400)</f>
        <v>17.950214592274733</v>
      </c>
      <c r="L401" s="3">
        <v>66012.78</v>
      </c>
      <c r="M401" s="3">
        <v>53722.68</v>
      </c>
      <c r="N401" s="3">
        <v>33.11</v>
      </c>
      <c r="O401" s="3">
        <v>6.7479999999999998E-2</v>
      </c>
      <c r="P401" s="3">
        <v>5.59</v>
      </c>
      <c r="Q401" s="3">
        <v>128.35</v>
      </c>
      <c r="R401" s="3">
        <v>93.614999999999995</v>
      </c>
      <c r="S401" s="3">
        <v>264.57</v>
      </c>
    </row>
    <row r="402" spans="1:19" ht="14.4" x14ac:dyDescent="0.3">
      <c r="A402" s="4">
        <v>44483</v>
      </c>
      <c r="B402" s="3">
        <v>152.61000000000001</v>
      </c>
      <c r="C402" s="3">
        <v>185.6</v>
      </c>
      <c r="D402" s="3">
        <v>216.97</v>
      </c>
      <c r="E402" s="3">
        <v>229.89</v>
      </c>
      <c r="F402" s="3">
        <v>175.32</v>
      </c>
      <c r="G402" s="3">
        <v>81.31</v>
      </c>
      <c r="H402" s="3">
        <v>84</v>
      </c>
      <c r="I402" s="3">
        <v>80.95</v>
      </c>
      <c r="J402" s="3">
        <v>62</v>
      </c>
      <c r="K402" s="5">
        <f t="shared" si="25"/>
        <v>17.907265801403355</v>
      </c>
      <c r="L402" s="3">
        <v>66846.17</v>
      </c>
      <c r="M402" s="3">
        <v>54540.56</v>
      </c>
      <c r="N402" s="3">
        <v>33.305</v>
      </c>
      <c r="O402" s="3">
        <v>6.7570000000000005E-2</v>
      </c>
      <c r="P402" s="3">
        <v>5.6870000000000003</v>
      </c>
      <c r="Q402" s="3">
        <v>128.75</v>
      </c>
      <c r="R402" s="3">
        <v>102.17</v>
      </c>
      <c r="S402" s="3">
        <v>264.37</v>
      </c>
    </row>
    <row r="403" spans="1:19" ht="14.4" x14ac:dyDescent="0.3">
      <c r="A403" s="4">
        <v>44484</v>
      </c>
      <c r="B403" s="3">
        <v>158.44999999999999</v>
      </c>
      <c r="C403" s="3">
        <v>192.5</v>
      </c>
      <c r="D403" s="3">
        <v>224.43</v>
      </c>
      <c r="E403" s="3">
        <v>239.82</v>
      </c>
      <c r="F403" s="3">
        <v>217.15</v>
      </c>
      <c r="G403" s="3">
        <v>82.28</v>
      </c>
      <c r="H403" s="3">
        <v>84.86</v>
      </c>
      <c r="I403" s="3">
        <v>81.510000000000005</v>
      </c>
      <c r="J403" s="3">
        <v>62.59</v>
      </c>
      <c r="K403" s="3">
        <v>17.96</v>
      </c>
      <c r="L403" s="3">
        <v>67028.86</v>
      </c>
      <c r="M403" s="3">
        <v>54203.69</v>
      </c>
      <c r="N403" s="3">
        <v>33.253999999999998</v>
      </c>
      <c r="O403" s="3">
        <v>6.8409999999999999E-2</v>
      </c>
      <c r="P403" s="3">
        <v>5.41</v>
      </c>
      <c r="Q403" s="3">
        <v>129.38999999999999</v>
      </c>
      <c r="R403" s="3">
        <v>93.65</v>
      </c>
      <c r="S403" s="1">
        <f>S404</f>
        <v>265.63</v>
      </c>
    </row>
    <row r="404" spans="1:19" ht="14.4" x14ac:dyDescent="0.3">
      <c r="A404" s="4">
        <v>44487</v>
      </c>
      <c r="B404" s="3">
        <v>158.44999999999999</v>
      </c>
      <c r="C404" s="3">
        <v>192.5</v>
      </c>
      <c r="D404" s="3">
        <v>224.43</v>
      </c>
      <c r="E404" s="3">
        <v>239.82</v>
      </c>
      <c r="F404" s="3">
        <v>217.15</v>
      </c>
      <c r="G404" s="3">
        <v>82.44</v>
      </c>
      <c r="H404" s="3">
        <v>84.33</v>
      </c>
      <c r="I404" s="3">
        <v>81.31</v>
      </c>
      <c r="J404" s="3">
        <v>62.56</v>
      </c>
      <c r="K404" s="3">
        <v>19.079999999999998</v>
      </c>
      <c r="L404" s="3">
        <v>66792.100000000006</v>
      </c>
      <c r="M404" s="3">
        <v>53787.59</v>
      </c>
      <c r="N404" s="3">
        <v>34.340000000000003</v>
      </c>
      <c r="O404" s="3">
        <v>6.8040000000000003E-2</v>
      </c>
      <c r="P404" s="3">
        <v>4.9889999999999999</v>
      </c>
      <c r="Q404" s="3">
        <v>130.30000000000001</v>
      </c>
      <c r="R404" s="3">
        <v>93.935000000000002</v>
      </c>
      <c r="S404" s="3">
        <v>265.63</v>
      </c>
    </row>
    <row r="405" spans="1:19" ht="14.4" x14ac:dyDescent="0.3">
      <c r="A405" s="4">
        <v>44488</v>
      </c>
      <c r="B405" s="3">
        <v>158.44999999999999</v>
      </c>
      <c r="C405" s="3">
        <v>192.5</v>
      </c>
      <c r="D405" s="3">
        <v>224.43</v>
      </c>
      <c r="E405" s="3">
        <v>239.82</v>
      </c>
      <c r="F405" s="3">
        <v>217.15</v>
      </c>
      <c r="G405" s="3">
        <v>82.96</v>
      </c>
      <c r="H405" s="3">
        <v>85.08</v>
      </c>
      <c r="I405" s="3">
        <v>81.61</v>
      </c>
      <c r="J405" s="3">
        <v>63.5</v>
      </c>
      <c r="K405" s="3">
        <v>18.600000000000001</v>
      </c>
      <c r="L405" s="3">
        <v>66776.149999999994</v>
      </c>
      <c r="M405" s="3">
        <v>53644.81</v>
      </c>
      <c r="N405" s="3">
        <v>34.89</v>
      </c>
      <c r="O405" s="3">
        <v>6.8790000000000004E-2</v>
      </c>
      <c r="P405" s="3">
        <v>5.0880000000000001</v>
      </c>
      <c r="Q405" s="3">
        <v>130.91</v>
      </c>
      <c r="R405" s="3">
        <v>89.93</v>
      </c>
      <c r="S405" s="3">
        <v>281.77999999999997</v>
      </c>
    </row>
    <row r="406" spans="1:19" ht="14.4" x14ac:dyDescent="0.3">
      <c r="A406" s="4">
        <v>44489</v>
      </c>
      <c r="B406" s="3">
        <v>158.44999999999999</v>
      </c>
      <c r="C406" s="3">
        <v>192.5</v>
      </c>
      <c r="D406" s="3">
        <v>224.43</v>
      </c>
      <c r="E406" s="3">
        <v>239.82</v>
      </c>
      <c r="F406" s="3">
        <v>217.15</v>
      </c>
      <c r="G406" s="3">
        <v>83.87</v>
      </c>
      <c r="H406" s="3">
        <v>85.82</v>
      </c>
      <c r="I406" s="3">
        <v>81.81</v>
      </c>
      <c r="J406" s="3">
        <v>63.85</v>
      </c>
      <c r="K406" s="3">
        <v>18.04</v>
      </c>
      <c r="L406" s="3">
        <v>66894.789999999994</v>
      </c>
      <c r="M406" s="3">
        <v>53876.08</v>
      </c>
      <c r="N406" s="3">
        <v>35.555</v>
      </c>
      <c r="O406" s="3">
        <v>6.9400000000000003E-2</v>
      </c>
      <c r="P406" s="3">
        <v>5.17</v>
      </c>
      <c r="Q406" s="3">
        <v>130.22</v>
      </c>
      <c r="R406" s="3">
        <v>93.45</v>
      </c>
      <c r="S406" s="3">
        <v>263.14999999999998</v>
      </c>
    </row>
    <row r="407" spans="1:19" ht="14.4" x14ac:dyDescent="0.3">
      <c r="A407" s="4">
        <v>44490</v>
      </c>
      <c r="B407" s="3">
        <v>158.44999999999999</v>
      </c>
      <c r="C407" s="3">
        <v>192.5</v>
      </c>
      <c r="D407" s="3">
        <v>224.43</v>
      </c>
      <c r="E407" s="3">
        <v>239.82</v>
      </c>
      <c r="F407" s="3">
        <v>217.15</v>
      </c>
      <c r="G407" s="3">
        <v>82.5</v>
      </c>
      <c r="H407" s="3">
        <v>84.61</v>
      </c>
      <c r="I407" s="3">
        <v>81.44</v>
      </c>
      <c r="J407" s="3">
        <v>62.69</v>
      </c>
      <c r="K407" s="3">
        <v>18.62</v>
      </c>
      <c r="L407" s="3">
        <v>66057.58</v>
      </c>
      <c r="M407" s="3">
        <v>52522.51</v>
      </c>
      <c r="N407" s="3">
        <v>33.454999999999998</v>
      </c>
      <c r="O407" s="3">
        <v>6.8040000000000003E-2</v>
      </c>
      <c r="P407" s="3">
        <v>5.1150000000000002</v>
      </c>
      <c r="Q407" s="3">
        <v>129.61000000000001</v>
      </c>
      <c r="R407" s="3">
        <v>88.465000000000003</v>
      </c>
      <c r="S407" s="3">
        <v>252.65</v>
      </c>
    </row>
    <row r="408" spans="1:19" ht="14.4" x14ac:dyDescent="0.3">
      <c r="A408" s="4">
        <v>44491</v>
      </c>
      <c r="B408" s="3">
        <v>132.88</v>
      </c>
      <c r="C408" s="3">
        <v>167.09</v>
      </c>
      <c r="D408" s="3">
        <v>191.93</v>
      </c>
      <c r="E408" s="3">
        <v>212.47</v>
      </c>
      <c r="F408" s="3">
        <v>196.52</v>
      </c>
      <c r="G408" s="3">
        <v>83.76</v>
      </c>
      <c r="H408" s="3">
        <v>85.53</v>
      </c>
      <c r="I408" s="3">
        <v>81.61</v>
      </c>
      <c r="J408" s="3">
        <v>63.12</v>
      </c>
      <c r="K408" s="3">
        <v>17.86</v>
      </c>
      <c r="L408" s="3">
        <v>67050.52</v>
      </c>
      <c r="M408" s="3">
        <v>54421.08</v>
      </c>
      <c r="N408" s="3">
        <v>33.255000000000003</v>
      </c>
      <c r="O408" s="3">
        <v>6.7419999999999994E-2</v>
      </c>
      <c r="P408" s="3">
        <v>5.28</v>
      </c>
      <c r="Q408" s="3">
        <v>131.6</v>
      </c>
      <c r="R408" s="3">
        <v>87.34</v>
      </c>
      <c r="S408" s="3">
        <v>254.87</v>
      </c>
    </row>
    <row r="409" spans="1:19" ht="14.4" x14ac:dyDescent="0.3">
      <c r="A409" s="4">
        <v>44494</v>
      </c>
      <c r="B409" s="3">
        <v>132.88</v>
      </c>
      <c r="C409" s="3">
        <v>167.09</v>
      </c>
      <c r="D409" s="3">
        <v>191.93</v>
      </c>
      <c r="E409" s="3">
        <v>212.47</v>
      </c>
      <c r="F409" s="3">
        <v>196.52</v>
      </c>
      <c r="G409" s="3">
        <v>83.76</v>
      </c>
      <c r="H409" s="3">
        <v>85.99</v>
      </c>
      <c r="I409" s="3">
        <v>81.73</v>
      </c>
      <c r="J409" s="3">
        <v>64.349999999999994</v>
      </c>
      <c r="K409" s="3">
        <v>18.02</v>
      </c>
      <c r="L409" s="3">
        <v>66980.45</v>
      </c>
      <c r="M409" s="3">
        <v>53846.35</v>
      </c>
      <c r="N409" s="3">
        <v>33.575000000000003</v>
      </c>
      <c r="O409" s="3">
        <v>6.794E-2</v>
      </c>
      <c r="P409" s="3">
        <v>5.8979999999999997</v>
      </c>
      <c r="Q409" s="3">
        <v>133.04</v>
      </c>
      <c r="R409" s="3">
        <v>88.644999999999996</v>
      </c>
      <c r="S409" s="3">
        <v>233</v>
      </c>
    </row>
    <row r="410" spans="1:19" ht="14.4" x14ac:dyDescent="0.3">
      <c r="A410" s="4">
        <v>44495</v>
      </c>
      <c r="B410" s="3">
        <v>132.88</v>
      </c>
      <c r="C410" s="3">
        <v>167.09</v>
      </c>
      <c r="D410" s="3">
        <v>191.93</v>
      </c>
      <c r="E410" s="3">
        <v>212.47</v>
      </c>
      <c r="F410" s="3">
        <v>196.52</v>
      </c>
      <c r="G410" s="3">
        <v>84.65</v>
      </c>
      <c r="H410" s="3">
        <v>86.4</v>
      </c>
      <c r="I410" s="3">
        <v>81.819999999999993</v>
      </c>
      <c r="J410" s="3">
        <v>65.84</v>
      </c>
      <c r="K410" s="3">
        <v>17.48</v>
      </c>
      <c r="L410" s="3">
        <v>67615.31</v>
      </c>
      <c r="M410" s="3">
        <v>53822.720000000001</v>
      </c>
      <c r="N410" s="3">
        <v>34.204999999999998</v>
      </c>
      <c r="O410" s="3">
        <v>6.7309999999999995E-2</v>
      </c>
      <c r="P410" s="3">
        <v>5.8819999999999997</v>
      </c>
      <c r="Q410" s="3">
        <v>133.72</v>
      </c>
      <c r="R410" s="3">
        <v>88.495000000000005</v>
      </c>
      <c r="S410" s="3">
        <v>244</v>
      </c>
    </row>
    <row r="411" spans="1:19" ht="14.4" x14ac:dyDescent="0.3">
      <c r="A411" s="4">
        <v>44496</v>
      </c>
      <c r="B411" s="3">
        <v>132.88</v>
      </c>
      <c r="C411" s="3">
        <v>167.09</v>
      </c>
      <c r="D411" s="3">
        <v>191.93</v>
      </c>
      <c r="E411" s="3">
        <v>212.47</v>
      </c>
      <c r="F411" s="3">
        <v>196.52</v>
      </c>
      <c r="G411" s="3">
        <v>82.66</v>
      </c>
      <c r="H411" s="3">
        <v>84.58</v>
      </c>
      <c r="I411" s="3">
        <v>81.599999999999994</v>
      </c>
      <c r="J411" s="3">
        <v>64.13</v>
      </c>
      <c r="K411" s="3">
        <v>16.62</v>
      </c>
      <c r="L411" s="3">
        <v>67475.09</v>
      </c>
      <c r="M411" s="3">
        <v>53775.54</v>
      </c>
      <c r="N411" s="3">
        <v>33.905000000000001</v>
      </c>
      <c r="O411" s="3">
        <v>6.6259999999999999E-2</v>
      </c>
      <c r="P411" s="3">
        <v>6.202</v>
      </c>
      <c r="Q411" s="3">
        <v>132.96</v>
      </c>
      <c r="R411" s="3">
        <v>86.82</v>
      </c>
      <c r="S411" s="3">
        <v>245.67</v>
      </c>
    </row>
    <row r="412" spans="1:19" ht="14.4" x14ac:dyDescent="0.3">
      <c r="A412" s="4">
        <v>44497</v>
      </c>
      <c r="B412" s="3">
        <v>132.88</v>
      </c>
      <c r="C412" s="3">
        <v>167.09</v>
      </c>
      <c r="D412" s="3">
        <v>191.93</v>
      </c>
      <c r="E412" s="3">
        <v>212.47</v>
      </c>
      <c r="F412" s="3">
        <v>196.52</v>
      </c>
      <c r="G412" s="3">
        <v>82.81</v>
      </c>
      <c r="H412" s="3">
        <v>84.32</v>
      </c>
      <c r="I412" s="3">
        <v>81.55</v>
      </c>
      <c r="J412" s="3">
        <v>64.31</v>
      </c>
      <c r="K412" s="3">
        <v>16.760000000000002</v>
      </c>
      <c r="L412" s="3">
        <v>67759.759999999995</v>
      </c>
      <c r="M412" s="3">
        <v>53834.02</v>
      </c>
      <c r="N412" s="3">
        <v>32.01</v>
      </c>
      <c r="O412" s="3">
        <v>6.6019999999999995E-2</v>
      </c>
      <c r="P412" s="3">
        <v>5.782</v>
      </c>
      <c r="Q412" s="3">
        <v>135.49</v>
      </c>
      <c r="R412" s="3">
        <v>77.031999999999996</v>
      </c>
      <c r="S412" s="3">
        <v>236.8</v>
      </c>
    </row>
    <row r="413" spans="1:19" ht="14.4" x14ac:dyDescent="0.3">
      <c r="A413" s="4">
        <v>44498</v>
      </c>
      <c r="B413" s="3">
        <v>103.51</v>
      </c>
      <c r="C413" s="3">
        <v>130.91</v>
      </c>
      <c r="D413" s="3">
        <v>155.6</v>
      </c>
      <c r="E413" s="3">
        <v>175.77</v>
      </c>
      <c r="F413" s="3">
        <v>172.48</v>
      </c>
      <c r="G413" s="3">
        <v>83.57</v>
      </c>
      <c r="H413" s="3">
        <v>84.38</v>
      </c>
      <c r="I413" s="3">
        <v>81.58</v>
      </c>
      <c r="J413" s="3">
        <v>64.47</v>
      </c>
      <c r="K413" s="3">
        <v>16.760000000000002</v>
      </c>
      <c r="L413" s="3">
        <v>67464.69</v>
      </c>
      <c r="M413" s="3">
        <v>52811.87</v>
      </c>
      <c r="N413" s="3">
        <v>30</v>
      </c>
      <c r="O413" s="3">
        <v>6.5729999999999997E-2</v>
      </c>
      <c r="P413" s="3">
        <v>5.4260000000000002</v>
      </c>
      <c r="Q413" s="3">
        <v>138.46</v>
      </c>
      <c r="R413" s="3">
        <v>64.864999999999995</v>
      </c>
      <c r="S413" s="3">
        <v>236.1</v>
      </c>
    </row>
    <row r="414" spans="1:19" ht="14.4" x14ac:dyDescent="0.3">
      <c r="A414" s="2">
        <v>44501</v>
      </c>
      <c r="B414" s="3">
        <v>103.51</v>
      </c>
      <c r="C414" s="3">
        <v>130.91</v>
      </c>
      <c r="D414" s="3">
        <v>155.6</v>
      </c>
      <c r="E414" s="3">
        <v>175.77</v>
      </c>
      <c r="F414" s="3">
        <v>172.48</v>
      </c>
      <c r="G414" s="3">
        <v>84.05</v>
      </c>
      <c r="H414" s="3">
        <v>84.71</v>
      </c>
      <c r="I414" s="3">
        <v>82.38</v>
      </c>
      <c r="J414" s="3">
        <v>65.63</v>
      </c>
      <c r="K414" s="3">
        <v>16.920000000000002</v>
      </c>
      <c r="L414" s="5">
        <f>FORECAST(A414,L408:L413,A408:A413)</f>
        <v>67923.571621621959</v>
      </c>
      <c r="M414" s="5">
        <f>FORECAST(A414,M408:M413,A408:A413)</f>
        <v>52729.663243242539</v>
      </c>
      <c r="N414" s="3">
        <v>29.204999999999998</v>
      </c>
      <c r="O414" s="3">
        <v>6.4799999999999996E-2</v>
      </c>
      <c r="P414" s="3">
        <v>5.1859999999999999</v>
      </c>
      <c r="Q414" s="3">
        <v>137.13</v>
      </c>
      <c r="R414" s="3">
        <v>65.62</v>
      </c>
      <c r="S414" s="3">
        <v>244.68</v>
      </c>
    </row>
    <row r="415" spans="1:19" ht="14.4" x14ac:dyDescent="0.3">
      <c r="A415" s="2">
        <v>44502</v>
      </c>
      <c r="B415" s="3">
        <v>103.51</v>
      </c>
      <c r="C415" s="3">
        <v>130.91</v>
      </c>
      <c r="D415" s="3">
        <v>155.6</v>
      </c>
      <c r="E415" s="3">
        <v>175.77</v>
      </c>
      <c r="F415" s="3">
        <v>172.48</v>
      </c>
      <c r="G415" s="3">
        <v>83.91</v>
      </c>
      <c r="H415" s="3">
        <v>84.72</v>
      </c>
      <c r="I415" s="3">
        <v>82.54</v>
      </c>
      <c r="J415" s="3">
        <v>64.819999999999993</v>
      </c>
      <c r="K415" s="3">
        <v>16.48</v>
      </c>
      <c r="L415" s="3">
        <v>67782.2</v>
      </c>
      <c r="M415" s="3">
        <v>53284.84</v>
      </c>
      <c r="N415" s="3">
        <v>30.805</v>
      </c>
      <c r="O415" s="3">
        <v>6.4740000000000006E-2</v>
      </c>
      <c r="P415" s="3">
        <v>5.5419999999999998</v>
      </c>
      <c r="Q415" s="3">
        <v>138.81</v>
      </c>
      <c r="R415" s="3">
        <v>67.605000000000004</v>
      </c>
      <c r="S415" s="3">
        <v>248.32</v>
      </c>
    </row>
    <row r="416" spans="1:19" ht="14.4" x14ac:dyDescent="0.3">
      <c r="A416" s="2">
        <v>44503</v>
      </c>
      <c r="B416" s="3">
        <v>103.51</v>
      </c>
      <c r="C416" s="3">
        <v>130.91</v>
      </c>
      <c r="D416" s="3">
        <v>155.6</v>
      </c>
      <c r="E416" s="3">
        <v>175.77</v>
      </c>
      <c r="F416" s="3">
        <v>172.48</v>
      </c>
      <c r="G416" s="3">
        <v>80.86</v>
      </c>
      <c r="H416" s="3">
        <v>81.99</v>
      </c>
      <c r="I416" s="3">
        <v>80.16</v>
      </c>
      <c r="J416" s="3">
        <v>63.93</v>
      </c>
      <c r="K416" s="3">
        <v>16.86</v>
      </c>
      <c r="L416" s="3">
        <v>68587.27</v>
      </c>
      <c r="M416" s="3">
        <v>53521.599999999999</v>
      </c>
      <c r="N416" s="3">
        <v>32.755000000000003</v>
      </c>
      <c r="O416" s="3">
        <v>6.547E-2</v>
      </c>
      <c r="P416" s="3">
        <v>5.67</v>
      </c>
      <c r="Q416" s="3">
        <v>137.19</v>
      </c>
      <c r="R416" s="3">
        <v>76.540000000000006</v>
      </c>
      <c r="S416" s="3">
        <v>242.7</v>
      </c>
    </row>
    <row r="417" spans="1:19" ht="14.4" x14ac:dyDescent="0.3">
      <c r="A417" s="2">
        <v>44504</v>
      </c>
      <c r="B417" s="3">
        <v>103.51</v>
      </c>
      <c r="C417" s="3">
        <v>130.91</v>
      </c>
      <c r="D417" s="3">
        <v>155.6</v>
      </c>
      <c r="E417" s="3">
        <v>175.77</v>
      </c>
      <c r="F417" s="3">
        <v>172.48</v>
      </c>
      <c r="G417" s="3">
        <v>78.81</v>
      </c>
      <c r="H417" s="3">
        <v>80.540000000000006</v>
      </c>
      <c r="I417" s="3">
        <v>78.95</v>
      </c>
      <c r="J417" s="3">
        <v>64.41</v>
      </c>
      <c r="K417" s="3">
        <v>16.7</v>
      </c>
      <c r="L417" s="3">
        <v>68156.210000000006</v>
      </c>
      <c r="M417" s="3">
        <v>54258.93</v>
      </c>
      <c r="N417" s="3">
        <v>32.005000000000003</v>
      </c>
      <c r="O417" s="3">
        <v>6.5699999999999995E-2</v>
      </c>
      <c r="P417" s="3">
        <v>5.7160000000000002</v>
      </c>
      <c r="Q417" s="3">
        <v>136.52000000000001</v>
      </c>
      <c r="R417" s="3">
        <v>73.375</v>
      </c>
      <c r="S417" s="3">
        <v>245.73</v>
      </c>
    </row>
    <row r="418" spans="1:19" ht="14.4" x14ac:dyDescent="0.3">
      <c r="A418" s="2">
        <v>44505</v>
      </c>
      <c r="B418" s="3">
        <v>84.19</v>
      </c>
      <c r="C418" s="3">
        <v>107.17</v>
      </c>
      <c r="D418" s="3">
        <v>122.99</v>
      </c>
      <c r="E418" s="3">
        <v>136.78</v>
      </c>
      <c r="F418" s="3">
        <v>140.33000000000001</v>
      </c>
      <c r="G418" s="3">
        <v>81.27</v>
      </c>
      <c r="H418" s="3">
        <v>82.74</v>
      </c>
      <c r="I418" s="3">
        <v>80.94</v>
      </c>
      <c r="J418" s="3">
        <v>65.02</v>
      </c>
      <c r="K418" s="3">
        <v>16.14</v>
      </c>
      <c r="L418" s="3">
        <v>67825.34</v>
      </c>
      <c r="M418" s="3">
        <v>52648.88</v>
      </c>
      <c r="N418" s="3">
        <v>31.62</v>
      </c>
      <c r="O418" s="3">
        <v>6.6379999999999995E-2</v>
      </c>
      <c r="P418" s="3">
        <v>5.516</v>
      </c>
      <c r="Q418" s="3">
        <v>136.08000000000001</v>
      </c>
      <c r="R418" s="3">
        <v>74.025000000000006</v>
      </c>
      <c r="S418" s="1">
        <f>S419</f>
        <v>260.12</v>
      </c>
    </row>
    <row r="419" spans="1:19" ht="14.4" x14ac:dyDescent="0.3">
      <c r="A419" s="2">
        <v>44508</v>
      </c>
      <c r="B419" s="3">
        <v>84.19</v>
      </c>
      <c r="C419" s="3">
        <v>107.17</v>
      </c>
      <c r="D419" s="3">
        <v>122.99</v>
      </c>
      <c r="E419" s="3">
        <v>136.78</v>
      </c>
      <c r="F419" s="3">
        <v>140.33000000000001</v>
      </c>
      <c r="G419" s="3">
        <v>81.93</v>
      </c>
      <c r="H419" s="3">
        <v>83.43</v>
      </c>
      <c r="I419" s="3">
        <v>81.62</v>
      </c>
      <c r="J419" s="3">
        <v>65.72</v>
      </c>
      <c r="K419" s="3">
        <v>16.600000000000001</v>
      </c>
      <c r="L419" s="3">
        <v>68049.34</v>
      </c>
      <c r="M419" s="3">
        <v>53007.26</v>
      </c>
      <c r="N419" s="3">
        <v>32.145000000000003</v>
      </c>
      <c r="O419" s="3">
        <v>6.701E-2</v>
      </c>
      <c r="P419" s="3">
        <v>5.4269999999999996</v>
      </c>
      <c r="Q419" s="3">
        <v>135.75</v>
      </c>
      <c r="R419" s="3">
        <v>79.075000000000003</v>
      </c>
      <c r="S419" s="3">
        <v>260.12</v>
      </c>
    </row>
    <row r="420" spans="1:19" ht="14.4" x14ac:dyDescent="0.3">
      <c r="A420" s="2">
        <v>44509</v>
      </c>
      <c r="B420" s="3">
        <v>84.19</v>
      </c>
      <c r="C420" s="3">
        <v>107.17</v>
      </c>
      <c r="D420" s="3">
        <v>122.99</v>
      </c>
      <c r="E420" s="3">
        <v>136.78</v>
      </c>
      <c r="F420" s="3">
        <v>140.33000000000001</v>
      </c>
      <c r="G420" s="3">
        <v>84.15</v>
      </c>
      <c r="H420" s="3">
        <v>84.78</v>
      </c>
      <c r="I420" s="3">
        <v>82.58</v>
      </c>
      <c r="J420" s="3">
        <v>66.36</v>
      </c>
      <c r="K420" s="3">
        <v>16.2</v>
      </c>
      <c r="L420" s="3">
        <v>67983.199999999997</v>
      </c>
      <c r="M420" s="3">
        <v>51550.5</v>
      </c>
      <c r="N420" s="3">
        <v>31.76</v>
      </c>
      <c r="O420" s="3">
        <v>6.6559999999999994E-2</v>
      </c>
      <c r="P420" s="3">
        <v>4.9790000000000001</v>
      </c>
      <c r="Q420" s="3">
        <v>135.47999999999999</v>
      </c>
      <c r="R420" s="3">
        <v>72.584999999999994</v>
      </c>
      <c r="S420" s="3">
        <v>260.7</v>
      </c>
    </row>
    <row r="421" spans="1:19" ht="14.4" x14ac:dyDescent="0.3">
      <c r="A421" s="4">
        <v>44510</v>
      </c>
      <c r="B421" s="3">
        <v>84.19</v>
      </c>
      <c r="C421" s="3">
        <v>107.17</v>
      </c>
      <c r="D421" s="3">
        <v>122.99</v>
      </c>
      <c r="E421" s="3">
        <v>136.78</v>
      </c>
      <c r="F421" s="3">
        <v>140.33000000000001</v>
      </c>
      <c r="G421" s="3">
        <v>81.34</v>
      </c>
      <c r="H421" s="3">
        <v>82.64</v>
      </c>
      <c r="I421" s="3">
        <v>81.27</v>
      </c>
      <c r="J421" s="3">
        <v>64.19</v>
      </c>
      <c r="K421" s="3">
        <v>16.18</v>
      </c>
      <c r="L421" s="3">
        <v>68279.399999999994</v>
      </c>
      <c r="M421" s="3">
        <v>54731.95</v>
      </c>
      <c r="N421" s="3">
        <v>31.14</v>
      </c>
      <c r="O421" s="3">
        <v>6.4810000000000006E-2</v>
      </c>
      <c r="P421" s="3">
        <v>4.88</v>
      </c>
      <c r="Q421" s="3">
        <v>134.21</v>
      </c>
      <c r="R421" s="3">
        <v>70.125</v>
      </c>
      <c r="S421" s="3">
        <v>259.93</v>
      </c>
    </row>
    <row r="422" spans="1:19" ht="14.4" x14ac:dyDescent="0.3">
      <c r="A422" s="4">
        <v>44511</v>
      </c>
      <c r="B422" s="3">
        <v>84.19</v>
      </c>
      <c r="C422" s="3">
        <v>107.17</v>
      </c>
      <c r="D422" s="3">
        <v>122.99</v>
      </c>
      <c r="E422" s="3">
        <v>136.78</v>
      </c>
      <c r="F422" s="3">
        <v>140.33000000000001</v>
      </c>
      <c r="G422" s="3">
        <v>81.59</v>
      </c>
      <c r="H422" s="3">
        <v>82.87</v>
      </c>
      <c r="I422" s="3">
        <v>81.67</v>
      </c>
      <c r="J422" s="3">
        <v>64.31</v>
      </c>
      <c r="K422" s="3">
        <v>16.48</v>
      </c>
      <c r="L422" s="3">
        <v>69131.56</v>
      </c>
      <c r="M422" s="3">
        <v>57463.88</v>
      </c>
      <c r="N422" s="3">
        <v>31.414999999999999</v>
      </c>
      <c r="O422" s="3">
        <v>6.5299999999999997E-2</v>
      </c>
      <c r="P422" s="3">
        <v>5.149</v>
      </c>
      <c r="Q422" s="3">
        <v>134</v>
      </c>
      <c r="R422" s="3">
        <v>74.790000000000006</v>
      </c>
      <c r="S422" s="3">
        <v>262.93</v>
      </c>
    </row>
    <row r="423" spans="1:19" ht="14.4" x14ac:dyDescent="0.3">
      <c r="A423" s="4">
        <v>44512</v>
      </c>
      <c r="B423" s="3">
        <v>86.7</v>
      </c>
      <c r="C423" s="3">
        <v>107.14</v>
      </c>
      <c r="D423" s="3">
        <v>127.16</v>
      </c>
      <c r="E423" s="3">
        <v>137.69</v>
      </c>
      <c r="F423" s="3">
        <v>132.75</v>
      </c>
      <c r="G423" s="3">
        <v>80.790000000000006</v>
      </c>
      <c r="H423" s="3">
        <v>82.17</v>
      </c>
      <c r="I423" s="3">
        <v>81.48</v>
      </c>
      <c r="J423" s="3">
        <v>63.82</v>
      </c>
      <c r="K423" s="3">
        <v>16.3</v>
      </c>
      <c r="L423" s="3">
        <v>69921.37</v>
      </c>
      <c r="M423" s="3">
        <v>56086.59</v>
      </c>
      <c r="N423" s="3">
        <v>31.565000000000001</v>
      </c>
      <c r="O423" s="3">
        <v>6.5040000000000001E-2</v>
      </c>
      <c r="P423" s="3">
        <v>4.7910000000000004</v>
      </c>
      <c r="Q423" s="3">
        <v>135.29</v>
      </c>
      <c r="R423" s="3">
        <v>75.674999999999997</v>
      </c>
      <c r="S423" s="3">
        <v>264.37</v>
      </c>
    </row>
    <row r="424" spans="1:19" ht="14.4" x14ac:dyDescent="0.3">
      <c r="A424" s="4">
        <v>44515</v>
      </c>
      <c r="B424" s="3">
        <v>86.7</v>
      </c>
      <c r="C424" s="3">
        <v>107.14</v>
      </c>
      <c r="D424" s="3">
        <v>127.16</v>
      </c>
      <c r="E424" s="3">
        <v>137.69</v>
      </c>
      <c r="F424" s="3">
        <v>132.75</v>
      </c>
      <c r="G424" s="3">
        <v>80.88</v>
      </c>
      <c r="H424" s="3">
        <v>82.05</v>
      </c>
      <c r="I424" s="3">
        <v>81.41</v>
      </c>
      <c r="J424" s="3">
        <v>64.37</v>
      </c>
      <c r="K424" s="3">
        <v>16.14</v>
      </c>
      <c r="L424" s="3">
        <v>70090.539999999994</v>
      </c>
      <c r="M424" s="3">
        <v>56422.52</v>
      </c>
      <c r="N424" s="3">
        <v>31.611999999999998</v>
      </c>
      <c r="O424" s="3">
        <v>6.5579999999999999E-2</v>
      </c>
      <c r="P424" s="3">
        <v>5.0170000000000003</v>
      </c>
      <c r="Q424" s="3">
        <v>135.29</v>
      </c>
      <c r="R424" s="3">
        <v>79.944999999999993</v>
      </c>
      <c r="S424" s="3">
        <v>270.89999999999998</v>
      </c>
    </row>
    <row r="425" spans="1:19" ht="14.4" x14ac:dyDescent="0.3">
      <c r="A425" s="4">
        <v>44516</v>
      </c>
      <c r="B425" s="3">
        <v>86.7</v>
      </c>
      <c r="C425" s="3">
        <v>107.14</v>
      </c>
      <c r="D425" s="3">
        <v>127.16</v>
      </c>
      <c r="E425" s="3">
        <v>137.69</v>
      </c>
      <c r="F425" s="3">
        <v>132.75</v>
      </c>
      <c r="G425" s="3">
        <v>80.760000000000005</v>
      </c>
      <c r="H425" s="3">
        <v>82.43</v>
      </c>
      <c r="I425" s="3">
        <v>81.67</v>
      </c>
      <c r="J425" s="3">
        <v>65.02</v>
      </c>
      <c r="K425" s="3">
        <v>16.239999999999998</v>
      </c>
      <c r="L425" s="3">
        <v>70938.41</v>
      </c>
      <c r="M425" s="3">
        <v>58115.41</v>
      </c>
      <c r="N425" s="3">
        <v>37.844999999999999</v>
      </c>
      <c r="O425" s="3">
        <v>6.4430000000000001E-2</v>
      </c>
      <c r="P425" s="3">
        <v>5.1769999999999996</v>
      </c>
      <c r="Q425" s="3">
        <v>136.07</v>
      </c>
      <c r="R425" s="3">
        <v>94.19</v>
      </c>
      <c r="S425" s="3">
        <v>269.8</v>
      </c>
    </row>
    <row r="426" spans="1:19" ht="14.4" x14ac:dyDescent="0.3">
      <c r="A426" s="4">
        <v>44517</v>
      </c>
      <c r="B426" s="3">
        <v>86.7</v>
      </c>
      <c r="C426" s="3">
        <v>107.14</v>
      </c>
      <c r="D426" s="3">
        <v>127.16</v>
      </c>
      <c r="E426" s="3">
        <v>137.69</v>
      </c>
      <c r="F426" s="3">
        <v>132.75</v>
      </c>
      <c r="G426" s="3">
        <v>78.36</v>
      </c>
      <c r="H426" s="3">
        <v>80.28</v>
      </c>
      <c r="I426" s="3">
        <v>80.760000000000005</v>
      </c>
      <c r="J426" s="3">
        <v>64.31</v>
      </c>
      <c r="K426" s="3">
        <v>16.2</v>
      </c>
      <c r="L426" s="3">
        <v>70942.34</v>
      </c>
      <c r="M426" s="3">
        <v>58275.27</v>
      </c>
      <c r="N426" s="3">
        <v>37.284999999999997</v>
      </c>
      <c r="O426" s="3">
        <v>6.4479999999999996E-2</v>
      </c>
      <c r="P426" s="3">
        <v>4.8159999999999998</v>
      </c>
      <c r="Q426" s="3">
        <v>136.27000000000001</v>
      </c>
      <c r="R426" s="3">
        <v>95.004999999999995</v>
      </c>
      <c r="S426" s="3">
        <v>272.18</v>
      </c>
    </row>
    <row r="427" spans="1:19" ht="14.4" x14ac:dyDescent="0.3">
      <c r="A427" s="4">
        <v>44518</v>
      </c>
      <c r="B427" s="3">
        <v>86.7</v>
      </c>
      <c r="C427" s="3">
        <v>107.14</v>
      </c>
      <c r="D427" s="3">
        <v>127.16</v>
      </c>
      <c r="E427" s="3">
        <v>137.69</v>
      </c>
      <c r="F427" s="3">
        <v>132.75</v>
      </c>
      <c r="G427" s="3">
        <v>79.010000000000005</v>
      </c>
      <c r="H427" s="3">
        <v>81.239999999999995</v>
      </c>
      <c r="I427" s="3">
        <v>81.11</v>
      </c>
      <c r="J427" s="3">
        <v>63.61</v>
      </c>
      <c r="K427" s="3">
        <v>16.059999999999999</v>
      </c>
      <c r="L427" s="3">
        <v>70866.570000000007</v>
      </c>
      <c r="M427" s="3">
        <v>57716.13</v>
      </c>
      <c r="N427" s="3">
        <v>37.564999999999998</v>
      </c>
      <c r="O427" s="3">
        <v>6.3869999999999996E-2</v>
      </c>
      <c r="P427" s="3">
        <v>4.9020000000000001</v>
      </c>
      <c r="Q427" s="3">
        <v>135.37</v>
      </c>
      <c r="R427" s="3">
        <v>95.165000000000006</v>
      </c>
      <c r="S427" s="3">
        <v>261.92</v>
      </c>
    </row>
    <row r="428" spans="1:19" ht="14.4" x14ac:dyDescent="0.3">
      <c r="A428" s="4">
        <v>44519</v>
      </c>
      <c r="B428" s="3">
        <v>81.900000000000006</v>
      </c>
      <c r="C428" s="3">
        <v>104.56</v>
      </c>
      <c r="D428" s="3">
        <v>122.32</v>
      </c>
      <c r="E428" s="3">
        <v>131.43</v>
      </c>
      <c r="F428" s="3">
        <v>124.36</v>
      </c>
      <c r="G428" s="3">
        <v>76.099999999999994</v>
      </c>
      <c r="H428" s="3">
        <v>78.89</v>
      </c>
      <c r="I428" s="3">
        <v>80.33</v>
      </c>
      <c r="J428" s="3">
        <v>60.67</v>
      </c>
      <c r="K428" s="3">
        <v>16.36</v>
      </c>
      <c r="L428" s="3">
        <v>70376.42</v>
      </c>
      <c r="M428" s="3">
        <v>57045.67</v>
      </c>
      <c r="N428" s="3">
        <v>34.255000000000003</v>
      </c>
      <c r="O428" s="3">
        <v>6.3579999999999998E-2</v>
      </c>
      <c r="P428" s="3">
        <v>5.0650000000000004</v>
      </c>
      <c r="Q428" s="3">
        <v>133.30000000000001</v>
      </c>
      <c r="R428" s="3">
        <v>87.125</v>
      </c>
      <c r="S428" s="1">
        <f>S429</f>
        <v>256.48</v>
      </c>
    </row>
    <row r="429" spans="1:19" ht="14.4" x14ac:dyDescent="0.3">
      <c r="A429" s="4">
        <v>44522</v>
      </c>
      <c r="B429" s="3">
        <v>81.900000000000006</v>
      </c>
      <c r="C429" s="3">
        <v>104.56</v>
      </c>
      <c r="D429" s="3">
        <v>122.32</v>
      </c>
      <c r="E429" s="3">
        <v>131.43</v>
      </c>
      <c r="F429" s="3">
        <v>124.36</v>
      </c>
      <c r="G429" s="3">
        <v>76.75</v>
      </c>
      <c r="H429" s="3">
        <v>79.7</v>
      </c>
      <c r="I429" s="3">
        <v>80.55</v>
      </c>
      <c r="J429" s="3">
        <v>61.51</v>
      </c>
      <c r="K429" s="3">
        <v>16.28</v>
      </c>
      <c r="L429" s="3">
        <v>70865.850000000006</v>
      </c>
      <c r="M429" s="3">
        <v>56595.97</v>
      </c>
      <c r="N429" s="3">
        <v>33.97</v>
      </c>
      <c r="O429" s="3">
        <v>6.3060000000000005E-2</v>
      </c>
      <c r="P429" s="3">
        <v>4.7889999999999997</v>
      </c>
      <c r="Q429" s="3">
        <v>132.97999999999999</v>
      </c>
      <c r="R429" s="3">
        <v>84.015000000000001</v>
      </c>
      <c r="S429" s="3">
        <v>256.48</v>
      </c>
    </row>
    <row r="430" spans="1:19" ht="14.4" x14ac:dyDescent="0.3">
      <c r="A430" s="4">
        <v>44523</v>
      </c>
      <c r="B430" s="3">
        <v>81.900000000000006</v>
      </c>
      <c r="C430" s="3">
        <v>104.56</v>
      </c>
      <c r="D430" s="3">
        <v>122.32</v>
      </c>
      <c r="E430" s="3">
        <v>131.43</v>
      </c>
      <c r="F430" s="3">
        <v>124.36</v>
      </c>
      <c r="G430" s="3">
        <v>78.5</v>
      </c>
      <c r="H430" s="3">
        <v>82.31</v>
      </c>
      <c r="I430" s="3">
        <v>81.22</v>
      </c>
      <c r="J430" s="3">
        <v>63.13</v>
      </c>
      <c r="K430" s="3">
        <v>16.52</v>
      </c>
      <c r="L430" s="3">
        <v>71015.399999999994</v>
      </c>
      <c r="M430" s="3">
        <v>56161.78</v>
      </c>
      <c r="N430" s="3">
        <v>36.075000000000003</v>
      </c>
      <c r="O430" s="3">
        <v>6.3079999999999997E-2</v>
      </c>
      <c r="P430" s="3">
        <v>4.9669999999999996</v>
      </c>
      <c r="Q430" s="3">
        <v>132.05000000000001</v>
      </c>
      <c r="R430" s="3">
        <v>90.924999999999997</v>
      </c>
      <c r="S430" s="3">
        <v>263.75</v>
      </c>
    </row>
    <row r="431" spans="1:19" ht="14.4" x14ac:dyDescent="0.3">
      <c r="A431" s="4">
        <v>44524</v>
      </c>
      <c r="B431" s="3">
        <v>81.900000000000006</v>
      </c>
      <c r="C431" s="3">
        <v>104.56</v>
      </c>
      <c r="D431" s="3">
        <v>122.32</v>
      </c>
      <c r="E431" s="3">
        <v>131.43</v>
      </c>
      <c r="F431" s="3">
        <v>124.36</v>
      </c>
      <c r="G431" s="3">
        <v>78.39</v>
      </c>
      <c r="H431" s="3">
        <v>82.25</v>
      </c>
      <c r="I431" s="3">
        <v>81.2</v>
      </c>
      <c r="J431" s="3">
        <v>63.48</v>
      </c>
      <c r="K431" s="3">
        <v>16.96</v>
      </c>
      <c r="L431" s="3">
        <v>70558.89</v>
      </c>
      <c r="M431" s="3">
        <v>55339.26</v>
      </c>
      <c r="N431" s="3">
        <v>36.204999999999998</v>
      </c>
      <c r="O431" s="3">
        <v>6.2810000000000005E-2</v>
      </c>
      <c r="P431" s="3">
        <v>5.0679999999999996</v>
      </c>
      <c r="Q431" s="3">
        <v>132.27000000000001</v>
      </c>
      <c r="R431" s="3">
        <v>93.984999999999999</v>
      </c>
      <c r="S431" s="3">
        <v>260.48</v>
      </c>
    </row>
    <row r="432" spans="1:19" ht="14.4" x14ac:dyDescent="0.3">
      <c r="A432" s="4">
        <v>44525</v>
      </c>
      <c r="B432" s="3">
        <v>81.900000000000006</v>
      </c>
      <c r="C432" s="3">
        <v>104.56</v>
      </c>
      <c r="D432" s="3">
        <v>122.32</v>
      </c>
      <c r="E432" s="3">
        <v>131.43</v>
      </c>
      <c r="F432" s="3">
        <v>124.36</v>
      </c>
      <c r="G432" s="3">
        <v>77.41</v>
      </c>
      <c r="H432" s="3">
        <v>82.22</v>
      </c>
      <c r="I432" s="1">
        <f>(I431+I433)/2</f>
        <v>80.64</v>
      </c>
      <c r="J432" s="1">
        <f>(J431+J433)/2</f>
        <v>62.364999999999995</v>
      </c>
      <c r="K432" s="3">
        <v>16.899999999999999</v>
      </c>
      <c r="L432" s="3">
        <v>70554.679999999993</v>
      </c>
      <c r="M432" s="3">
        <v>54931.35</v>
      </c>
      <c r="N432" s="5">
        <f>FORECAST(A432,N426:N431,A426:A431)</f>
        <v>35.032349397590224</v>
      </c>
      <c r="O432" s="3">
        <v>6.2549999999999994E-2</v>
      </c>
      <c r="P432" s="3">
        <v>5.0869999999999997</v>
      </c>
      <c r="Q432" s="1">
        <f>AVERAGE(Q431,Q433)</f>
        <v>130.97500000000002</v>
      </c>
      <c r="R432" s="3">
        <v>93.3</v>
      </c>
      <c r="S432" s="3">
        <v>258.83</v>
      </c>
    </row>
    <row r="433" spans="1:19" ht="14.4" x14ac:dyDescent="0.3">
      <c r="A433" s="4">
        <v>44526</v>
      </c>
      <c r="B433" s="3">
        <v>101.1</v>
      </c>
      <c r="C433" s="3">
        <v>129.26</v>
      </c>
      <c r="D433" s="3">
        <v>148.16999999999999</v>
      </c>
      <c r="E433" s="3">
        <v>158.30000000000001</v>
      </c>
      <c r="F433" s="3">
        <v>135.53</v>
      </c>
      <c r="G433" s="3">
        <v>68.150000000000006</v>
      </c>
      <c r="H433" s="3">
        <v>72.72</v>
      </c>
      <c r="I433" s="3">
        <v>80.08</v>
      </c>
      <c r="J433" s="3">
        <v>61.25</v>
      </c>
      <c r="K433" s="3">
        <v>16.559999999999999</v>
      </c>
      <c r="L433" s="3">
        <v>68614.98</v>
      </c>
      <c r="M433" s="3">
        <v>53898.29</v>
      </c>
      <c r="N433" s="3">
        <v>34.89</v>
      </c>
      <c r="O433" s="3">
        <v>6.13E-2</v>
      </c>
      <c r="P433" s="3">
        <v>5.4470000000000001</v>
      </c>
      <c r="Q433" s="3">
        <v>129.68</v>
      </c>
      <c r="R433" s="3">
        <v>87.772000000000006</v>
      </c>
      <c r="S433" s="3">
        <v>250.97</v>
      </c>
    </row>
    <row r="434" spans="1:19" ht="14.4" x14ac:dyDescent="0.3">
      <c r="A434" s="4">
        <v>44529</v>
      </c>
      <c r="B434" s="3">
        <v>101.1</v>
      </c>
      <c r="C434" s="3">
        <v>129.26</v>
      </c>
      <c r="D434" s="3">
        <v>148.16999999999999</v>
      </c>
      <c r="E434" s="3">
        <v>158.30000000000001</v>
      </c>
      <c r="F434" s="3">
        <v>135.53</v>
      </c>
      <c r="G434" s="3">
        <v>69.95</v>
      </c>
      <c r="H434" s="3">
        <v>73.44</v>
      </c>
      <c r="I434" s="3">
        <v>80.31</v>
      </c>
      <c r="J434" s="3">
        <v>61.59</v>
      </c>
      <c r="K434" s="3">
        <v>16.54</v>
      </c>
      <c r="L434" s="3">
        <v>70008.539999999994</v>
      </c>
      <c r="M434" s="3">
        <v>55041.18</v>
      </c>
      <c r="N434" s="3">
        <v>36.25</v>
      </c>
      <c r="O434" s="3">
        <v>6.1899999999999997E-2</v>
      </c>
      <c r="P434" s="3">
        <v>4.8540000000000001</v>
      </c>
      <c r="Q434" s="3">
        <v>131.9</v>
      </c>
      <c r="R434" s="3">
        <v>93.146000000000001</v>
      </c>
      <c r="S434" s="3">
        <v>243.67</v>
      </c>
    </row>
    <row r="435" spans="1:19" ht="14.4" x14ac:dyDescent="0.3">
      <c r="A435" s="4">
        <v>44530</v>
      </c>
      <c r="B435" s="3">
        <v>101.1</v>
      </c>
      <c r="C435" s="3">
        <v>129.26</v>
      </c>
      <c r="D435" s="3">
        <v>148.16999999999999</v>
      </c>
      <c r="E435" s="3">
        <v>158.30000000000001</v>
      </c>
      <c r="F435" s="3">
        <v>135.53</v>
      </c>
      <c r="G435" s="3">
        <v>66.180000000000007</v>
      </c>
      <c r="H435" s="3">
        <v>70.569999999999993</v>
      </c>
      <c r="I435" s="3">
        <v>80.28</v>
      </c>
      <c r="J435" s="3">
        <v>59.84</v>
      </c>
      <c r="K435" s="3">
        <v>16.16</v>
      </c>
      <c r="L435" s="3">
        <v>70475.02</v>
      </c>
      <c r="M435" s="3">
        <v>58196.63</v>
      </c>
      <c r="N435" s="3">
        <v>35.945</v>
      </c>
      <c r="O435" s="3">
        <v>6.2909999999999994E-2</v>
      </c>
      <c r="P435" s="3">
        <v>4.5670000000000002</v>
      </c>
      <c r="Q435" s="3">
        <v>130.72</v>
      </c>
      <c r="R435" s="3">
        <v>92.515000000000001</v>
      </c>
      <c r="S435" s="3">
        <v>248.17</v>
      </c>
    </row>
    <row r="436" spans="1:19" ht="14.4" x14ac:dyDescent="0.3">
      <c r="A436" s="2">
        <v>44531</v>
      </c>
      <c r="B436" s="3">
        <v>101.1</v>
      </c>
      <c r="C436" s="3">
        <v>129.26</v>
      </c>
      <c r="D436" s="3">
        <v>148.16999999999999</v>
      </c>
      <c r="E436" s="3">
        <v>158.30000000000001</v>
      </c>
      <c r="F436" s="3">
        <v>135.53</v>
      </c>
      <c r="G436" s="3">
        <v>65.569999999999993</v>
      </c>
      <c r="H436" s="3">
        <v>68.87</v>
      </c>
      <c r="I436" s="3">
        <v>67.73</v>
      </c>
      <c r="J436" s="3">
        <v>59.79</v>
      </c>
      <c r="K436" s="3">
        <v>16.98</v>
      </c>
      <c r="L436" s="3">
        <v>71198.080000000002</v>
      </c>
      <c r="M436" s="3">
        <v>59286.71</v>
      </c>
      <c r="N436" s="3">
        <v>35.884999999999998</v>
      </c>
      <c r="O436" s="3">
        <v>6.2300000000000001E-2</v>
      </c>
      <c r="P436" s="3">
        <v>4.258</v>
      </c>
      <c r="Q436" s="3">
        <v>129.02000000000001</v>
      </c>
      <c r="R436" s="3">
        <v>95.674999999999997</v>
      </c>
      <c r="S436" s="3">
        <v>243.32</v>
      </c>
    </row>
    <row r="437" spans="1:19" ht="14.4" x14ac:dyDescent="0.3">
      <c r="A437" s="2">
        <v>44532</v>
      </c>
      <c r="B437" s="3">
        <v>101.1</v>
      </c>
      <c r="C437" s="3">
        <v>129.26</v>
      </c>
      <c r="D437" s="3">
        <v>148.16999999999999</v>
      </c>
      <c r="E437" s="3">
        <v>158.30000000000001</v>
      </c>
      <c r="F437" s="3">
        <v>135.53</v>
      </c>
      <c r="G437" s="3">
        <v>66.5</v>
      </c>
      <c r="H437" s="3">
        <v>69.67</v>
      </c>
      <c r="I437" s="3">
        <v>68.62</v>
      </c>
      <c r="J437" s="3">
        <v>61.28</v>
      </c>
      <c r="K437" s="3">
        <v>17.12</v>
      </c>
      <c r="L437" s="3">
        <v>71020.759999999995</v>
      </c>
      <c r="M437" s="3">
        <v>58265.21</v>
      </c>
      <c r="N437" s="3">
        <v>35.32</v>
      </c>
      <c r="O437" s="3">
        <v>6.2740000000000004E-2</v>
      </c>
      <c r="P437" s="3">
        <v>4.056</v>
      </c>
      <c r="Q437" s="3">
        <v>131.22</v>
      </c>
      <c r="R437" s="3">
        <v>94.83</v>
      </c>
      <c r="S437" s="3">
        <v>243.18</v>
      </c>
    </row>
    <row r="438" spans="1:19" ht="14.4" x14ac:dyDescent="0.3">
      <c r="A438" s="2">
        <v>44533</v>
      </c>
      <c r="B438" s="3">
        <v>77.98</v>
      </c>
      <c r="C438" s="3">
        <v>99.91</v>
      </c>
      <c r="D438" s="3">
        <v>120.15</v>
      </c>
      <c r="E438" s="3">
        <v>128.44</v>
      </c>
      <c r="F438" s="3">
        <v>123.95</v>
      </c>
      <c r="G438" s="3">
        <v>66.260000000000005</v>
      </c>
      <c r="H438" s="3">
        <v>69.88</v>
      </c>
      <c r="I438" s="3">
        <v>68.91</v>
      </c>
      <c r="J438" s="3">
        <v>60.89</v>
      </c>
      <c r="K438" s="3">
        <v>18.399999999999999</v>
      </c>
      <c r="L438" s="3">
        <v>70807.600000000006</v>
      </c>
      <c r="M438" s="3">
        <v>58119.39</v>
      </c>
      <c r="N438" s="3">
        <v>34.19</v>
      </c>
      <c r="O438" s="3">
        <v>6.2210000000000001E-2</v>
      </c>
      <c r="P438" s="3">
        <v>4.1319999999999997</v>
      </c>
      <c r="Q438" s="3">
        <v>130.19</v>
      </c>
      <c r="R438" s="3">
        <v>89.48</v>
      </c>
      <c r="S438" s="3">
        <v>255.75</v>
      </c>
    </row>
    <row r="439" spans="1:19" ht="14.4" x14ac:dyDescent="0.3">
      <c r="A439" s="2">
        <v>44536</v>
      </c>
      <c r="B439" s="3">
        <v>77.98</v>
      </c>
      <c r="C439" s="3">
        <v>99.91</v>
      </c>
      <c r="D439" s="3">
        <v>120.15</v>
      </c>
      <c r="E439" s="3">
        <v>128.44</v>
      </c>
      <c r="F439" s="3">
        <v>123.95</v>
      </c>
      <c r="G439" s="3">
        <v>69.489999999999995</v>
      </c>
      <c r="H439" s="3">
        <v>73.08</v>
      </c>
      <c r="I439" s="3">
        <v>71.650000000000006</v>
      </c>
      <c r="J439" s="3">
        <v>61.58</v>
      </c>
      <c r="K439" s="3">
        <v>18.28</v>
      </c>
      <c r="L439" s="3">
        <v>71016.63</v>
      </c>
      <c r="M439" s="3">
        <v>58372.55</v>
      </c>
      <c r="N439" s="3">
        <v>34.395000000000003</v>
      </c>
      <c r="O439" s="3">
        <v>6.2899999999999998E-2</v>
      </c>
      <c r="P439" s="3">
        <v>3.657</v>
      </c>
      <c r="Q439" s="3">
        <v>130.86000000000001</v>
      </c>
      <c r="R439" s="3">
        <v>89.93</v>
      </c>
      <c r="S439" s="3">
        <v>251.4</v>
      </c>
    </row>
    <row r="440" spans="1:19" ht="14.4" x14ac:dyDescent="0.3">
      <c r="A440" s="2">
        <v>44537</v>
      </c>
      <c r="B440" s="3">
        <v>77.98</v>
      </c>
      <c r="C440" s="3">
        <v>99.91</v>
      </c>
      <c r="D440" s="3">
        <v>120.15</v>
      </c>
      <c r="E440" s="3">
        <v>128.44</v>
      </c>
      <c r="F440" s="3">
        <v>123.95</v>
      </c>
      <c r="G440" s="3">
        <v>72.05</v>
      </c>
      <c r="H440" s="3">
        <v>75.44</v>
      </c>
      <c r="I440" s="3">
        <v>73.540000000000006</v>
      </c>
      <c r="J440" s="3">
        <v>62.27</v>
      </c>
      <c r="K440" s="3">
        <v>18.02</v>
      </c>
      <c r="L440" s="3">
        <v>72939.25</v>
      </c>
      <c r="M440" s="3">
        <v>58538.73</v>
      </c>
      <c r="N440" s="3">
        <v>35.064999999999998</v>
      </c>
      <c r="O440" s="3">
        <v>6.3079999999999997E-2</v>
      </c>
      <c r="P440" s="3">
        <v>3.7080000000000002</v>
      </c>
      <c r="Q440" s="3">
        <v>134.01</v>
      </c>
      <c r="R440" s="3">
        <v>95.885000000000005</v>
      </c>
      <c r="S440" s="3">
        <v>254.95</v>
      </c>
    </row>
    <row r="441" spans="1:19" ht="14.4" x14ac:dyDescent="0.3">
      <c r="A441" s="2">
        <v>44538</v>
      </c>
      <c r="B441" s="3">
        <v>77.98</v>
      </c>
      <c r="C441" s="3">
        <v>99.91</v>
      </c>
      <c r="D441" s="3">
        <v>120.15</v>
      </c>
      <c r="E441" s="3">
        <v>128.44</v>
      </c>
      <c r="F441" s="3">
        <v>123.95</v>
      </c>
      <c r="G441" s="3">
        <v>72.36</v>
      </c>
      <c r="H441" s="3">
        <v>75.819999999999993</v>
      </c>
      <c r="I441" s="3">
        <v>73.69</v>
      </c>
      <c r="J441" s="3">
        <v>62.45</v>
      </c>
      <c r="K441" s="3">
        <v>18</v>
      </c>
      <c r="L441" s="3">
        <v>72403.88</v>
      </c>
      <c r="M441" s="3">
        <v>56688.92</v>
      </c>
      <c r="N441" s="3">
        <v>35.15</v>
      </c>
      <c r="O441" s="3">
        <v>6.3640000000000002E-2</v>
      </c>
      <c r="P441" s="3">
        <v>3.8149999999999999</v>
      </c>
      <c r="Q441" s="3">
        <v>135.56</v>
      </c>
      <c r="R441" s="3">
        <v>101.5</v>
      </c>
      <c r="S441" s="3">
        <v>262.10000000000002</v>
      </c>
    </row>
    <row r="442" spans="1:19" ht="14.4" x14ac:dyDescent="0.3">
      <c r="A442" s="2">
        <v>44539</v>
      </c>
      <c r="B442" s="3">
        <v>77.98</v>
      </c>
      <c r="C442" s="3">
        <v>99.91</v>
      </c>
      <c r="D442" s="3">
        <v>120.15</v>
      </c>
      <c r="E442" s="3">
        <v>128.44</v>
      </c>
      <c r="F442" s="3">
        <v>123.95</v>
      </c>
      <c r="G442" s="3">
        <v>70.94</v>
      </c>
      <c r="H442" s="3">
        <v>74.42</v>
      </c>
      <c r="I442" s="3">
        <v>72.72</v>
      </c>
      <c r="J442" s="3">
        <v>62.61</v>
      </c>
      <c r="K442" s="3">
        <v>18.18</v>
      </c>
      <c r="L442" s="3">
        <v>72207.64</v>
      </c>
      <c r="M442" s="3">
        <v>56341.2</v>
      </c>
      <c r="N442" s="3">
        <v>35.185000000000002</v>
      </c>
      <c r="O442" s="3">
        <v>6.275E-2</v>
      </c>
      <c r="P442" s="3">
        <v>3.8140000000000001</v>
      </c>
      <c r="Q442" s="3">
        <v>134.6</v>
      </c>
      <c r="R442" s="3">
        <v>100.44499999999999</v>
      </c>
      <c r="S442" s="3">
        <v>269.85000000000002</v>
      </c>
    </row>
    <row r="443" spans="1:19" ht="14.4" x14ac:dyDescent="0.3">
      <c r="A443" s="4">
        <v>44540</v>
      </c>
      <c r="B443" s="3">
        <v>83.41</v>
      </c>
      <c r="C443" s="3">
        <v>106.41</v>
      </c>
      <c r="D443" s="3">
        <v>126.08</v>
      </c>
      <c r="E443" s="3">
        <v>132.66999999999999</v>
      </c>
      <c r="F443" s="3">
        <v>126</v>
      </c>
      <c r="G443" s="3">
        <v>71.67</v>
      </c>
      <c r="H443" s="3">
        <v>75.150000000000006</v>
      </c>
      <c r="I443" s="3">
        <v>73.19</v>
      </c>
      <c r="J443" s="3">
        <v>63.01</v>
      </c>
      <c r="K443" s="3">
        <v>18.14</v>
      </c>
      <c r="L443" s="3">
        <v>71686.33</v>
      </c>
      <c r="M443" s="3">
        <v>54893.34</v>
      </c>
      <c r="N443" s="3">
        <v>35.215000000000003</v>
      </c>
      <c r="O443" s="3">
        <v>6.2590000000000007E-2</v>
      </c>
      <c r="P443" s="3">
        <v>3.9249999999999998</v>
      </c>
      <c r="Q443" s="3">
        <v>135.54</v>
      </c>
      <c r="R443" s="3">
        <v>105.77500000000001</v>
      </c>
      <c r="S443" s="3">
        <v>295.25</v>
      </c>
    </row>
    <row r="444" spans="1:19" ht="14.4" x14ac:dyDescent="0.3">
      <c r="A444" s="4">
        <v>44543</v>
      </c>
      <c r="B444" s="3">
        <v>83.41</v>
      </c>
      <c r="C444" s="3">
        <v>106.41</v>
      </c>
      <c r="D444" s="3">
        <v>126.08</v>
      </c>
      <c r="E444" s="3">
        <v>132.66999999999999</v>
      </c>
      <c r="F444" s="3">
        <v>126</v>
      </c>
      <c r="G444" s="3">
        <v>71.290000000000006</v>
      </c>
      <c r="H444" s="3">
        <v>74.39</v>
      </c>
      <c r="I444" s="3">
        <v>72.709999999999994</v>
      </c>
      <c r="J444" s="3">
        <v>61.63</v>
      </c>
      <c r="K444" s="3">
        <v>18.34</v>
      </c>
      <c r="L444" s="3">
        <v>71429.88</v>
      </c>
      <c r="M444" s="3">
        <v>54440.94</v>
      </c>
      <c r="N444" s="3">
        <v>35.729999999999997</v>
      </c>
      <c r="O444" s="3">
        <v>6.2379999999999998E-2</v>
      </c>
      <c r="P444" s="3">
        <v>3.794</v>
      </c>
      <c r="Q444" s="3">
        <v>135.58000000000001</v>
      </c>
      <c r="R444" s="3">
        <v>116.08499999999999</v>
      </c>
      <c r="S444" s="3">
        <v>284.95</v>
      </c>
    </row>
    <row r="445" spans="1:19" ht="14.4" x14ac:dyDescent="0.3">
      <c r="A445" s="4">
        <v>44544</v>
      </c>
      <c r="B445" s="3">
        <v>83.41</v>
      </c>
      <c r="C445" s="3">
        <v>106.41</v>
      </c>
      <c r="D445" s="3">
        <v>126.08</v>
      </c>
      <c r="E445" s="3">
        <v>132.66999999999999</v>
      </c>
      <c r="F445" s="3">
        <v>126</v>
      </c>
      <c r="G445" s="3">
        <v>70.73</v>
      </c>
      <c r="H445" s="3">
        <v>73.7</v>
      </c>
      <c r="I445" s="3">
        <v>72.22</v>
      </c>
      <c r="J445" s="3">
        <v>61.54</v>
      </c>
      <c r="K445" s="3">
        <v>18</v>
      </c>
      <c r="L445" s="3">
        <v>71544.820000000007</v>
      </c>
      <c r="M445" s="3">
        <v>55218.94</v>
      </c>
      <c r="N445" s="3">
        <v>35.765000000000001</v>
      </c>
      <c r="O445" s="3">
        <v>6.2100000000000002E-2</v>
      </c>
      <c r="P445" s="3">
        <v>3.7469999999999999</v>
      </c>
      <c r="Q445" s="3">
        <v>133.81</v>
      </c>
      <c r="R445" s="3">
        <v>128.30000000000001</v>
      </c>
      <c r="S445" s="3">
        <v>278.95</v>
      </c>
    </row>
    <row r="446" spans="1:19" ht="14.4" x14ac:dyDescent="0.3">
      <c r="A446" s="4">
        <v>44545</v>
      </c>
      <c r="B446" s="3">
        <v>83.41</v>
      </c>
      <c r="C446" s="3">
        <v>106.41</v>
      </c>
      <c r="D446" s="3">
        <v>126.08</v>
      </c>
      <c r="E446" s="3">
        <v>132.66999999999999</v>
      </c>
      <c r="F446" s="3">
        <v>126</v>
      </c>
      <c r="G446" s="3">
        <v>70.87</v>
      </c>
      <c r="H446" s="3">
        <v>73.88</v>
      </c>
      <c r="I446" s="3">
        <v>72.38</v>
      </c>
      <c r="J446" s="3">
        <v>61.27</v>
      </c>
      <c r="K446" s="3">
        <v>18.28</v>
      </c>
      <c r="L446" s="3">
        <v>71467.17</v>
      </c>
      <c r="M446" s="3">
        <v>54624.52</v>
      </c>
      <c r="N446" s="3">
        <v>35.869999999999997</v>
      </c>
      <c r="O446" s="3">
        <v>6.2579999999999997E-2</v>
      </c>
      <c r="P446" s="3">
        <v>3.802</v>
      </c>
      <c r="Q446" s="3">
        <v>135.12</v>
      </c>
      <c r="R446" s="3">
        <v>132.285</v>
      </c>
      <c r="S446" s="3">
        <v>261.60000000000002</v>
      </c>
    </row>
    <row r="447" spans="1:19" ht="14.4" x14ac:dyDescent="0.3">
      <c r="A447" s="4">
        <v>44546</v>
      </c>
      <c r="B447" s="3">
        <v>83.41</v>
      </c>
      <c r="C447" s="3">
        <v>106.41</v>
      </c>
      <c r="D447" s="3">
        <v>126.08</v>
      </c>
      <c r="E447" s="3">
        <v>132.66999999999999</v>
      </c>
      <c r="F447" s="3">
        <v>126</v>
      </c>
      <c r="G447" s="3">
        <v>72.38</v>
      </c>
      <c r="H447" s="3">
        <v>75.02</v>
      </c>
      <c r="I447" s="3">
        <v>73.02</v>
      </c>
      <c r="J447" s="3">
        <v>61.37</v>
      </c>
      <c r="K447" s="3">
        <v>19.399999999999999</v>
      </c>
      <c r="L447" s="5">
        <f>FORECAST(A447,L441:L446,A441:A446)</f>
        <v>71213.063092368655</v>
      </c>
      <c r="M447" s="5">
        <f>FORECAST(A447,M441:M446,A441:A446)</f>
        <v>54206.689317269251</v>
      </c>
      <c r="N447" s="3">
        <v>43.445</v>
      </c>
      <c r="O447" s="3">
        <v>6.2700000000000006E-2</v>
      </c>
      <c r="P447" s="3">
        <v>3.766</v>
      </c>
      <c r="Q447" s="3">
        <v>135.99</v>
      </c>
      <c r="R447" s="3">
        <v>142.76499999999999</v>
      </c>
      <c r="S447" s="3">
        <v>265.89999999999998</v>
      </c>
    </row>
    <row r="448" spans="1:19" ht="14.4" x14ac:dyDescent="0.3">
      <c r="A448" s="4">
        <v>44547</v>
      </c>
      <c r="B448" s="3">
        <v>91.4</v>
      </c>
      <c r="C448" s="3">
        <v>115.27</v>
      </c>
      <c r="D448" s="3">
        <v>135.33000000000001</v>
      </c>
      <c r="E448" s="3">
        <v>145.76</v>
      </c>
      <c r="F448" s="3">
        <v>123.63</v>
      </c>
      <c r="G448" s="3">
        <v>70.86</v>
      </c>
      <c r="H448" s="3">
        <v>73.52</v>
      </c>
      <c r="I448" s="3">
        <v>72.430000000000007</v>
      </c>
      <c r="J448" s="3">
        <v>60.03</v>
      </c>
      <c r="K448" s="3">
        <v>18.52</v>
      </c>
      <c r="L448" s="3">
        <v>71203.13</v>
      </c>
      <c r="M448" s="3">
        <v>56700.18</v>
      </c>
      <c r="N448" s="3">
        <v>42.45</v>
      </c>
      <c r="O448" s="3">
        <v>6.2939999999999996E-2</v>
      </c>
      <c r="P448" s="3">
        <v>3.69</v>
      </c>
      <c r="Q448" s="3">
        <v>133.38</v>
      </c>
      <c r="R448" s="3">
        <v>136.91499999999999</v>
      </c>
      <c r="S448" s="3">
        <v>256.10000000000002</v>
      </c>
    </row>
    <row r="449" spans="1:19" ht="14.4" x14ac:dyDescent="0.3">
      <c r="A449" s="4">
        <v>44550</v>
      </c>
      <c r="B449" s="3">
        <v>91.4</v>
      </c>
      <c r="C449" s="3">
        <v>115.27</v>
      </c>
      <c r="D449" s="3">
        <v>135.33000000000001</v>
      </c>
      <c r="E449" s="3">
        <v>145.76</v>
      </c>
      <c r="F449" s="3">
        <v>123.63</v>
      </c>
      <c r="G449" s="3">
        <v>68.23</v>
      </c>
      <c r="H449" s="3">
        <v>71.52</v>
      </c>
      <c r="I449" s="3">
        <v>71.650000000000006</v>
      </c>
      <c r="J449" s="3">
        <v>59.16</v>
      </c>
      <c r="K449" s="3">
        <v>17.98</v>
      </c>
      <c r="L449" s="3">
        <v>70087.63</v>
      </c>
      <c r="M449" s="3">
        <v>54655.17</v>
      </c>
      <c r="N449" s="3">
        <v>45.024999999999999</v>
      </c>
      <c r="O449" s="3">
        <v>6.3409999999999994E-2</v>
      </c>
      <c r="P449" s="3">
        <v>3.8340000000000001</v>
      </c>
      <c r="Q449" s="3">
        <v>132.56</v>
      </c>
      <c r="R449" s="3">
        <v>146.92500000000001</v>
      </c>
      <c r="S449" s="3">
        <v>238.6</v>
      </c>
    </row>
    <row r="450" spans="1:19" ht="14.4" x14ac:dyDescent="0.3">
      <c r="A450" s="4">
        <v>44551</v>
      </c>
      <c r="B450" s="3">
        <v>91.4</v>
      </c>
      <c r="C450" s="3">
        <v>115.27</v>
      </c>
      <c r="D450" s="3">
        <v>135.33000000000001</v>
      </c>
      <c r="E450" s="3">
        <v>145.76</v>
      </c>
      <c r="F450" s="3">
        <v>123.63</v>
      </c>
      <c r="G450" s="3">
        <v>71.12</v>
      </c>
      <c r="H450" s="3">
        <v>73.98</v>
      </c>
      <c r="I450" s="3">
        <v>72.42</v>
      </c>
      <c r="J450" s="3">
        <v>60.5</v>
      </c>
      <c r="K450" s="3">
        <v>18.16</v>
      </c>
      <c r="L450" s="3">
        <v>71119.360000000001</v>
      </c>
      <c r="M450" s="3">
        <v>56522.29</v>
      </c>
      <c r="N450" s="3">
        <v>49.344999999999999</v>
      </c>
      <c r="O450" s="3">
        <v>6.3079999999999997E-2</v>
      </c>
      <c r="P450" s="3">
        <v>3.8690000000000002</v>
      </c>
      <c r="Q450" s="3">
        <v>134.06</v>
      </c>
      <c r="R450" s="3">
        <v>180.26499999999999</v>
      </c>
      <c r="S450" s="3">
        <v>244.55</v>
      </c>
    </row>
    <row r="451" spans="1:19" ht="14.4" x14ac:dyDescent="0.3">
      <c r="A451" s="4">
        <v>44552</v>
      </c>
      <c r="B451" s="3">
        <v>91.4</v>
      </c>
      <c r="C451" s="3">
        <v>115.27</v>
      </c>
      <c r="D451" s="3">
        <v>135.33000000000001</v>
      </c>
      <c r="E451" s="3">
        <v>145.76</v>
      </c>
      <c r="F451" s="3">
        <v>123.63</v>
      </c>
      <c r="G451" s="3">
        <v>72.760000000000005</v>
      </c>
      <c r="H451" s="3">
        <v>75.290000000000006</v>
      </c>
      <c r="I451" s="3">
        <v>72.709999999999994</v>
      </c>
      <c r="J451" s="3">
        <v>60.99</v>
      </c>
      <c r="K451" s="3">
        <v>18.399999999999999</v>
      </c>
      <c r="L451" s="3">
        <v>71359.039999999994</v>
      </c>
      <c r="M451" s="3">
        <v>56456.41</v>
      </c>
      <c r="N451" s="3">
        <v>46.015000000000001</v>
      </c>
      <c r="O451" s="3">
        <v>6.3619999999999996E-2</v>
      </c>
      <c r="P451" s="3">
        <v>3.976</v>
      </c>
      <c r="Q451" s="3">
        <v>135.24</v>
      </c>
      <c r="R451" s="3">
        <v>172.875</v>
      </c>
      <c r="S451" s="3">
        <v>254.05</v>
      </c>
    </row>
    <row r="452" spans="1:19" ht="14.4" x14ac:dyDescent="0.3">
      <c r="A452" s="4">
        <v>44553</v>
      </c>
      <c r="B452" s="3">
        <v>91.4</v>
      </c>
      <c r="C452" s="3">
        <v>115.27</v>
      </c>
      <c r="D452" s="3">
        <v>135.33000000000001</v>
      </c>
      <c r="E452" s="3">
        <v>145.76</v>
      </c>
      <c r="F452" s="3">
        <v>123.63</v>
      </c>
      <c r="G452" s="3">
        <v>73.790000000000006</v>
      </c>
      <c r="H452" s="3">
        <v>76.849999999999994</v>
      </c>
      <c r="I452" s="3">
        <v>72.989999999999995</v>
      </c>
      <c r="J452" s="3">
        <v>61.02</v>
      </c>
      <c r="K452" s="3">
        <v>18.66</v>
      </c>
      <c r="L452" s="3">
        <v>71684.100000000006</v>
      </c>
      <c r="M452" s="3">
        <v>56379.11</v>
      </c>
      <c r="N452" s="3">
        <v>38.840000000000003</v>
      </c>
      <c r="O452" s="3">
        <v>6.3799999999999996E-2</v>
      </c>
      <c r="P452" s="3">
        <v>3.7309999999999999</v>
      </c>
      <c r="Q452" s="3">
        <v>135.84</v>
      </c>
      <c r="R452" s="3">
        <v>132.58000000000001</v>
      </c>
      <c r="S452" s="3">
        <v>255.5</v>
      </c>
    </row>
    <row r="453" spans="1:19" ht="14.4" x14ac:dyDescent="0.3">
      <c r="A453" s="4">
        <v>44554</v>
      </c>
      <c r="B453" s="3">
        <v>90.92</v>
      </c>
      <c r="C453" s="3">
        <v>115.6</v>
      </c>
      <c r="D453" s="3">
        <v>138.08000000000001</v>
      </c>
      <c r="E453" s="3">
        <v>147.24</v>
      </c>
      <c r="F453" s="3">
        <v>130.54</v>
      </c>
      <c r="G453" s="5">
        <f>(G452+G454)/2</f>
        <v>74.680000000000007</v>
      </c>
      <c r="H453" s="3">
        <v>76.14</v>
      </c>
      <c r="I453" s="1">
        <f>(I452+I454)/2</f>
        <v>73.094999999999999</v>
      </c>
      <c r="J453" s="1">
        <f>(J452+J454)/2</f>
        <v>61.454999999999998</v>
      </c>
      <c r="K453" s="3">
        <v>18.559999999999999</v>
      </c>
      <c r="L453" s="3">
        <v>71570.64</v>
      </c>
      <c r="M453" s="3">
        <v>56135</v>
      </c>
      <c r="N453" s="5">
        <f>FORECAST(A453,N447:N452,A447:A452)</f>
        <v>44.288776824034358</v>
      </c>
      <c r="O453" s="3">
        <v>6.4229999999999995E-2</v>
      </c>
      <c r="P453" s="1">
        <f>AVERAGE(P452,P454)</f>
        <v>3.8954999999999997</v>
      </c>
      <c r="Q453" s="1">
        <f>AVERAGE(Q452,Q454)</f>
        <v>136.79500000000002</v>
      </c>
      <c r="R453" s="5">
        <f>AVERAGE(R452,R454)</f>
        <v>119.73750000000001</v>
      </c>
      <c r="S453" s="3">
        <v>250.75</v>
      </c>
    </row>
    <row r="454" spans="1:19" ht="14.4" x14ac:dyDescent="0.3">
      <c r="A454" s="4">
        <v>44557</v>
      </c>
      <c r="B454" s="1">
        <f t="shared" ref="B454:D455" si="26">B453</f>
        <v>90.92</v>
      </c>
      <c r="C454" s="1">
        <f t="shared" si="26"/>
        <v>115.6</v>
      </c>
      <c r="D454" s="1">
        <f t="shared" si="26"/>
        <v>138.08000000000001</v>
      </c>
      <c r="E454" s="3">
        <v>147.24</v>
      </c>
      <c r="F454" s="1">
        <f t="shared" ref="F454:F455" si="27">F453</f>
        <v>130.54</v>
      </c>
      <c r="G454" s="3">
        <v>75.569999999999993</v>
      </c>
      <c r="H454" s="3">
        <v>78.599999999999994</v>
      </c>
      <c r="I454" s="3">
        <v>73.2</v>
      </c>
      <c r="J454" s="3">
        <v>61.89</v>
      </c>
      <c r="K454" s="5">
        <f>FORECAST(A454,K448:K453,A448:A453)</f>
        <v>18.561621621621725</v>
      </c>
      <c r="L454" s="5">
        <f>FORECAST(A454,L448:L453,A448:A453)</f>
        <v>71807.907297297381</v>
      </c>
      <c r="M454" s="5">
        <f>FORECAST(A454,M448:M453,A448:A453)</f>
        <v>56145.594054054061</v>
      </c>
      <c r="N454" s="3">
        <v>40.98</v>
      </c>
      <c r="O454" s="3">
        <v>6.4329999999999998E-2</v>
      </c>
      <c r="P454" s="3">
        <v>4.0599999999999996</v>
      </c>
      <c r="Q454" s="3">
        <v>137.75</v>
      </c>
      <c r="R454" s="3">
        <v>106.895</v>
      </c>
      <c r="S454" s="3">
        <v>252.7</v>
      </c>
    </row>
    <row r="455" spans="1:19" ht="14.4" x14ac:dyDescent="0.3">
      <c r="A455" s="4">
        <v>44558</v>
      </c>
      <c r="B455" s="1">
        <f t="shared" si="26"/>
        <v>90.92</v>
      </c>
      <c r="C455" s="1">
        <f t="shared" si="26"/>
        <v>115.6</v>
      </c>
      <c r="D455" s="1">
        <f t="shared" si="26"/>
        <v>138.08000000000001</v>
      </c>
      <c r="E455" s="3">
        <v>147.24</v>
      </c>
      <c r="F455" s="1">
        <f t="shared" si="27"/>
        <v>130.54</v>
      </c>
      <c r="G455" s="3">
        <v>75.98</v>
      </c>
      <c r="H455" s="3">
        <v>78.94</v>
      </c>
      <c r="I455" s="3">
        <v>73.16</v>
      </c>
      <c r="J455" s="3">
        <v>61.69</v>
      </c>
      <c r="K455" s="3">
        <v>18.38</v>
      </c>
      <c r="L455" s="3">
        <v>72444.52</v>
      </c>
      <c r="M455" s="3">
        <v>57191.23</v>
      </c>
      <c r="N455" s="3">
        <v>39.914999999999999</v>
      </c>
      <c r="O455" s="3">
        <v>6.3409999999999994E-2</v>
      </c>
      <c r="P455" s="3">
        <v>4.0549999999999997</v>
      </c>
      <c r="Q455" s="3">
        <v>137.63</v>
      </c>
      <c r="R455" s="3">
        <v>106.59</v>
      </c>
      <c r="S455" s="3">
        <v>255.2</v>
      </c>
    </row>
    <row r="456" spans="1:19" ht="14.4" x14ac:dyDescent="0.3">
      <c r="A456" s="4">
        <v>44559</v>
      </c>
      <c r="B456" s="3">
        <v>90.92</v>
      </c>
      <c r="C456" s="3">
        <v>115.6</v>
      </c>
      <c r="D456" s="3">
        <v>138.08000000000001</v>
      </c>
      <c r="E456" s="3">
        <v>147.24</v>
      </c>
      <c r="F456" s="3">
        <v>130.54</v>
      </c>
      <c r="G456" s="3">
        <v>76.56</v>
      </c>
      <c r="H456" s="3">
        <v>79.23</v>
      </c>
      <c r="I456" s="3">
        <v>73.209999999999994</v>
      </c>
      <c r="J456" s="3">
        <v>61.15</v>
      </c>
      <c r="K456" s="3">
        <v>18.239999999999998</v>
      </c>
      <c r="L456" s="3">
        <v>73238.009999999995</v>
      </c>
      <c r="M456" s="3">
        <v>57023.28</v>
      </c>
      <c r="N456" s="3">
        <v>34.03</v>
      </c>
      <c r="O456" s="3">
        <v>6.2719999999999998E-2</v>
      </c>
      <c r="P456" s="3">
        <v>4.024</v>
      </c>
      <c r="Q456" s="3">
        <v>137.24</v>
      </c>
      <c r="R456" s="3">
        <v>96.474999999999994</v>
      </c>
      <c r="S456" s="3">
        <v>252.75</v>
      </c>
    </row>
    <row r="457" spans="1:19" ht="14.4" x14ac:dyDescent="0.3">
      <c r="A457" s="4">
        <v>44560</v>
      </c>
      <c r="B457" s="3">
        <v>90.92</v>
      </c>
      <c r="C457" s="3">
        <v>115.6</v>
      </c>
      <c r="D457" s="3">
        <v>138.08000000000001</v>
      </c>
      <c r="E457" s="3">
        <v>147.24</v>
      </c>
      <c r="F457" s="3">
        <v>130.54</v>
      </c>
      <c r="G457" s="3">
        <v>76.989999999999995</v>
      </c>
      <c r="H457" s="3">
        <v>79.319999999999993</v>
      </c>
      <c r="I457" s="3">
        <v>73.2</v>
      </c>
      <c r="J457" s="3">
        <v>60.79</v>
      </c>
      <c r="K457" s="3">
        <v>18.16</v>
      </c>
      <c r="L457" s="3">
        <v>73786.45</v>
      </c>
      <c r="M457" s="3">
        <v>57727.73</v>
      </c>
      <c r="N457" s="3">
        <v>34.21</v>
      </c>
      <c r="O457" s="3">
        <v>6.2839999999999993E-2</v>
      </c>
      <c r="P457" s="3">
        <v>3.5609999999999999</v>
      </c>
      <c r="Q457" s="3">
        <v>136.78</v>
      </c>
      <c r="R457" s="3">
        <v>87.027000000000001</v>
      </c>
      <c r="S457" s="3">
        <v>247.7</v>
      </c>
    </row>
    <row r="458" spans="1:19" ht="14.4" x14ac:dyDescent="0.3">
      <c r="A458" s="4">
        <v>44561</v>
      </c>
      <c r="B458" s="3">
        <v>75.540000000000006</v>
      </c>
      <c r="C458" s="3">
        <v>97.28</v>
      </c>
      <c r="D458" s="3">
        <v>115.55</v>
      </c>
      <c r="E458" s="3">
        <v>125.65</v>
      </c>
      <c r="F458" s="3">
        <v>125.77</v>
      </c>
      <c r="G458" s="3">
        <v>75.209999999999994</v>
      </c>
      <c r="H458" s="3">
        <v>77.78</v>
      </c>
      <c r="I458" s="3">
        <v>73.19</v>
      </c>
      <c r="J458" s="3">
        <v>61.19</v>
      </c>
      <c r="K458" s="3">
        <v>18.28</v>
      </c>
      <c r="L458" s="3">
        <v>73709.39</v>
      </c>
      <c r="M458" s="3">
        <v>58050.87</v>
      </c>
      <c r="N458" s="3">
        <v>30.495000000000001</v>
      </c>
      <c r="O458" s="3">
        <v>6.2469999999999998E-2</v>
      </c>
      <c r="P458" s="3">
        <v>3.73</v>
      </c>
      <c r="Q458" s="3">
        <v>136.77000000000001</v>
      </c>
      <c r="R458" s="3">
        <v>70.344999999999999</v>
      </c>
      <c r="S458" s="3">
        <v>252.8</v>
      </c>
    </row>
    <row r="459" spans="1:19" ht="14.4" x14ac:dyDescent="0.3">
      <c r="A459" s="2">
        <v>44564</v>
      </c>
      <c r="B459" s="1">
        <f t="shared" ref="B459:D459" si="28">B458</f>
        <v>75.540000000000006</v>
      </c>
      <c r="C459" s="1">
        <f t="shared" si="28"/>
        <v>97.28</v>
      </c>
      <c r="D459" s="1">
        <f t="shared" si="28"/>
        <v>115.55</v>
      </c>
      <c r="E459" s="3">
        <v>125.65</v>
      </c>
      <c r="F459" s="1">
        <f>F458</f>
        <v>125.77</v>
      </c>
      <c r="G459" s="3">
        <v>76.08</v>
      </c>
      <c r="H459" s="3">
        <v>78.98</v>
      </c>
      <c r="I459" s="3">
        <v>77.03</v>
      </c>
      <c r="J459" s="3">
        <v>63.54</v>
      </c>
      <c r="K459" s="3">
        <v>18.66</v>
      </c>
      <c r="L459" s="3">
        <v>73722.600000000006</v>
      </c>
      <c r="M459" s="3">
        <v>57183.4</v>
      </c>
      <c r="N459" s="3">
        <v>30.504999999999999</v>
      </c>
      <c r="O459" s="3">
        <v>6.2829999999999997E-2</v>
      </c>
      <c r="P459" s="3">
        <v>3.8149999999999999</v>
      </c>
      <c r="Q459" s="3">
        <v>133.94999999999999</v>
      </c>
      <c r="R459" s="3">
        <v>80.435000000000002</v>
      </c>
      <c r="S459" s="3">
        <v>258.2</v>
      </c>
    </row>
    <row r="460" spans="1:19" ht="14.4" x14ac:dyDescent="0.3">
      <c r="A460" s="2">
        <v>44565</v>
      </c>
      <c r="B460" s="3">
        <v>75.540000000000006</v>
      </c>
      <c r="C460" s="3">
        <v>97.28</v>
      </c>
      <c r="D460" s="3">
        <v>115.55</v>
      </c>
      <c r="E460" s="3">
        <v>125.65</v>
      </c>
      <c r="F460" s="3">
        <v>125.77</v>
      </c>
      <c r="G460" s="3">
        <v>76.989999999999995</v>
      </c>
      <c r="H460" s="3">
        <v>80</v>
      </c>
      <c r="I460" s="3">
        <v>78.03</v>
      </c>
      <c r="J460" s="3">
        <v>65.930000000000007</v>
      </c>
      <c r="K460" s="3">
        <v>18.440000000000001</v>
      </c>
      <c r="L460" s="3">
        <v>75052.06</v>
      </c>
      <c r="M460" s="3">
        <v>58447.41</v>
      </c>
      <c r="N460" s="3">
        <v>32.744999999999997</v>
      </c>
      <c r="O460" s="3">
        <v>6.2460000000000002E-2</v>
      </c>
      <c r="P460" s="3">
        <v>3.7170000000000001</v>
      </c>
      <c r="Q460" s="3">
        <v>134.07</v>
      </c>
      <c r="R460" s="3">
        <v>88.74</v>
      </c>
      <c r="S460" s="3">
        <v>261.64999999999998</v>
      </c>
    </row>
    <row r="461" spans="1:19" ht="14.4" x14ac:dyDescent="0.3">
      <c r="A461" s="2">
        <v>44566</v>
      </c>
      <c r="B461" s="3">
        <v>75.540000000000006</v>
      </c>
      <c r="C461" s="3">
        <v>97.28</v>
      </c>
      <c r="D461" s="3">
        <v>115.55</v>
      </c>
      <c r="E461" s="3">
        <v>125.65</v>
      </c>
      <c r="F461" s="3">
        <v>125.77</v>
      </c>
      <c r="G461" s="3">
        <v>77.849999999999994</v>
      </c>
      <c r="H461" s="3">
        <v>80.8</v>
      </c>
      <c r="I461" s="3">
        <v>78.81</v>
      </c>
      <c r="J461" s="3">
        <v>66.75</v>
      </c>
      <c r="K461" s="3">
        <v>18.8</v>
      </c>
      <c r="L461" s="3">
        <v>75060.92</v>
      </c>
      <c r="M461" s="3">
        <v>58719.08</v>
      </c>
      <c r="N461" s="3">
        <v>34.19</v>
      </c>
      <c r="O461" s="3">
        <v>6.2850000000000003E-2</v>
      </c>
      <c r="P461" s="3">
        <v>3.8820000000000001</v>
      </c>
      <c r="Q461" s="3">
        <v>132.38999999999999</v>
      </c>
      <c r="R461" s="3">
        <v>91.52</v>
      </c>
      <c r="S461" s="3">
        <v>260.64999999999998</v>
      </c>
    </row>
    <row r="462" spans="1:19" ht="14.4" x14ac:dyDescent="0.3">
      <c r="A462" s="2">
        <v>44567</v>
      </c>
      <c r="B462" s="3">
        <v>75.540000000000006</v>
      </c>
      <c r="C462" s="3">
        <v>97.28</v>
      </c>
      <c r="D462" s="3">
        <v>115.55</v>
      </c>
      <c r="E462" s="3">
        <v>125.65</v>
      </c>
      <c r="F462" s="3">
        <v>125.77</v>
      </c>
      <c r="G462" s="3">
        <v>79.459999999999994</v>
      </c>
      <c r="H462" s="3">
        <v>81.99</v>
      </c>
      <c r="I462" s="3">
        <v>79.69</v>
      </c>
      <c r="J462" s="3">
        <v>68.319999999999993</v>
      </c>
      <c r="K462" s="3">
        <v>18.559999999999999</v>
      </c>
      <c r="L462" s="3">
        <v>74165.25</v>
      </c>
      <c r="M462" s="3">
        <v>56148.93</v>
      </c>
      <c r="N462" s="3">
        <v>34.07</v>
      </c>
      <c r="O462" s="3">
        <v>6.3519999999999993E-2</v>
      </c>
      <c r="P462" s="3">
        <v>3.8119999999999998</v>
      </c>
      <c r="Q462" s="3">
        <v>133.16</v>
      </c>
      <c r="R462" s="3">
        <v>96.5</v>
      </c>
      <c r="S462" s="3">
        <v>261.10000000000002</v>
      </c>
    </row>
    <row r="463" spans="1:19" ht="14.4" x14ac:dyDescent="0.3">
      <c r="A463" s="2">
        <v>44568</v>
      </c>
      <c r="B463" s="3">
        <v>87.11</v>
      </c>
      <c r="C463" s="3">
        <v>110.04</v>
      </c>
      <c r="D463" s="3">
        <v>128.79</v>
      </c>
      <c r="E463" s="3">
        <v>143.52000000000001</v>
      </c>
      <c r="F463" s="3">
        <v>138.80000000000001</v>
      </c>
      <c r="G463" s="3">
        <v>78.900000000000006</v>
      </c>
      <c r="H463" s="3">
        <v>81.75</v>
      </c>
      <c r="I463" s="3">
        <v>79.53</v>
      </c>
      <c r="J463" s="3">
        <v>68.88</v>
      </c>
      <c r="K463" s="3">
        <v>18.420000000000002</v>
      </c>
      <c r="L463" s="3">
        <v>73939.710000000006</v>
      </c>
      <c r="M463" s="3">
        <v>55886.2</v>
      </c>
      <c r="N463" s="3">
        <v>33.950000000000003</v>
      </c>
      <c r="O463" s="3">
        <v>6.411E-2</v>
      </c>
      <c r="P463" s="3">
        <v>3.9159999999999999</v>
      </c>
      <c r="Q463" s="3">
        <v>133.25</v>
      </c>
      <c r="R463" s="3">
        <v>88.174999999999997</v>
      </c>
      <c r="S463" s="3">
        <v>260.85000000000002</v>
      </c>
    </row>
    <row r="464" spans="1:19" ht="14.4" x14ac:dyDescent="0.3">
      <c r="A464" s="2">
        <v>44571</v>
      </c>
      <c r="B464" s="3">
        <v>87.11</v>
      </c>
      <c r="C464" s="3">
        <v>110.04</v>
      </c>
      <c r="D464" s="3">
        <v>128.79</v>
      </c>
      <c r="E464" s="3">
        <v>143.52000000000001</v>
      </c>
      <c r="F464" s="3">
        <v>138.80000000000001</v>
      </c>
      <c r="G464" s="3">
        <v>78.23</v>
      </c>
      <c r="H464" s="3">
        <v>80.87</v>
      </c>
      <c r="I464" s="3">
        <v>78.89</v>
      </c>
      <c r="J464" s="3">
        <v>68.47</v>
      </c>
      <c r="K464" s="3">
        <v>18.78</v>
      </c>
      <c r="L464" s="3">
        <v>73830.47</v>
      </c>
      <c r="M464" s="3">
        <v>56448.04</v>
      </c>
      <c r="N464" s="3">
        <v>33.265000000000001</v>
      </c>
      <c r="O464" s="3">
        <v>6.3820000000000002E-2</v>
      </c>
      <c r="P464" s="3">
        <v>4.0789999999999997</v>
      </c>
      <c r="Q464" s="3">
        <v>131.5</v>
      </c>
      <c r="R464" s="3">
        <v>84.605000000000004</v>
      </c>
      <c r="S464" s="3">
        <v>260.8</v>
      </c>
    </row>
    <row r="465" spans="1:19" ht="14.4" x14ac:dyDescent="0.3">
      <c r="A465" s="2">
        <v>44572</v>
      </c>
      <c r="B465" s="3">
        <v>87.11</v>
      </c>
      <c r="C465" s="3">
        <v>110.04</v>
      </c>
      <c r="D465" s="3">
        <v>128.79</v>
      </c>
      <c r="E465" s="3">
        <v>143.52000000000001</v>
      </c>
      <c r="F465" s="3">
        <v>138.80000000000001</v>
      </c>
      <c r="G465" s="3">
        <v>81.22</v>
      </c>
      <c r="H465" s="3">
        <v>83.72</v>
      </c>
      <c r="I465" s="3">
        <v>80.790000000000006</v>
      </c>
      <c r="J465" s="3">
        <v>71.349999999999994</v>
      </c>
      <c r="K465" s="3">
        <v>18.78</v>
      </c>
      <c r="L465" s="3">
        <v>73971.429999999993</v>
      </c>
      <c r="M465" s="3">
        <v>58715.81</v>
      </c>
      <c r="N465" s="3">
        <v>32.914999999999999</v>
      </c>
      <c r="O465" s="3">
        <v>6.4380000000000007E-2</v>
      </c>
      <c r="P465" s="3">
        <v>4.2489999999999997</v>
      </c>
      <c r="Q465" s="3">
        <v>131.94999999999999</v>
      </c>
      <c r="R465" s="3">
        <v>78.734999999999999</v>
      </c>
      <c r="S465" s="3">
        <v>259.3</v>
      </c>
    </row>
    <row r="466" spans="1:19" ht="14.4" x14ac:dyDescent="0.3">
      <c r="A466" s="2">
        <v>44573</v>
      </c>
      <c r="B466" s="3">
        <v>87.11</v>
      </c>
      <c r="C466" s="3">
        <v>110.04</v>
      </c>
      <c r="D466" s="3">
        <v>128.79</v>
      </c>
      <c r="E466" s="3">
        <v>143.52000000000001</v>
      </c>
      <c r="F466" s="3">
        <v>138.80000000000001</v>
      </c>
      <c r="G466" s="3">
        <v>82.64</v>
      </c>
      <c r="H466" s="3">
        <v>84.67</v>
      </c>
      <c r="I466" s="3">
        <v>81.34</v>
      </c>
      <c r="J466" s="3">
        <v>71.14</v>
      </c>
      <c r="K466" s="3">
        <v>19.3</v>
      </c>
      <c r="L466" s="3">
        <v>75884.75</v>
      </c>
      <c r="M466" s="3">
        <v>60392.41</v>
      </c>
      <c r="N466" s="3">
        <v>33</v>
      </c>
      <c r="O466" s="3">
        <v>6.5320000000000003E-2</v>
      </c>
      <c r="P466" s="3">
        <v>4.8570000000000002</v>
      </c>
      <c r="Q466" s="3">
        <v>133.47999999999999</v>
      </c>
      <c r="R466" s="3">
        <v>75.155000000000001</v>
      </c>
      <c r="S466" s="3">
        <v>259.75</v>
      </c>
    </row>
    <row r="467" spans="1:19" ht="14.4" x14ac:dyDescent="0.3">
      <c r="A467" s="2">
        <v>44574</v>
      </c>
      <c r="B467" s="3">
        <v>87.11</v>
      </c>
      <c r="C467" s="3">
        <v>110.04</v>
      </c>
      <c r="D467" s="3">
        <v>128.79</v>
      </c>
      <c r="E467" s="3">
        <v>143.52000000000001</v>
      </c>
      <c r="F467" s="3">
        <v>138.80000000000001</v>
      </c>
      <c r="G467" s="3">
        <v>82.12</v>
      </c>
      <c r="H467" s="3">
        <v>84.47</v>
      </c>
      <c r="I467" s="3">
        <v>81.3</v>
      </c>
      <c r="J467" s="3">
        <v>70.63</v>
      </c>
      <c r="K467" s="3">
        <v>19.7</v>
      </c>
      <c r="L467" s="3">
        <v>75925.55</v>
      </c>
      <c r="M467" s="3">
        <v>59576.79</v>
      </c>
      <c r="N467" s="3">
        <v>32.604999999999997</v>
      </c>
      <c r="O467" s="3">
        <v>6.4869999999999997E-2</v>
      </c>
      <c r="P467" s="3">
        <v>4.2699999999999996</v>
      </c>
      <c r="Q467" s="3">
        <v>129.56</v>
      </c>
      <c r="R467" s="3">
        <v>85.46</v>
      </c>
      <c r="S467" s="3">
        <v>265.95</v>
      </c>
    </row>
    <row r="468" spans="1:19" ht="14.4" x14ac:dyDescent="0.3">
      <c r="A468" s="2">
        <v>44575</v>
      </c>
      <c r="B468" s="3">
        <v>96.51</v>
      </c>
      <c r="C468" s="3">
        <v>126.32</v>
      </c>
      <c r="D468" s="3">
        <v>139.82</v>
      </c>
      <c r="E468" s="3">
        <v>162.57</v>
      </c>
      <c r="F468" s="3">
        <v>147.83000000000001</v>
      </c>
      <c r="G468" s="3">
        <v>83.82</v>
      </c>
      <c r="H468" s="3">
        <v>86.06</v>
      </c>
      <c r="I468" s="3">
        <v>82.27</v>
      </c>
      <c r="J468" s="3">
        <v>71.87</v>
      </c>
      <c r="K468" s="3">
        <v>19.66</v>
      </c>
      <c r="L468" s="3">
        <v>75160.210000000006</v>
      </c>
      <c r="M468" s="3">
        <v>58002.61</v>
      </c>
      <c r="N468" s="3">
        <v>32.844999999999999</v>
      </c>
      <c r="O468" s="3">
        <v>6.4960000000000004E-2</v>
      </c>
      <c r="P468" s="3">
        <v>4.2619999999999996</v>
      </c>
      <c r="Q468" s="3">
        <v>126.6</v>
      </c>
      <c r="R468" s="3">
        <v>86.97</v>
      </c>
      <c r="S468" s="3">
        <v>266.85000000000002</v>
      </c>
    </row>
    <row r="469" spans="1:19" ht="14.4" x14ac:dyDescent="0.3">
      <c r="A469" s="2">
        <v>44578</v>
      </c>
      <c r="B469" s="3">
        <v>96.51</v>
      </c>
      <c r="C469" s="3">
        <v>126.32</v>
      </c>
      <c r="D469" s="3">
        <v>139.82</v>
      </c>
      <c r="E469" s="3">
        <v>162.57</v>
      </c>
      <c r="F469" s="3">
        <v>147.83000000000001</v>
      </c>
      <c r="G469" s="3">
        <v>83.69</v>
      </c>
      <c r="H469" s="3">
        <v>86.48</v>
      </c>
      <c r="I469" s="1">
        <f>(I468+I470)/2</f>
        <v>82.745000000000005</v>
      </c>
      <c r="J469" s="1">
        <f>(J468+J470)/2</f>
        <v>72.474999999999994</v>
      </c>
      <c r="K469" s="3">
        <v>19.68</v>
      </c>
      <c r="L469" s="3">
        <v>75593.47</v>
      </c>
      <c r="M469" s="3">
        <v>57327.54</v>
      </c>
      <c r="N469" s="5">
        <f>FORECAST(A469,N463:N468,A463:A468)</f>
        <v>32.071891891891028</v>
      </c>
      <c r="O469" s="3">
        <v>6.5000000000000002E-2</v>
      </c>
      <c r="P469" s="3">
        <v>4.2759999999999998</v>
      </c>
      <c r="Q469" s="1">
        <f>AVERAGE(Q468,Q470)</f>
        <v>126.49</v>
      </c>
      <c r="R469" s="3">
        <v>78.22</v>
      </c>
      <c r="S469" s="3">
        <v>266.05</v>
      </c>
    </row>
    <row r="470" spans="1:19" ht="14.4" x14ac:dyDescent="0.3">
      <c r="A470" s="2">
        <v>44579</v>
      </c>
      <c r="B470" s="3">
        <v>96.51</v>
      </c>
      <c r="C470" s="3">
        <v>126.32</v>
      </c>
      <c r="D470" s="3">
        <v>139.82</v>
      </c>
      <c r="E470" s="3">
        <v>162.57</v>
      </c>
      <c r="F470" s="3">
        <v>147.83000000000001</v>
      </c>
      <c r="G470" s="3">
        <v>85.43</v>
      </c>
      <c r="H470" s="3">
        <v>87.51</v>
      </c>
      <c r="I470" s="3">
        <v>83.22</v>
      </c>
      <c r="J470" s="3">
        <v>73.08</v>
      </c>
      <c r="K470" s="3">
        <v>19.98</v>
      </c>
      <c r="L470" s="3">
        <v>74955.66</v>
      </c>
      <c r="M470" s="3">
        <v>56039.11</v>
      </c>
      <c r="N470" s="3">
        <v>22.934999999999999</v>
      </c>
      <c r="O470" s="3">
        <v>6.4399999999999999E-2</v>
      </c>
      <c r="P470" s="3">
        <v>4.2830000000000004</v>
      </c>
      <c r="Q470" s="3">
        <v>126.38</v>
      </c>
      <c r="R470" s="3">
        <v>78.334999999999994</v>
      </c>
      <c r="S470" s="3">
        <v>253.1</v>
      </c>
    </row>
    <row r="471" spans="1:19" ht="14.4" x14ac:dyDescent="0.3">
      <c r="A471" s="2">
        <v>44580</v>
      </c>
      <c r="B471" s="3">
        <v>96.51</v>
      </c>
      <c r="C471" s="3">
        <v>126.32</v>
      </c>
      <c r="D471" s="3">
        <v>139.82</v>
      </c>
      <c r="E471" s="3">
        <v>162.57</v>
      </c>
      <c r="F471" s="3">
        <v>147.83000000000001</v>
      </c>
      <c r="G471" s="3">
        <v>86.96</v>
      </c>
      <c r="H471" s="3">
        <v>88.44</v>
      </c>
      <c r="I471" s="3">
        <v>83.56</v>
      </c>
      <c r="J471" s="3">
        <v>73.11</v>
      </c>
      <c r="K471" s="3">
        <v>20.75</v>
      </c>
      <c r="L471" s="3">
        <v>76176.149999999994</v>
      </c>
      <c r="M471" s="3">
        <v>57924.76</v>
      </c>
      <c r="N471" s="3">
        <v>21.14</v>
      </c>
      <c r="O471" s="3">
        <v>6.5180000000000002E-2</v>
      </c>
      <c r="P471" s="3">
        <v>4.0309999999999997</v>
      </c>
      <c r="Q471" s="3">
        <v>125.81</v>
      </c>
      <c r="R471" s="3">
        <v>75.599999999999994</v>
      </c>
      <c r="S471" s="3">
        <v>260.05</v>
      </c>
    </row>
    <row r="472" spans="1:19" ht="14.4" x14ac:dyDescent="0.3">
      <c r="A472" s="2">
        <v>44581</v>
      </c>
      <c r="B472" s="3">
        <v>96.51</v>
      </c>
      <c r="C472" s="3">
        <v>126.32</v>
      </c>
      <c r="D472" s="3">
        <v>139.82</v>
      </c>
      <c r="E472" s="3">
        <v>162.57</v>
      </c>
      <c r="F472" s="3">
        <v>147.83000000000001</v>
      </c>
      <c r="G472" s="3">
        <v>86.9</v>
      </c>
      <c r="H472" s="3">
        <v>88.38</v>
      </c>
      <c r="I472" s="3">
        <v>83.5</v>
      </c>
      <c r="J472" s="3">
        <v>73.27</v>
      </c>
      <c r="K472" s="3">
        <v>20.95</v>
      </c>
      <c r="L472" s="3">
        <v>76233.259999999995</v>
      </c>
      <c r="M472" s="3">
        <v>60249.54</v>
      </c>
      <c r="N472" s="3">
        <v>20.524999999999999</v>
      </c>
      <c r="O472" s="3">
        <v>6.5720000000000001E-2</v>
      </c>
      <c r="P472" s="3">
        <v>3.802</v>
      </c>
      <c r="Q472" s="3">
        <v>126.12</v>
      </c>
      <c r="R472" s="3">
        <v>75.204999999999998</v>
      </c>
      <c r="S472" s="3">
        <v>259.75</v>
      </c>
    </row>
    <row r="473" spans="1:19" ht="14.4" x14ac:dyDescent="0.3">
      <c r="A473" s="2">
        <v>44582</v>
      </c>
      <c r="B473" s="3">
        <v>114.04</v>
      </c>
      <c r="C473" s="3">
        <v>138.43</v>
      </c>
      <c r="D473" s="3">
        <v>158.47</v>
      </c>
      <c r="E473" s="3">
        <v>182.55</v>
      </c>
      <c r="F473" s="3">
        <v>159.43</v>
      </c>
      <c r="G473" s="3">
        <v>85.14</v>
      </c>
      <c r="H473" s="3">
        <v>87.89</v>
      </c>
      <c r="I473" s="3">
        <v>83.29</v>
      </c>
      <c r="J473" s="3">
        <v>72.17</v>
      </c>
      <c r="K473" s="3">
        <v>21.15</v>
      </c>
      <c r="L473" s="3">
        <v>74834.52</v>
      </c>
      <c r="M473" s="3">
        <v>59501.14</v>
      </c>
      <c r="N473" s="3">
        <v>22.09</v>
      </c>
      <c r="O473" s="3">
        <v>6.6140000000000004E-2</v>
      </c>
      <c r="P473" s="3">
        <v>3.9990000000000001</v>
      </c>
      <c r="Q473" s="3">
        <v>125.64</v>
      </c>
      <c r="R473" s="3">
        <v>78.98</v>
      </c>
      <c r="S473" s="3">
        <v>251.7</v>
      </c>
    </row>
    <row r="474" spans="1:19" ht="14.4" x14ac:dyDescent="0.3">
      <c r="A474" s="2">
        <v>44585</v>
      </c>
      <c r="B474" s="3">
        <v>114.04</v>
      </c>
      <c r="C474" s="3">
        <v>138.43</v>
      </c>
      <c r="D474" s="3">
        <v>158.47</v>
      </c>
      <c r="E474" s="3">
        <v>182.55</v>
      </c>
      <c r="F474" s="3">
        <v>159.43</v>
      </c>
      <c r="G474" s="3">
        <v>83.31</v>
      </c>
      <c r="H474" s="3">
        <v>86.27</v>
      </c>
      <c r="I474" s="3">
        <v>82.87</v>
      </c>
      <c r="J474" s="3">
        <v>72.790000000000006</v>
      </c>
      <c r="K474" s="3">
        <v>21.15</v>
      </c>
      <c r="L474" s="3">
        <v>72164.02</v>
      </c>
      <c r="M474" s="3">
        <v>56367.01</v>
      </c>
      <c r="N474" s="3">
        <v>25.19</v>
      </c>
      <c r="O474" s="3">
        <v>6.5449999999999994E-2</v>
      </c>
      <c r="P474" s="3">
        <v>4.0270000000000001</v>
      </c>
      <c r="Q474" s="3">
        <v>125.32</v>
      </c>
      <c r="R474" s="3">
        <v>93</v>
      </c>
      <c r="S474" s="3">
        <v>240.05</v>
      </c>
    </row>
    <row r="475" spans="1:19" ht="14.4" x14ac:dyDescent="0.3">
      <c r="A475" s="2">
        <v>44586</v>
      </c>
      <c r="B475" s="3">
        <v>114.04</v>
      </c>
      <c r="C475" s="3">
        <v>138.43</v>
      </c>
      <c r="D475" s="3">
        <v>158.47</v>
      </c>
      <c r="E475" s="3">
        <v>182.55</v>
      </c>
      <c r="F475" s="3">
        <v>159.43</v>
      </c>
      <c r="G475" s="3">
        <v>85.6</v>
      </c>
      <c r="H475" s="3">
        <v>88.2</v>
      </c>
      <c r="I475" s="3">
        <v>83.21</v>
      </c>
      <c r="J475" s="3">
        <v>74.930000000000007</v>
      </c>
      <c r="K475" s="3">
        <v>20.55</v>
      </c>
      <c r="L475" s="3">
        <v>72314.81</v>
      </c>
      <c r="M475" s="3">
        <v>58074.63</v>
      </c>
      <c r="N475" s="3">
        <v>26.004999999999999</v>
      </c>
      <c r="O475" s="3">
        <v>6.5619999999999998E-2</v>
      </c>
      <c r="P475" s="3">
        <v>4.0529999999999999</v>
      </c>
      <c r="Q475" s="3">
        <v>123.95</v>
      </c>
      <c r="R475" s="3">
        <v>93.58</v>
      </c>
      <c r="S475" s="3">
        <v>238.7</v>
      </c>
    </row>
    <row r="476" spans="1:19" ht="14.4" x14ac:dyDescent="0.3">
      <c r="A476" s="2">
        <v>44587</v>
      </c>
      <c r="B476" s="3">
        <v>114.04</v>
      </c>
      <c r="C476" s="3">
        <v>138.43</v>
      </c>
      <c r="D476" s="3">
        <v>158.47</v>
      </c>
      <c r="E476" s="3">
        <v>182.55</v>
      </c>
      <c r="F476" s="3">
        <v>159.43</v>
      </c>
      <c r="G476" s="3">
        <v>87.35</v>
      </c>
      <c r="H476" s="3">
        <v>89.96</v>
      </c>
      <c r="I476" s="3">
        <v>83.39</v>
      </c>
      <c r="J476" s="3">
        <v>74.17</v>
      </c>
      <c r="K476" s="3">
        <v>20.55</v>
      </c>
      <c r="L476" s="3">
        <v>73797.33</v>
      </c>
      <c r="M476" s="3">
        <v>60175.79</v>
      </c>
      <c r="N476" s="3">
        <v>25.824999999999999</v>
      </c>
      <c r="O476" s="3">
        <v>6.522E-2</v>
      </c>
      <c r="P476" s="3">
        <v>4.2770000000000001</v>
      </c>
      <c r="Q476" s="3">
        <v>122.15</v>
      </c>
      <c r="R476" s="3">
        <v>91.834999999999994</v>
      </c>
      <c r="S476" s="1">
        <f>S477</f>
        <v>230.4</v>
      </c>
    </row>
    <row r="477" spans="1:19" ht="14.4" x14ac:dyDescent="0.3">
      <c r="A477" s="2">
        <v>44588</v>
      </c>
      <c r="B477" s="3">
        <v>114.04</v>
      </c>
      <c r="C477" s="3">
        <v>138.43</v>
      </c>
      <c r="D477" s="3">
        <v>158.47</v>
      </c>
      <c r="E477" s="3">
        <v>182.55</v>
      </c>
      <c r="F477" s="3">
        <v>159.43</v>
      </c>
      <c r="G477" s="3">
        <v>86.61</v>
      </c>
      <c r="H477" s="3">
        <v>89.34</v>
      </c>
      <c r="I477" s="3">
        <v>83.33</v>
      </c>
      <c r="J477" s="3">
        <v>75.12</v>
      </c>
      <c r="K477" s="3">
        <v>20.3</v>
      </c>
      <c r="L477" s="3">
        <v>73504.039999999994</v>
      </c>
      <c r="M477" s="3">
        <v>57337.73</v>
      </c>
      <c r="N477" s="3">
        <v>25.274999999999999</v>
      </c>
      <c r="O477" s="3">
        <v>6.4619999999999997E-2</v>
      </c>
      <c r="P477" s="3">
        <v>4.2830000000000004</v>
      </c>
      <c r="Q477" s="3">
        <v>122.4</v>
      </c>
      <c r="R477" s="3">
        <v>92.3</v>
      </c>
      <c r="S477" s="3">
        <v>230.4</v>
      </c>
    </row>
    <row r="478" spans="1:19" ht="14.4" x14ac:dyDescent="0.3">
      <c r="A478" s="2">
        <v>44589</v>
      </c>
      <c r="B478" s="3">
        <v>125.83</v>
      </c>
      <c r="C478" s="3">
        <v>148.91</v>
      </c>
      <c r="D478" s="3">
        <v>173.55</v>
      </c>
      <c r="E478" s="3">
        <v>201.3</v>
      </c>
      <c r="F478" s="3">
        <v>165.91</v>
      </c>
      <c r="G478" s="3">
        <v>86.82</v>
      </c>
      <c r="H478" s="3">
        <v>90.03</v>
      </c>
      <c r="I478" s="3">
        <v>83.36</v>
      </c>
      <c r="J478" s="3">
        <v>75.28</v>
      </c>
      <c r="K478" s="3">
        <v>19.5</v>
      </c>
      <c r="L478" s="3">
        <v>73454.960000000006</v>
      </c>
      <c r="M478" s="3">
        <v>55542.58</v>
      </c>
      <c r="N478" s="3">
        <v>26.81</v>
      </c>
      <c r="O478" s="3">
        <v>6.4079999999999998E-2</v>
      </c>
      <c r="P478" s="3">
        <v>4.6390000000000002</v>
      </c>
      <c r="Q478" s="3">
        <v>124.35</v>
      </c>
      <c r="R478" s="3">
        <v>92.061999999999998</v>
      </c>
      <c r="S478" s="3">
        <v>232.9</v>
      </c>
    </row>
    <row r="479" spans="1:19" ht="14.4" x14ac:dyDescent="0.3">
      <c r="A479" s="2">
        <v>44592</v>
      </c>
      <c r="B479" s="3">
        <v>125.83</v>
      </c>
      <c r="C479" s="3">
        <v>148.91</v>
      </c>
      <c r="D479" s="3">
        <v>173.55</v>
      </c>
      <c r="E479" s="3">
        <v>201.3</v>
      </c>
      <c r="F479" s="3">
        <v>165.91</v>
      </c>
      <c r="G479" s="3">
        <v>88.15</v>
      </c>
      <c r="H479" s="3">
        <v>91.21</v>
      </c>
      <c r="I479" s="3">
        <v>83.45</v>
      </c>
      <c r="J479" s="3">
        <v>75.959999999999994</v>
      </c>
      <c r="K479" s="3">
        <v>19.079999999999998</v>
      </c>
      <c r="L479" s="3">
        <v>74304.56</v>
      </c>
      <c r="M479" s="3">
        <v>57645.58</v>
      </c>
      <c r="N479" s="3">
        <v>24.71</v>
      </c>
      <c r="O479" s="3">
        <v>6.4909999999999995E-2</v>
      </c>
      <c r="P479" s="3">
        <v>4.8739999999999997</v>
      </c>
      <c r="Q479" s="3">
        <v>126.66</v>
      </c>
      <c r="R479" s="3">
        <v>84.67</v>
      </c>
      <c r="S479" s="3">
        <v>235.45</v>
      </c>
    </row>
    <row r="480" spans="1:19" ht="14.4" x14ac:dyDescent="0.3">
      <c r="A480" s="2">
        <v>44593</v>
      </c>
      <c r="B480" s="3">
        <v>125.83</v>
      </c>
      <c r="C480" s="3">
        <v>148.91</v>
      </c>
      <c r="D480" s="3">
        <v>173.55</v>
      </c>
      <c r="E480" s="3">
        <v>201.3</v>
      </c>
      <c r="F480" s="3">
        <v>165.91</v>
      </c>
      <c r="G480" s="3">
        <v>88.2</v>
      </c>
      <c r="H480" s="3">
        <v>89.16</v>
      </c>
      <c r="I480" s="3">
        <v>87.42</v>
      </c>
      <c r="J480" s="3">
        <v>80.83</v>
      </c>
      <c r="K480" s="5">
        <f t="shared" ref="K480:K482" si="29">FORECAST(A480,K474:K479,A474:A479)</f>
        <v>18.664864864864285</v>
      </c>
      <c r="L480" s="3">
        <v>74889.17</v>
      </c>
      <c r="M480" s="3">
        <v>57504.49</v>
      </c>
      <c r="N480" s="3">
        <v>23.704999999999998</v>
      </c>
      <c r="O480" s="3">
        <v>6.547E-2</v>
      </c>
      <c r="P480" s="3">
        <v>4.7510000000000003</v>
      </c>
      <c r="Q480" s="3">
        <v>127.04</v>
      </c>
      <c r="R480" s="3">
        <v>76.165000000000006</v>
      </c>
      <c r="S480" s="3">
        <v>233.75</v>
      </c>
    </row>
    <row r="481" spans="1:19" ht="14.4" x14ac:dyDescent="0.3">
      <c r="A481" s="2">
        <v>44594</v>
      </c>
      <c r="B481" s="3">
        <v>125.83</v>
      </c>
      <c r="C481" s="3">
        <v>148.91</v>
      </c>
      <c r="D481" s="3">
        <v>173.55</v>
      </c>
      <c r="E481" s="3">
        <v>201.3</v>
      </c>
      <c r="F481" s="3">
        <v>165.91</v>
      </c>
      <c r="G481" s="3">
        <v>88.26</v>
      </c>
      <c r="H481" s="3">
        <v>89.47</v>
      </c>
      <c r="I481" s="3">
        <v>87.77</v>
      </c>
      <c r="J481" s="3">
        <v>80.62</v>
      </c>
      <c r="K481" s="5">
        <f t="shared" si="29"/>
        <v>18.414419440900019</v>
      </c>
      <c r="L481" s="3">
        <v>75190.740000000005</v>
      </c>
      <c r="M481" s="3">
        <v>57157.11</v>
      </c>
      <c r="N481" s="3">
        <v>24.2</v>
      </c>
      <c r="O481" s="3">
        <v>6.515E-2</v>
      </c>
      <c r="P481" s="3">
        <v>5.5010000000000003</v>
      </c>
      <c r="Q481" s="3">
        <v>129.03</v>
      </c>
      <c r="R481" s="3">
        <v>77.349999999999994</v>
      </c>
      <c r="S481" s="3">
        <v>239.75</v>
      </c>
    </row>
    <row r="482" spans="1:19" ht="14.4" x14ac:dyDescent="0.3">
      <c r="A482" s="2">
        <v>44595</v>
      </c>
      <c r="B482" s="3">
        <v>125.83</v>
      </c>
      <c r="C482" s="3">
        <v>148.91</v>
      </c>
      <c r="D482" s="3">
        <v>173.55</v>
      </c>
      <c r="E482" s="3">
        <v>201.3</v>
      </c>
      <c r="F482" s="3">
        <v>165.91</v>
      </c>
      <c r="G482" s="3">
        <v>90.27</v>
      </c>
      <c r="H482" s="3">
        <v>91.11</v>
      </c>
      <c r="I482" s="3">
        <v>89.16</v>
      </c>
      <c r="J482" s="3">
        <v>79.680000000000007</v>
      </c>
      <c r="K482" s="5">
        <f t="shared" si="29"/>
        <v>18.096149856355623</v>
      </c>
      <c r="L482" s="3">
        <v>75021.67</v>
      </c>
      <c r="M482" s="3">
        <v>56361.59</v>
      </c>
      <c r="N482" s="3">
        <v>24.34</v>
      </c>
      <c r="O482" s="3">
        <v>6.547E-2</v>
      </c>
      <c r="P482" s="3">
        <v>4.8879999999999999</v>
      </c>
      <c r="Q482" s="3">
        <v>127.89</v>
      </c>
      <c r="R482" s="3">
        <v>80.224999999999994</v>
      </c>
      <c r="S482" s="3">
        <v>235.6</v>
      </c>
    </row>
    <row r="483" spans="1:19" ht="14.4" x14ac:dyDescent="0.3">
      <c r="A483" s="2">
        <v>44596</v>
      </c>
      <c r="B483" s="3">
        <v>109</v>
      </c>
      <c r="C483" s="3">
        <v>138.88999999999999</v>
      </c>
      <c r="D483" s="3">
        <v>153.16</v>
      </c>
      <c r="E483" s="3">
        <v>183.78</v>
      </c>
      <c r="F483" s="3">
        <v>169.78</v>
      </c>
      <c r="G483" s="3">
        <v>92.31</v>
      </c>
      <c r="H483" s="3">
        <v>93.27</v>
      </c>
      <c r="I483" s="3">
        <v>91.06</v>
      </c>
      <c r="J483" s="3">
        <v>81.41</v>
      </c>
      <c r="K483" s="3">
        <v>20</v>
      </c>
      <c r="L483" s="3">
        <v>75206</v>
      </c>
      <c r="M483" s="3">
        <v>57344.95</v>
      </c>
      <c r="N483" s="3">
        <v>25.35</v>
      </c>
      <c r="O483" s="3">
        <v>6.4519999999999994E-2</v>
      </c>
      <c r="P483" s="3">
        <v>4.5720000000000001</v>
      </c>
      <c r="Q483" s="3">
        <v>129.76</v>
      </c>
      <c r="R483" s="3">
        <v>82.65</v>
      </c>
      <c r="S483" s="3">
        <v>232.85</v>
      </c>
    </row>
    <row r="484" spans="1:19" ht="14.4" x14ac:dyDescent="0.3">
      <c r="A484" s="2">
        <v>44599</v>
      </c>
      <c r="B484" s="3">
        <v>109</v>
      </c>
      <c r="C484" s="3">
        <v>138.88999999999999</v>
      </c>
      <c r="D484" s="3">
        <v>153.16</v>
      </c>
      <c r="E484" s="3">
        <v>183.78</v>
      </c>
      <c r="F484" s="3">
        <v>169.78</v>
      </c>
      <c r="G484" s="3">
        <v>91.32</v>
      </c>
      <c r="H484" s="3">
        <v>92.69</v>
      </c>
      <c r="I484" s="3">
        <v>90.76</v>
      </c>
      <c r="J484" s="3">
        <v>82.39</v>
      </c>
      <c r="K484" s="3">
        <v>20.45</v>
      </c>
      <c r="L484" s="3">
        <v>75679.56</v>
      </c>
      <c r="M484" s="3">
        <v>57819.3</v>
      </c>
      <c r="N484" s="3">
        <v>25.1</v>
      </c>
      <c r="O484" s="3">
        <v>6.4409999999999995E-2</v>
      </c>
      <c r="P484" s="3">
        <v>4.2320000000000002</v>
      </c>
      <c r="Q484" s="3">
        <v>127.68</v>
      </c>
      <c r="R484" s="3">
        <v>79.594999999999999</v>
      </c>
      <c r="S484" s="3">
        <v>225.65</v>
      </c>
    </row>
    <row r="485" spans="1:19" ht="14.4" x14ac:dyDescent="0.3">
      <c r="A485" s="2">
        <v>44600</v>
      </c>
      <c r="B485" s="3">
        <v>109</v>
      </c>
      <c r="C485" s="3">
        <v>138.88999999999999</v>
      </c>
      <c r="D485" s="3">
        <v>153.16</v>
      </c>
      <c r="E485" s="3">
        <v>183.78</v>
      </c>
      <c r="F485" s="3">
        <v>169.78</v>
      </c>
      <c r="G485" s="3">
        <v>89.36</v>
      </c>
      <c r="H485" s="3">
        <v>90.78</v>
      </c>
      <c r="I485" s="3">
        <v>89.28</v>
      </c>
      <c r="J485" s="3">
        <v>80.260000000000005</v>
      </c>
      <c r="K485" s="3">
        <v>21.6</v>
      </c>
      <c r="L485" s="3">
        <v>76090.52</v>
      </c>
      <c r="M485" s="3">
        <v>58859.87</v>
      </c>
      <c r="N485" s="3">
        <v>25.305</v>
      </c>
      <c r="O485" s="3">
        <v>6.5079999999999999E-2</v>
      </c>
      <c r="P485" s="3">
        <v>4.2480000000000002</v>
      </c>
      <c r="Q485" s="3">
        <v>127.59</v>
      </c>
      <c r="R485" s="3">
        <v>77.3</v>
      </c>
      <c r="S485" s="3">
        <v>222.85</v>
      </c>
    </row>
    <row r="486" spans="1:19" ht="14.4" x14ac:dyDescent="0.3">
      <c r="A486" s="2">
        <v>44601</v>
      </c>
      <c r="B486" s="3">
        <v>109</v>
      </c>
      <c r="C486" s="3">
        <v>138.88999999999999</v>
      </c>
      <c r="D486" s="3">
        <v>153.16</v>
      </c>
      <c r="E486" s="3">
        <v>183.78</v>
      </c>
      <c r="F486" s="3">
        <v>169.78</v>
      </c>
      <c r="G486" s="3">
        <v>89.66</v>
      </c>
      <c r="H486" s="3">
        <v>91.55</v>
      </c>
      <c r="I486" s="3">
        <v>89.88</v>
      </c>
      <c r="J486" s="3">
        <v>79</v>
      </c>
      <c r="K486" s="3">
        <v>20.95</v>
      </c>
      <c r="L486" s="3">
        <v>76690.92</v>
      </c>
      <c r="M486" s="3">
        <v>59244.41</v>
      </c>
      <c r="N486" s="3">
        <v>24.715</v>
      </c>
      <c r="O486" s="3">
        <v>6.5710000000000005E-2</v>
      </c>
      <c r="P486" s="3">
        <v>4.0090000000000003</v>
      </c>
      <c r="Q486" s="3">
        <v>129.05000000000001</v>
      </c>
      <c r="R486" s="3">
        <v>74.415000000000006</v>
      </c>
      <c r="S486" s="3">
        <v>222.05</v>
      </c>
    </row>
    <row r="487" spans="1:19" ht="14.4" x14ac:dyDescent="0.3">
      <c r="A487" s="2">
        <v>44602</v>
      </c>
      <c r="B487" s="3">
        <v>109</v>
      </c>
      <c r="C487" s="3">
        <v>138.88999999999999</v>
      </c>
      <c r="D487" s="3">
        <v>153.16</v>
      </c>
      <c r="E487" s="3">
        <v>183.78</v>
      </c>
      <c r="F487" s="3">
        <v>169.78</v>
      </c>
      <c r="G487" s="3">
        <v>89.88</v>
      </c>
      <c r="H487" s="3">
        <v>91.41</v>
      </c>
      <c r="I487" s="3">
        <v>89.92</v>
      </c>
      <c r="J487" s="3">
        <v>78.239999999999995</v>
      </c>
      <c r="K487" s="3">
        <v>21.8</v>
      </c>
      <c r="L487" s="3">
        <v>76585.19</v>
      </c>
      <c r="M487" s="3">
        <v>58967.77</v>
      </c>
      <c r="N487" s="3">
        <v>24.795000000000002</v>
      </c>
      <c r="O487" s="3">
        <v>6.5909999999999996E-2</v>
      </c>
      <c r="P487" s="3">
        <v>3.9590000000000001</v>
      </c>
      <c r="Q487" s="3">
        <v>126.72</v>
      </c>
      <c r="R487" s="3">
        <v>74.355000000000004</v>
      </c>
      <c r="S487" s="3">
        <v>225.3</v>
      </c>
    </row>
    <row r="488" spans="1:19" ht="14.4" x14ac:dyDescent="0.3">
      <c r="A488" s="2">
        <v>44603</v>
      </c>
      <c r="B488" s="3">
        <v>124.66</v>
      </c>
      <c r="C488" s="3">
        <v>160.72</v>
      </c>
      <c r="D488" s="3">
        <v>180.32</v>
      </c>
      <c r="E488" s="3">
        <v>201.98</v>
      </c>
      <c r="F488" s="3">
        <v>180.38</v>
      </c>
      <c r="G488" s="3">
        <v>93.1</v>
      </c>
      <c r="H488" s="3">
        <v>94.44</v>
      </c>
      <c r="I488" s="3">
        <v>91.79</v>
      </c>
      <c r="J488" s="3">
        <v>80.209999999999994</v>
      </c>
      <c r="K488" s="3">
        <v>22.35</v>
      </c>
      <c r="L488" s="3">
        <v>76382.95</v>
      </c>
      <c r="M488" s="3">
        <v>59205.77</v>
      </c>
      <c r="N488" s="3">
        <v>24.57</v>
      </c>
      <c r="O488" s="3">
        <v>6.5659999999999996E-2</v>
      </c>
      <c r="P488" s="3">
        <v>3.9409999999999998</v>
      </c>
      <c r="Q488" s="3">
        <v>125.93</v>
      </c>
      <c r="R488" s="3">
        <v>77.424999999999997</v>
      </c>
      <c r="S488" s="3">
        <v>219.45</v>
      </c>
    </row>
    <row r="489" spans="1:19" ht="14.4" x14ac:dyDescent="0.3">
      <c r="A489" s="2">
        <v>44606</v>
      </c>
      <c r="B489" s="3">
        <v>124.66</v>
      </c>
      <c r="C489" s="3">
        <v>160.72</v>
      </c>
      <c r="D489" s="3">
        <v>180.32</v>
      </c>
      <c r="E489" s="3">
        <v>201.98</v>
      </c>
      <c r="F489" s="3">
        <v>180.38</v>
      </c>
      <c r="G489" s="3">
        <v>95.46</v>
      </c>
      <c r="H489" s="3">
        <v>96.48</v>
      </c>
      <c r="I489" s="3">
        <v>92.61</v>
      </c>
      <c r="J489" s="3">
        <v>78.98</v>
      </c>
      <c r="K489" s="3">
        <v>21.8</v>
      </c>
      <c r="L489" s="3">
        <v>75765.16</v>
      </c>
      <c r="M489" s="3">
        <v>61904.42</v>
      </c>
      <c r="N489" s="3">
        <v>24.885000000000002</v>
      </c>
      <c r="O489" s="3">
        <v>6.608E-2</v>
      </c>
      <c r="P489" s="3">
        <v>4.1950000000000003</v>
      </c>
      <c r="Q489" s="3">
        <v>124.84</v>
      </c>
      <c r="R489" s="3">
        <v>80.77</v>
      </c>
      <c r="S489" s="3">
        <v>210.65</v>
      </c>
    </row>
    <row r="490" spans="1:19" ht="14.4" x14ac:dyDescent="0.3">
      <c r="A490" s="2">
        <v>44607</v>
      </c>
      <c r="B490" s="3">
        <v>124.66</v>
      </c>
      <c r="C490" s="3">
        <v>160.72</v>
      </c>
      <c r="D490" s="3">
        <v>180.32</v>
      </c>
      <c r="E490" s="3">
        <v>201.98</v>
      </c>
      <c r="F490" s="3">
        <v>180.38</v>
      </c>
      <c r="G490" s="3">
        <v>92.07</v>
      </c>
      <c r="H490" s="3">
        <v>93.28</v>
      </c>
      <c r="I490" s="3">
        <v>90.86</v>
      </c>
      <c r="J490" s="3">
        <v>77.989999999999995</v>
      </c>
      <c r="K490" s="3">
        <v>21.65</v>
      </c>
      <c r="L490" s="3">
        <v>75853.16</v>
      </c>
      <c r="M490" s="3">
        <v>59562.53</v>
      </c>
      <c r="N490" s="3">
        <v>24.815000000000001</v>
      </c>
      <c r="O490" s="3">
        <v>6.6140000000000004E-2</v>
      </c>
      <c r="P490" s="3">
        <v>4.306</v>
      </c>
      <c r="Q490" s="3">
        <v>125.22</v>
      </c>
      <c r="R490" s="3">
        <v>70.92</v>
      </c>
      <c r="S490" s="3">
        <v>221</v>
      </c>
    </row>
    <row r="491" spans="1:19" ht="14.4" x14ac:dyDescent="0.3">
      <c r="A491" s="2">
        <v>44608</v>
      </c>
      <c r="B491" s="3">
        <v>124.66</v>
      </c>
      <c r="C491" s="3">
        <v>160.72</v>
      </c>
      <c r="D491" s="3">
        <v>180.32</v>
      </c>
      <c r="E491" s="3">
        <v>201.98</v>
      </c>
      <c r="F491" s="3">
        <v>180.38</v>
      </c>
      <c r="G491" s="3">
        <v>93.66</v>
      </c>
      <c r="H491" s="3">
        <v>94.81</v>
      </c>
      <c r="I491" s="3">
        <v>91.56</v>
      </c>
      <c r="J491" s="3">
        <v>78.349999999999994</v>
      </c>
      <c r="K491" s="3">
        <v>22</v>
      </c>
      <c r="L491" s="3">
        <v>76502.59</v>
      </c>
      <c r="M491" s="3">
        <v>61346.67</v>
      </c>
      <c r="N491" s="3">
        <v>23.074999999999999</v>
      </c>
      <c r="O491" s="3">
        <v>6.6650000000000001E-2</v>
      </c>
      <c r="P491" s="3">
        <v>4.7169999999999996</v>
      </c>
      <c r="Q491" s="3">
        <v>125.72</v>
      </c>
      <c r="R491" s="3">
        <v>69.795000000000002</v>
      </c>
      <c r="S491" s="3">
        <v>219.35</v>
      </c>
    </row>
    <row r="492" spans="1:19" ht="14.4" x14ac:dyDescent="0.3">
      <c r="A492" s="2">
        <v>44609</v>
      </c>
      <c r="B492" s="3">
        <v>124.66</v>
      </c>
      <c r="C492" s="3">
        <v>160.72</v>
      </c>
      <c r="D492" s="3">
        <v>180.32</v>
      </c>
      <c r="E492" s="3">
        <v>201.98</v>
      </c>
      <c r="F492" s="3">
        <v>180.38</v>
      </c>
      <c r="G492" s="3">
        <v>91.76</v>
      </c>
      <c r="H492" s="3">
        <v>92.97</v>
      </c>
      <c r="I492" s="3">
        <v>90.67</v>
      </c>
      <c r="J492" s="3">
        <v>78.23</v>
      </c>
      <c r="K492" s="3">
        <v>22.1</v>
      </c>
      <c r="L492" s="3">
        <v>76154.69</v>
      </c>
      <c r="M492" s="3">
        <v>62788.46</v>
      </c>
      <c r="N492" s="3">
        <v>24.51</v>
      </c>
      <c r="O492" s="3">
        <v>6.6650000000000001E-2</v>
      </c>
      <c r="P492" s="3">
        <v>4.4859999999999998</v>
      </c>
      <c r="Q492" s="3">
        <v>123.25</v>
      </c>
      <c r="R492" s="3">
        <v>74.915000000000006</v>
      </c>
      <c r="S492" s="3">
        <v>216.9</v>
      </c>
    </row>
    <row r="493" spans="1:19" ht="14.4" x14ac:dyDescent="0.3">
      <c r="A493" s="2">
        <v>44610</v>
      </c>
      <c r="B493" s="3">
        <v>128.49</v>
      </c>
      <c r="C493" s="3">
        <v>162.33000000000001</v>
      </c>
      <c r="D493" s="3">
        <v>181.9</v>
      </c>
      <c r="E493" s="3">
        <v>211.52</v>
      </c>
      <c r="F493" s="3">
        <v>183.03</v>
      </c>
      <c r="G493" s="3">
        <v>91.07</v>
      </c>
      <c r="H493" s="3">
        <v>93.54</v>
      </c>
      <c r="I493" s="3">
        <v>90.9</v>
      </c>
      <c r="J493" s="3">
        <v>77.36</v>
      </c>
      <c r="K493" s="3">
        <v>22.45</v>
      </c>
      <c r="L493" s="3">
        <v>76368.34</v>
      </c>
      <c r="M493" s="3">
        <v>64049.19</v>
      </c>
      <c r="N493" s="3">
        <v>23.805</v>
      </c>
      <c r="O493" s="3">
        <v>6.6250000000000003E-2</v>
      </c>
      <c r="P493" s="3">
        <v>4.431</v>
      </c>
      <c r="Q493" s="3">
        <v>122.87</v>
      </c>
      <c r="R493" s="3">
        <v>73.760000000000005</v>
      </c>
      <c r="S493" s="3">
        <v>217.55</v>
      </c>
    </row>
    <row r="494" spans="1:19" ht="14.4" x14ac:dyDescent="0.3">
      <c r="A494" s="2">
        <v>44613</v>
      </c>
      <c r="B494" s="3">
        <v>128.49</v>
      </c>
      <c r="C494" s="3">
        <v>162.33000000000001</v>
      </c>
      <c r="D494" s="3">
        <v>181.9</v>
      </c>
      <c r="E494" s="3">
        <v>211.52</v>
      </c>
      <c r="F494" s="3">
        <v>183.03</v>
      </c>
      <c r="G494" s="3">
        <v>92.65</v>
      </c>
      <c r="H494" s="3">
        <v>95.39</v>
      </c>
      <c r="I494" s="1">
        <f>(I493+I495)/2</f>
        <v>91.37</v>
      </c>
      <c r="J494" s="1">
        <f>(J493+J495)/2</f>
        <v>76.91</v>
      </c>
      <c r="K494" s="3">
        <v>22.5</v>
      </c>
      <c r="L494" s="3">
        <v>75528.460000000006</v>
      </c>
      <c r="M494" s="3">
        <v>63290.63</v>
      </c>
      <c r="N494" s="5">
        <f>FORECAST(A494,N488:N493,A488:A493)</f>
        <v>23.532837837837178</v>
      </c>
      <c r="O494" s="3">
        <v>6.6059999999999994E-2</v>
      </c>
      <c r="P494" s="3">
        <v>4.7050000000000001</v>
      </c>
      <c r="Q494" s="1">
        <f>AVERAGE(Q493,Q495)</f>
        <v>122.995</v>
      </c>
      <c r="R494" s="3">
        <v>71.72</v>
      </c>
      <c r="S494" s="3">
        <v>210.2</v>
      </c>
    </row>
    <row r="495" spans="1:19" ht="14.4" x14ac:dyDescent="0.3">
      <c r="A495" s="2">
        <v>44614</v>
      </c>
      <c r="B495" s="3">
        <v>128.49</v>
      </c>
      <c r="C495" s="3">
        <v>162.33000000000001</v>
      </c>
      <c r="D495" s="3">
        <v>181.9</v>
      </c>
      <c r="E495" s="3">
        <v>211.52</v>
      </c>
      <c r="F495" s="3">
        <v>183.03</v>
      </c>
      <c r="G495" s="3">
        <v>92.35</v>
      </c>
      <c r="H495" s="3">
        <v>96.84</v>
      </c>
      <c r="I495" s="3">
        <v>91.84</v>
      </c>
      <c r="J495" s="3">
        <v>76.459999999999994</v>
      </c>
      <c r="K495" s="3">
        <v>22.45</v>
      </c>
      <c r="L495" s="3">
        <v>75653.84</v>
      </c>
      <c r="M495" s="3">
        <v>65246.400000000001</v>
      </c>
      <c r="N495" s="3">
        <v>25.96</v>
      </c>
      <c r="O495" s="3">
        <v>6.6350000000000006E-2</v>
      </c>
      <c r="P495" s="3">
        <v>4.4980000000000002</v>
      </c>
      <c r="Q495" s="3">
        <v>123.12</v>
      </c>
      <c r="R495" s="3">
        <v>79.790000000000006</v>
      </c>
      <c r="S495" s="3">
        <v>205.25</v>
      </c>
    </row>
    <row r="496" spans="1:19" ht="14.4" x14ac:dyDescent="0.3">
      <c r="A496" s="2">
        <v>44615</v>
      </c>
      <c r="B496" s="3">
        <v>128.49</v>
      </c>
      <c r="C496" s="3">
        <v>162.33000000000001</v>
      </c>
      <c r="D496" s="3">
        <v>181.9</v>
      </c>
      <c r="E496" s="3">
        <v>211.52</v>
      </c>
      <c r="F496" s="3">
        <v>183.03</v>
      </c>
      <c r="G496" s="3">
        <v>92.1</v>
      </c>
      <c r="H496" s="3">
        <v>96.84</v>
      </c>
      <c r="I496" s="3">
        <v>91.7</v>
      </c>
      <c r="J496" s="3">
        <v>76.77</v>
      </c>
      <c r="K496" s="3">
        <v>21.85</v>
      </c>
      <c r="L496" s="3">
        <v>74987.05</v>
      </c>
      <c r="M496" s="3">
        <v>64546.9</v>
      </c>
      <c r="N496" s="3">
        <v>28.965</v>
      </c>
      <c r="O496" s="3">
        <v>6.6129999999999994E-2</v>
      </c>
      <c r="P496" s="3">
        <v>4.6230000000000002</v>
      </c>
      <c r="Q496" s="3">
        <v>123.69</v>
      </c>
      <c r="R496" s="3">
        <v>88.89</v>
      </c>
      <c r="S496" s="3">
        <v>208.8</v>
      </c>
    </row>
    <row r="497" spans="1:19" ht="14.4" x14ac:dyDescent="0.3">
      <c r="A497" s="2">
        <v>44616</v>
      </c>
      <c r="B497" s="3">
        <v>128.49</v>
      </c>
      <c r="C497" s="3">
        <v>162.33000000000001</v>
      </c>
      <c r="D497" s="3">
        <v>181.9</v>
      </c>
      <c r="E497" s="3">
        <v>211.52</v>
      </c>
      <c r="F497" s="3">
        <v>183.03</v>
      </c>
      <c r="G497" s="3">
        <v>92.81</v>
      </c>
      <c r="H497" s="3">
        <v>99.08</v>
      </c>
      <c r="I497" s="3">
        <v>92.07</v>
      </c>
      <c r="J497" s="3">
        <v>75.8</v>
      </c>
      <c r="K497" s="3">
        <v>21.65</v>
      </c>
      <c r="L497" s="3">
        <v>73697.11</v>
      </c>
      <c r="M497" s="3">
        <v>69934.63</v>
      </c>
      <c r="N497" s="3">
        <v>37.01</v>
      </c>
      <c r="O497" s="3">
        <v>6.5060000000000007E-2</v>
      </c>
      <c r="P497" s="3">
        <v>4.5679999999999996</v>
      </c>
      <c r="Q497" s="3">
        <v>127.92</v>
      </c>
      <c r="R497" s="3">
        <v>134.315</v>
      </c>
      <c r="S497" s="3">
        <v>193.45</v>
      </c>
    </row>
    <row r="498" spans="1:19" ht="14.4" x14ac:dyDescent="0.3">
      <c r="A498" s="2">
        <v>44617</v>
      </c>
      <c r="B498" s="3">
        <v>151.27000000000001</v>
      </c>
      <c r="C498" s="3">
        <v>189</v>
      </c>
      <c r="D498" s="3">
        <v>216.37</v>
      </c>
      <c r="E498" s="3">
        <v>228.31</v>
      </c>
      <c r="F498" s="3">
        <v>203.78</v>
      </c>
      <c r="G498" s="3">
        <v>91.59</v>
      </c>
      <c r="H498" s="3">
        <v>97.93</v>
      </c>
      <c r="I498" s="3">
        <v>91.93</v>
      </c>
      <c r="J498" s="3">
        <v>77.84</v>
      </c>
      <c r="K498" s="3">
        <v>20.6</v>
      </c>
      <c r="L498" s="3">
        <v>74205.69</v>
      </c>
      <c r="M498" s="3">
        <v>66682.94</v>
      </c>
      <c r="N498" s="3">
        <v>27.51</v>
      </c>
      <c r="O498" s="3">
        <v>6.5989999999999993E-2</v>
      </c>
      <c r="P498" s="3">
        <v>4.47</v>
      </c>
      <c r="Q498" s="3">
        <v>128.47</v>
      </c>
      <c r="R498" s="3">
        <v>94.421999999999997</v>
      </c>
      <c r="S498" s="3">
        <v>204.2</v>
      </c>
    </row>
    <row r="499" spans="1:19" ht="14.4" x14ac:dyDescent="0.3">
      <c r="A499" s="2">
        <v>44620</v>
      </c>
      <c r="B499" s="3">
        <v>151.27000000000001</v>
      </c>
      <c r="C499" s="3">
        <v>189</v>
      </c>
      <c r="D499" s="3">
        <v>216.37</v>
      </c>
      <c r="E499" s="3">
        <v>228.31</v>
      </c>
      <c r="F499" s="3">
        <v>203.78</v>
      </c>
      <c r="G499" s="3">
        <v>95.72</v>
      </c>
      <c r="H499" s="3">
        <v>100.99</v>
      </c>
      <c r="I499" s="3">
        <v>92.34</v>
      </c>
      <c r="J499" s="3">
        <v>78.42</v>
      </c>
      <c r="K499" s="3">
        <v>21.5</v>
      </c>
      <c r="L499" s="3">
        <v>76090.509999999995</v>
      </c>
      <c r="M499" s="3">
        <v>73018.789999999994</v>
      </c>
      <c r="N499" s="3">
        <v>27.95</v>
      </c>
      <c r="O499" s="3">
        <v>6.5030000000000004E-2</v>
      </c>
      <c r="P499" s="3">
        <v>4.4020000000000001</v>
      </c>
      <c r="Q499" s="3">
        <v>128.12</v>
      </c>
      <c r="R499" s="3">
        <v>98.594999999999999</v>
      </c>
      <c r="S499" s="3">
        <v>205.85</v>
      </c>
    </row>
    <row r="500" spans="1:19" ht="14.4" x14ac:dyDescent="0.3">
      <c r="A500" s="2">
        <v>44621</v>
      </c>
      <c r="B500" s="3">
        <v>151.27000000000001</v>
      </c>
      <c r="C500" s="3">
        <v>189</v>
      </c>
      <c r="D500" s="3">
        <v>216.37</v>
      </c>
      <c r="E500" s="3">
        <v>228.31</v>
      </c>
      <c r="F500" s="3">
        <v>203.78</v>
      </c>
      <c r="G500" s="3">
        <v>103.41</v>
      </c>
      <c r="H500" s="3">
        <v>104.97</v>
      </c>
      <c r="I500" s="3">
        <v>102</v>
      </c>
      <c r="J500" s="3">
        <v>79.17</v>
      </c>
      <c r="K500" s="3">
        <v>21.8</v>
      </c>
      <c r="L500" s="3">
        <v>77110.69</v>
      </c>
      <c r="M500" s="3">
        <v>75185.759999999995</v>
      </c>
      <c r="N500" s="3">
        <v>31.5</v>
      </c>
      <c r="O500" s="3">
        <v>6.479E-2</v>
      </c>
      <c r="P500" s="3">
        <v>4.5730000000000004</v>
      </c>
      <c r="Q500" s="3">
        <v>127.75</v>
      </c>
      <c r="R500" s="3">
        <v>121.675</v>
      </c>
      <c r="S500" s="1">
        <f>S501</f>
        <v>214.05</v>
      </c>
    </row>
    <row r="501" spans="1:19" ht="14.4" x14ac:dyDescent="0.3">
      <c r="A501" s="2">
        <v>44622</v>
      </c>
      <c r="B501" s="3">
        <v>151.27000000000001</v>
      </c>
      <c r="C501" s="3">
        <v>189</v>
      </c>
      <c r="D501" s="3">
        <v>216.37</v>
      </c>
      <c r="E501" s="3">
        <v>228.31</v>
      </c>
      <c r="F501" s="3">
        <v>203.78</v>
      </c>
      <c r="G501" s="3">
        <v>110.6</v>
      </c>
      <c r="H501" s="3">
        <v>112.93</v>
      </c>
      <c r="I501" s="3">
        <v>109.4</v>
      </c>
      <c r="J501" s="3">
        <v>80.53</v>
      </c>
      <c r="K501" s="3">
        <v>21.8</v>
      </c>
      <c r="L501" s="3">
        <v>77536.12</v>
      </c>
      <c r="M501" s="3">
        <v>75128.44</v>
      </c>
      <c r="N501" s="3">
        <v>38.505000000000003</v>
      </c>
      <c r="O501" s="3">
        <v>6.5269999999999995E-2</v>
      </c>
      <c r="P501" s="3">
        <v>4.7619999999999996</v>
      </c>
      <c r="Q501" s="3">
        <v>129.94999999999999</v>
      </c>
      <c r="R501" s="3">
        <v>165.54499999999999</v>
      </c>
      <c r="S501" s="3">
        <v>214.05</v>
      </c>
    </row>
    <row r="502" spans="1:19" ht="14.4" x14ac:dyDescent="0.3">
      <c r="A502" s="2">
        <v>44623</v>
      </c>
      <c r="B502" s="3">
        <v>151.27000000000001</v>
      </c>
      <c r="C502" s="3">
        <v>189</v>
      </c>
      <c r="D502" s="3">
        <v>216.37</v>
      </c>
      <c r="E502" s="3">
        <v>228.31</v>
      </c>
      <c r="F502" s="3">
        <v>203.78</v>
      </c>
      <c r="G502" s="3">
        <v>107.67</v>
      </c>
      <c r="H502" s="3">
        <v>110.46</v>
      </c>
      <c r="I502" s="3">
        <v>106.58</v>
      </c>
      <c r="J502" s="3">
        <v>81.040000000000006</v>
      </c>
      <c r="K502" s="3">
        <v>22.75</v>
      </c>
      <c r="L502" s="3">
        <v>77390.850000000006</v>
      </c>
      <c r="M502" s="3">
        <v>72933.89</v>
      </c>
      <c r="N502" s="3">
        <v>43.6</v>
      </c>
      <c r="O502" s="3">
        <v>6.5740000000000007E-2</v>
      </c>
      <c r="P502" s="3">
        <v>4.7220000000000004</v>
      </c>
      <c r="Q502" s="3">
        <v>131.4</v>
      </c>
      <c r="R502" s="3">
        <v>160.82499999999999</v>
      </c>
      <c r="S502" s="3">
        <v>213.75</v>
      </c>
    </row>
    <row r="503" spans="1:19" ht="14.4" x14ac:dyDescent="0.3">
      <c r="A503" s="2">
        <v>44624</v>
      </c>
      <c r="B503" s="3">
        <v>251.7</v>
      </c>
      <c r="C503" s="3">
        <v>306.76</v>
      </c>
      <c r="D503" s="3">
        <v>346.85</v>
      </c>
      <c r="E503" s="3">
        <v>359.9</v>
      </c>
      <c r="F503" s="3">
        <v>271.7</v>
      </c>
      <c r="G503" s="3">
        <v>115.68</v>
      </c>
      <c r="H503" s="3">
        <v>118.11</v>
      </c>
      <c r="I503" s="3">
        <v>114.95</v>
      </c>
      <c r="J503" s="3">
        <v>84.09</v>
      </c>
      <c r="K503" s="3">
        <v>22.75</v>
      </c>
      <c r="L503" s="3">
        <v>74734.37</v>
      </c>
      <c r="M503" s="3">
        <v>74495.789999999994</v>
      </c>
      <c r="N503" s="3">
        <v>38.65</v>
      </c>
      <c r="O503" s="3">
        <v>6.4920000000000005E-2</v>
      </c>
      <c r="P503" s="3">
        <v>5.016</v>
      </c>
      <c r="Q503" s="3">
        <v>135.69999999999999</v>
      </c>
      <c r="R503" s="3">
        <v>192.55</v>
      </c>
      <c r="S503" s="3">
        <v>211.1</v>
      </c>
    </row>
    <row r="504" spans="1:19" ht="14.4" x14ac:dyDescent="0.3">
      <c r="A504" s="2">
        <v>44627</v>
      </c>
      <c r="B504" s="3">
        <v>251.7</v>
      </c>
      <c r="C504" s="3">
        <v>306.76</v>
      </c>
      <c r="D504" s="3">
        <v>346.85</v>
      </c>
      <c r="E504" s="3">
        <v>359.9</v>
      </c>
      <c r="F504" s="3">
        <v>271.7</v>
      </c>
      <c r="G504" s="3">
        <v>119.4</v>
      </c>
      <c r="H504" s="3">
        <v>123.21</v>
      </c>
      <c r="I504" s="3">
        <v>118.18</v>
      </c>
      <c r="J504" s="3">
        <v>87.12</v>
      </c>
      <c r="K504" s="3">
        <v>22.3</v>
      </c>
      <c r="L504" s="3">
        <v>73295.88</v>
      </c>
      <c r="M504" s="3">
        <v>74773.64</v>
      </c>
      <c r="N504" s="3">
        <v>51.765000000000001</v>
      </c>
      <c r="O504" s="3">
        <v>6.5110000000000001E-2</v>
      </c>
      <c r="P504" s="3">
        <v>4.8330000000000002</v>
      </c>
      <c r="Q504" s="3">
        <v>132.38999999999999</v>
      </c>
      <c r="R504" s="3">
        <v>227.2</v>
      </c>
      <c r="S504" s="3">
        <v>207.9</v>
      </c>
    </row>
    <row r="505" spans="1:19" ht="14.4" x14ac:dyDescent="0.3">
      <c r="A505" s="2">
        <v>44628</v>
      </c>
      <c r="B505" s="3">
        <v>251.7</v>
      </c>
      <c r="C505" s="3">
        <v>306.76</v>
      </c>
      <c r="D505" s="3">
        <v>346.85</v>
      </c>
      <c r="E505" s="3">
        <v>359.9</v>
      </c>
      <c r="F505" s="3">
        <v>271.7</v>
      </c>
      <c r="G505" s="3">
        <v>123.7</v>
      </c>
      <c r="H505" s="3">
        <v>127.98</v>
      </c>
      <c r="I505" s="3">
        <v>122.53</v>
      </c>
      <c r="J505" s="3">
        <v>87.78</v>
      </c>
      <c r="K505" s="3">
        <v>21.7</v>
      </c>
      <c r="L505" s="3">
        <v>72398.62</v>
      </c>
      <c r="M505" s="3">
        <v>74666.11</v>
      </c>
      <c r="N505" s="3">
        <v>42.62</v>
      </c>
      <c r="O505" s="3">
        <v>6.5320000000000003E-2</v>
      </c>
      <c r="P505" s="3">
        <v>4.5270000000000001</v>
      </c>
      <c r="Q505" s="3">
        <v>124.67</v>
      </c>
      <c r="R505" s="3">
        <v>214.55500000000001</v>
      </c>
      <c r="S505" s="3">
        <v>214.2</v>
      </c>
    </row>
    <row r="506" spans="1:19" ht="14.4" x14ac:dyDescent="0.3">
      <c r="A506" s="2">
        <v>44629</v>
      </c>
      <c r="B506" s="3">
        <v>251.7</v>
      </c>
      <c r="C506" s="3">
        <v>306.76</v>
      </c>
      <c r="D506" s="3">
        <v>346.85</v>
      </c>
      <c r="E506" s="3">
        <v>359.9</v>
      </c>
      <c r="F506" s="3">
        <v>271.7</v>
      </c>
      <c r="G506" s="3">
        <v>108.7</v>
      </c>
      <c r="H506" s="3">
        <v>111.14</v>
      </c>
      <c r="I506" s="3">
        <v>110.86</v>
      </c>
      <c r="J506" s="3">
        <v>82.79</v>
      </c>
      <c r="K506" s="3">
        <v>21.75</v>
      </c>
      <c r="L506" s="3">
        <v>72684.820000000007</v>
      </c>
      <c r="M506" s="3">
        <v>70880.460000000006</v>
      </c>
      <c r="N506" s="3">
        <v>38.965000000000003</v>
      </c>
      <c r="O506" s="3">
        <v>6.6629999999999995E-2</v>
      </c>
      <c r="P506" s="3">
        <v>4.5259999999999998</v>
      </c>
      <c r="Q506" s="3">
        <v>128.78</v>
      </c>
      <c r="R506" s="3">
        <v>155.88</v>
      </c>
      <c r="S506" s="3">
        <v>222.8</v>
      </c>
    </row>
    <row r="507" spans="1:19" ht="14.4" x14ac:dyDescent="0.3">
      <c r="A507" s="2">
        <v>44630</v>
      </c>
      <c r="B507" s="3">
        <v>251.7</v>
      </c>
      <c r="C507" s="3">
        <v>306.76</v>
      </c>
      <c r="D507" s="3">
        <v>346.85</v>
      </c>
      <c r="E507" s="3">
        <v>359.9</v>
      </c>
      <c r="F507" s="3">
        <v>271.7</v>
      </c>
      <c r="G507" s="3">
        <v>106.02</v>
      </c>
      <c r="H507" s="3">
        <v>109.33</v>
      </c>
      <c r="I507" s="3">
        <v>110.2</v>
      </c>
      <c r="J507" s="3">
        <v>85.36</v>
      </c>
      <c r="K507" s="3">
        <v>21.5</v>
      </c>
      <c r="L507" s="3">
        <v>73889.41</v>
      </c>
      <c r="M507" s="3">
        <v>73244.34</v>
      </c>
      <c r="N507" s="3">
        <v>38.325000000000003</v>
      </c>
      <c r="O507" s="3">
        <v>6.6449999999999995E-2</v>
      </c>
      <c r="P507" s="3">
        <v>4.6310000000000002</v>
      </c>
      <c r="Q507" s="3">
        <v>129.56</v>
      </c>
      <c r="R507" s="3">
        <v>126.4</v>
      </c>
      <c r="S507" s="3">
        <v>224.55</v>
      </c>
    </row>
    <row r="508" spans="1:19" ht="14.4" x14ac:dyDescent="0.3">
      <c r="A508" s="2">
        <v>44631</v>
      </c>
      <c r="B508" s="3">
        <v>301.08999999999997</v>
      </c>
      <c r="C508" s="3">
        <v>360.24</v>
      </c>
      <c r="D508" s="3">
        <v>412.35</v>
      </c>
      <c r="E508" s="3">
        <v>428.22</v>
      </c>
      <c r="F508" s="3">
        <v>312.89</v>
      </c>
      <c r="G508" s="3">
        <v>109.33</v>
      </c>
      <c r="H508" s="3">
        <v>112.67</v>
      </c>
      <c r="I508" s="3">
        <v>112.59</v>
      </c>
      <c r="J508" s="3">
        <v>84.92</v>
      </c>
      <c r="K508" s="3">
        <v>21.3</v>
      </c>
      <c r="L508" s="3">
        <v>73685.89</v>
      </c>
      <c r="M508" s="3">
        <v>70700.850000000006</v>
      </c>
      <c r="N508" s="3">
        <v>37.145000000000003</v>
      </c>
      <c r="O508" s="3">
        <v>6.6320000000000004E-2</v>
      </c>
      <c r="P508" s="3">
        <v>4.7249999999999996</v>
      </c>
      <c r="Q508" s="3">
        <v>126.36</v>
      </c>
      <c r="R508" s="3">
        <v>131.22999999999999</v>
      </c>
      <c r="S508" s="3">
        <v>225.15</v>
      </c>
    </row>
    <row r="509" spans="1:19" ht="14.4" x14ac:dyDescent="0.3">
      <c r="A509" s="2">
        <v>44634</v>
      </c>
      <c r="B509" s="3">
        <v>301.08999999999997</v>
      </c>
      <c r="C509" s="3">
        <v>360.24</v>
      </c>
      <c r="D509" s="3">
        <v>412.35</v>
      </c>
      <c r="E509" s="3">
        <v>428.22</v>
      </c>
      <c r="F509" s="3">
        <v>312.89</v>
      </c>
      <c r="G509" s="3">
        <v>103.01</v>
      </c>
      <c r="H509" s="3">
        <v>106.9</v>
      </c>
      <c r="I509" s="3">
        <v>109.18</v>
      </c>
      <c r="J509" s="3">
        <v>81.88</v>
      </c>
      <c r="K509" s="3">
        <v>20.100000000000001</v>
      </c>
      <c r="L509" s="3">
        <v>71903.72</v>
      </c>
      <c r="M509" s="3">
        <v>67668.02</v>
      </c>
      <c r="N509" s="3">
        <v>37.25</v>
      </c>
      <c r="O509" s="3">
        <v>6.6030000000000005E-2</v>
      </c>
      <c r="P509" s="3">
        <v>4.6580000000000004</v>
      </c>
      <c r="Q509" s="3">
        <v>126.22</v>
      </c>
      <c r="R509" s="3">
        <v>114.52</v>
      </c>
      <c r="S509" s="3">
        <v>219.5</v>
      </c>
    </row>
    <row r="510" spans="1:19" ht="14.4" x14ac:dyDescent="0.3">
      <c r="A510" s="2">
        <v>44635</v>
      </c>
      <c r="B510" s="3">
        <v>301.08999999999997</v>
      </c>
      <c r="C510" s="3">
        <v>360.24</v>
      </c>
      <c r="D510" s="3">
        <v>412.35</v>
      </c>
      <c r="E510" s="3">
        <v>428.22</v>
      </c>
      <c r="F510" s="3">
        <v>312.89</v>
      </c>
      <c r="G510" s="3">
        <v>96.44</v>
      </c>
      <c r="H510" s="3">
        <v>99.91</v>
      </c>
      <c r="I510" s="3">
        <v>105.76</v>
      </c>
      <c r="J510" s="3">
        <v>77.22</v>
      </c>
      <c r="K510" s="3">
        <v>18.54</v>
      </c>
      <c r="L510" s="3">
        <v>70628.2</v>
      </c>
      <c r="M510" s="3">
        <v>67451.100000000006</v>
      </c>
      <c r="N510" s="3">
        <v>37.445</v>
      </c>
      <c r="O510" s="3">
        <v>6.6140000000000004E-2</v>
      </c>
      <c r="P510" s="3">
        <v>4.5679999999999996</v>
      </c>
      <c r="Q510" s="3">
        <v>130.26</v>
      </c>
      <c r="R510" s="3">
        <v>115.44</v>
      </c>
      <c r="S510" s="3">
        <v>218.6</v>
      </c>
    </row>
    <row r="511" spans="1:19" ht="14.4" x14ac:dyDescent="0.3">
      <c r="A511" s="2">
        <v>44636</v>
      </c>
      <c r="B511" s="3">
        <v>301.08999999999997</v>
      </c>
      <c r="C511" s="3">
        <v>360.24</v>
      </c>
      <c r="D511" s="3">
        <v>412.35</v>
      </c>
      <c r="E511" s="3">
        <v>428.22</v>
      </c>
      <c r="F511" s="3">
        <v>312.89</v>
      </c>
      <c r="G511" s="3">
        <v>95.04</v>
      </c>
      <c r="H511" s="3">
        <v>98.02</v>
      </c>
      <c r="I511" s="3">
        <v>104.89</v>
      </c>
      <c r="J511" s="3">
        <v>76.930000000000007</v>
      </c>
      <c r="K511" s="3">
        <v>19.600000000000001</v>
      </c>
      <c r="L511" s="3">
        <v>73484.3</v>
      </c>
      <c r="M511" s="3">
        <v>67377.8</v>
      </c>
      <c r="N511" s="3">
        <v>33.634999999999998</v>
      </c>
      <c r="O511" s="3">
        <v>6.6989999999999994E-2</v>
      </c>
      <c r="P511" s="3">
        <v>4.7480000000000002</v>
      </c>
      <c r="Q511" s="3">
        <v>131.62</v>
      </c>
      <c r="R511" s="3">
        <v>102.625</v>
      </c>
      <c r="S511" s="3">
        <v>222.75</v>
      </c>
    </row>
    <row r="512" spans="1:19" ht="14.4" x14ac:dyDescent="0.3">
      <c r="A512" s="2">
        <v>44637</v>
      </c>
      <c r="B512" s="3">
        <v>301.08999999999997</v>
      </c>
      <c r="C512" s="3">
        <v>360.24</v>
      </c>
      <c r="D512" s="3">
        <v>412.35</v>
      </c>
      <c r="E512" s="3">
        <v>428.22</v>
      </c>
      <c r="F512" s="3">
        <v>312.89</v>
      </c>
      <c r="G512" s="3">
        <v>102.98</v>
      </c>
      <c r="H512" s="3">
        <v>106.64</v>
      </c>
      <c r="I512" s="3">
        <v>108.78</v>
      </c>
      <c r="J512" s="3">
        <v>78.98</v>
      </c>
      <c r="K512" s="3">
        <v>20.6</v>
      </c>
      <c r="L512" s="3">
        <v>74124.27</v>
      </c>
      <c r="M512" s="3">
        <v>70113</v>
      </c>
      <c r="N512" s="3">
        <v>35.555</v>
      </c>
      <c r="O512" s="3">
        <v>6.7070000000000005E-2</v>
      </c>
      <c r="P512" s="3">
        <v>4.99</v>
      </c>
      <c r="Q512" s="3">
        <v>133.6</v>
      </c>
      <c r="R512" s="3">
        <v>105.09</v>
      </c>
      <c r="S512" s="3">
        <v>223.15</v>
      </c>
    </row>
    <row r="513" spans="1:19" ht="14.4" x14ac:dyDescent="0.3">
      <c r="A513" s="2">
        <v>44638</v>
      </c>
      <c r="B513" s="3">
        <v>183.2</v>
      </c>
      <c r="C513" s="3">
        <v>226.55</v>
      </c>
      <c r="D513" s="3">
        <v>260.51</v>
      </c>
      <c r="E513" s="3">
        <v>294.8</v>
      </c>
      <c r="F513" s="3">
        <v>254.6</v>
      </c>
      <c r="G513" s="3">
        <v>104.7</v>
      </c>
      <c r="H513" s="3">
        <v>107.93</v>
      </c>
      <c r="I513" s="3">
        <v>108.99</v>
      </c>
      <c r="J513" s="3">
        <v>78.67</v>
      </c>
      <c r="K513" s="3">
        <v>20.75</v>
      </c>
      <c r="L513" s="3">
        <v>74847.63</v>
      </c>
      <c r="M513" s="3">
        <v>69244.78</v>
      </c>
      <c r="N513" s="3">
        <v>35.494999999999997</v>
      </c>
      <c r="O513" s="3">
        <v>6.676E-2</v>
      </c>
      <c r="P513" s="3">
        <v>4.8630000000000004</v>
      </c>
      <c r="Q513" s="3">
        <v>136.9</v>
      </c>
      <c r="R513" s="3">
        <v>105.045</v>
      </c>
      <c r="S513" s="1">
        <f>S514</f>
        <v>220.95</v>
      </c>
    </row>
    <row r="514" spans="1:19" ht="14.4" x14ac:dyDescent="0.3">
      <c r="A514" s="2">
        <v>44641</v>
      </c>
      <c r="B514" s="3">
        <v>183.2</v>
      </c>
      <c r="C514" s="3">
        <v>226.55</v>
      </c>
      <c r="D514" s="3">
        <v>260.51</v>
      </c>
      <c r="E514" s="3">
        <v>294.8</v>
      </c>
      <c r="F514" s="3">
        <v>254.6</v>
      </c>
      <c r="G514" s="3">
        <v>112.12</v>
      </c>
      <c r="H514" s="3">
        <v>115.62</v>
      </c>
      <c r="I514" s="3">
        <v>111.73</v>
      </c>
      <c r="J514" s="3">
        <v>82.2</v>
      </c>
      <c r="K514" s="3">
        <v>20.85</v>
      </c>
      <c r="L514" s="5">
        <f>FORECAST(A514,L508:L513,A508:A513)</f>
        <v>74345.1135135144</v>
      </c>
      <c r="M514" s="5">
        <f>FORECAST(A514,M508:M513,A508:A513)</f>
        <v>68022.832162162289</v>
      </c>
      <c r="N514" s="3">
        <v>34.81</v>
      </c>
      <c r="O514" s="3">
        <v>6.7030000000000006E-2</v>
      </c>
      <c r="P514" s="3">
        <v>4.9000000000000004</v>
      </c>
      <c r="Q514" s="3">
        <v>135.97</v>
      </c>
      <c r="R514" s="3">
        <v>96.302000000000007</v>
      </c>
      <c r="S514" s="3">
        <v>220.95</v>
      </c>
    </row>
    <row r="515" spans="1:19" ht="14.4" x14ac:dyDescent="0.3">
      <c r="A515" s="2">
        <v>44642</v>
      </c>
      <c r="B515" s="3">
        <v>183.2</v>
      </c>
      <c r="C515" s="3">
        <v>226.55</v>
      </c>
      <c r="D515" s="3">
        <v>260.51</v>
      </c>
      <c r="E515" s="3">
        <v>294.8</v>
      </c>
      <c r="F515" s="3">
        <v>254.6</v>
      </c>
      <c r="G515" s="3">
        <v>111.76</v>
      </c>
      <c r="H515" s="3">
        <v>115.48</v>
      </c>
      <c r="I515" s="3">
        <v>111.43</v>
      </c>
      <c r="J515" s="3">
        <v>81.84</v>
      </c>
      <c r="K515" s="3">
        <v>21.95</v>
      </c>
      <c r="L515" s="3">
        <v>75751.41</v>
      </c>
      <c r="M515" s="3">
        <v>68083.78</v>
      </c>
      <c r="N515" s="3">
        <v>34.174999999999997</v>
      </c>
      <c r="O515" s="3">
        <v>6.744E-2</v>
      </c>
      <c r="P515" s="3">
        <v>5.1870000000000003</v>
      </c>
      <c r="Q515" s="3">
        <v>136.4</v>
      </c>
      <c r="R515" s="3">
        <v>98.745000000000005</v>
      </c>
      <c r="S515" s="3">
        <v>221.95</v>
      </c>
    </row>
    <row r="516" spans="1:19" ht="14.4" x14ac:dyDescent="0.3">
      <c r="A516" s="2">
        <v>44643</v>
      </c>
      <c r="B516" s="3">
        <v>183.2</v>
      </c>
      <c r="C516" s="3">
        <v>226.55</v>
      </c>
      <c r="D516" s="3">
        <v>260.51</v>
      </c>
      <c r="E516" s="3">
        <v>294.8</v>
      </c>
      <c r="F516" s="3">
        <v>254.6</v>
      </c>
      <c r="G516" s="3">
        <v>114.93</v>
      </c>
      <c r="H516" s="3">
        <v>121.6</v>
      </c>
      <c r="I516" s="3">
        <v>112.59</v>
      </c>
      <c r="J516" s="3">
        <v>83.13</v>
      </c>
      <c r="K516" s="3">
        <v>21.75</v>
      </c>
      <c r="L516" s="3">
        <v>74838.09</v>
      </c>
      <c r="M516" s="3">
        <v>69427.759999999995</v>
      </c>
      <c r="N516" s="3">
        <v>34.119999999999997</v>
      </c>
      <c r="O516" s="3">
        <v>6.7710000000000006E-2</v>
      </c>
      <c r="P516" s="3">
        <v>5.2320000000000002</v>
      </c>
      <c r="Q516" s="3">
        <v>134.9</v>
      </c>
      <c r="R516" s="3">
        <v>117</v>
      </c>
      <c r="S516" s="3">
        <v>228.8</v>
      </c>
    </row>
    <row r="517" spans="1:19" ht="14.4" x14ac:dyDescent="0.3">
      <c r="A517" s="2">
        <v>44644</v>
      </c>
      <c r="B517" s="3">
        <v>183.2</v>
      </c>
      <c r="C517" s="3">
        <v>226.55</v>
      </c>
      <c r="D517" s="3">
        <v>260.51</v>
      </c>
      <c r="E517" s="3">
        <v>294.8</v>
      </c>
      <c r="F517" s="3">
        <v>254.6</v>
      </c>
      <c r="G517" s="3">
        <v>112.34</v>
      </c>
      <c r="H517" s="3">
        <v>119.03</v>
      </c>
      <c r="I517" s="3">
        <v>111.82</v>
      </c>
      <c r="J517" s="3">
        <v>83.38</v>
      </c>
      <c r="K517" s="3">
        <v>22.6</v>
      </c>
      <c r="L517" s="3">
        <v>74349.94</v>
      </c>
      <c r="M517" s="3">
        <v>69882.23</v>
      </c>
      <c r="N517" s="3">
        <v>34.68</v>
      </c>
      <c r="O517" s="3">
        <v>6.88E-2</v>
      </c>
      <c r="P517" s="3">
        <v>5.4009999999999998</v>
      </c>
      <c r="Q517" s="3">
        <v>135.09</v>
      </c>
      <c r="R517" s="3">
        <v>111.61</v>
      </c>
      <c r="S517" s="3">
        <v>233.7</v>
      </c>
    </row>
    <row r="518" spans="1:19" ht="14.4" x14ac:dyDescent="0.3">
      <c r="A518" s="2">
        <v>44645</v>
      </c>
      <c r="B518" s="3">
        <v>181.59</v>
      </c>
      <c r="C518" s="3">
        <v>221.54</v>
      </c>
      <c r="D518" s="3">
        <v>262.70999999999998</v>
      </c>
      <c r="E518" s="3">
        <v>263.13</v>
      </c>
      <c r="F518" s="3">
        <v>233.97</v>
      </c>
      <c r="G518" s="3">
        <v>113.9</v>
      </c>
      <c r="H518" s="3">
        <v>120.65</v>
      </c>
      <c r="I518" s="3">
        <v>112.1</v>
      </c>
      <c r="J518" s="3">
        <v>85.2</v>
      </c>
      <c r="K518" s="3">
        <v>22.3</v>
      </c>
      <c r="L518" s="3">
        <v>74324.67</v>
      </c>
      <c r="M518" s="3">
        <v>66316.47</v>
      </c>
      <c r="N518" s="3">
        <v>34.43</v>
      </c>
      <c r="O518" s="3">
        <v>6.8680000000000005E-2</v>
      </c>
      <c r="P518" s="3">
        <v>5.5709999999999997</v>
      </c>
      <c r="Q518" s="3">
        <v>135.26</v>
      </c>
      <c r="R518" s="3">
        <v>101.27</v>
      </c>
      <c r="S518" s="3">
        <v>228.9</v>
      </c>
    </row>
    <row r="519" spans="1:19" ht="14.4" x14ac:dyDescent="0.3">
      <c r="A519" s="2">
        <v>44648</v>
      </c>
      <c r="B519" s="3">
        <v>181.59</v>
      </c>
      <c r="C519" s="3">
        <v>221.54</v>
      </c>
      <c r="D519" s="3">
        <v>262.70999999999998</v>
      </c>
      <c r="E519" s="3">
        <v>263.13</v>
      </c>
      <c r="F519" s="3">
        <v>233.97</v>
      </c>
      <c r="G519" s="3">
        <v>105.96</v>
      </c>
      <c r="H519" s="3">
        <v>112.48</v>
      </c>
      <c r="I519" s="3">
        <v>110.84</v>
      </c>
      <c r="J519" s="3">
        <v>82.81</v>
      </c>
      <c r="K519" s="3">
        <v>24.4</v>
      </c>
      <c r="L519" s="3">
        <v>74194.350000000006</v>
      </c>
      <c r="M519" s="3">
        <v>63721.74</v>
      </c>
      <c r="N519" s="3">
        <v>33.97</v>
      </c>
      <c r="O519" s="3">
        <v>6.7820000000000005E-2</v>
      </c>
      <c r="P519" s="3">
        <v>5.508</v>
      </c>
      <c r="Q519" s="3">
        <v>135.18</v>
      </c>
      <c r="R519" s="3">
        <v>102.545</v>
      </c>
      <c r="S519" s="3">
        <v>230.4</v>
      </c>
    </row>
    <row r="520" spans="1:19" ht="14.4" x14ac:dyDescent="0.3">
      <c r="A520" s="2">
        <v>44649</v>
      </c>
      <c r="B520" s="3">
        <v>181.59</v>
      </c>
      <c r="C520" s="3">
        <v>221.54</v>
      </c>
      <c r="D520" s="3">
        <v>262.70999999999998</v>
      </c>
      <c r="E520" s="3">
        <v>263.13</v>
      </c>
      <c r="F520" s="3">
        <v>233.97</v>
      </c>
      <c r="G520" s="3">
        <v>104.24</v>
      </c>
      <c r="H520" s="3">
        <v>110.23</v>
      </c>
      <c r="I520" s="3">
        <v>110.55</v>
      </c>
      <c r="J520" s="3">
        <v>82.37</v>
      </c>
      <c r="K520" s="3">
        <v>25.55</v>
      </c>
      <c r="L520" s="3">
        <v>74776.39</v>
      </c>
      <c r="M520" s="3">
        <v>62619.12</v>
      </c>
      <c r="N520" s="3">
        <v>33.875</v>
      </c>
      <c r="O520" s="3">
        <v>6.8720000000000003E-2</v>
      </c>
      <c r="P520" s="3">
        <v>5.3360000000000003</v>
      </c>
      <c r="Q520" s="3">
        <v>132.65</v>
      </c>
      <c r="R520" s="3">
        <v>108.38</v>
      </c>
      <c r="S520" s="3">
        <v>225.35</v>
      </c>
    </row>
    <row r="521" spans="1:19" ht="14.4" x14ac:dyDescent="0.3">
      <c r="A521" s="2">
        <v>44650</v>
      </c>
      <c r="B521" s="3">
        <v>181.59</v>
      </c>
      <c r="C521" s="3">
        <v>221.54</v>
      </c>
      <c r="D521" s="3">
        <v>262.70999999999998</v>
      </c>
      <c r="E521" s="3">
        <v>263.13</v>
      </c>
      <c r="F521" s="3">
        <v>233.97</v>
      </c>
      <c r="G521" s="3">
        <v>107.82</v>
      </c>
      <c r="H521" s="3">
        <v>113.45</v>
      </c>
      <c r="I521" s="3">
        <v>110.89</v>
      </c>
      <c r="J521" s="3">
        <v>83.78</v>
      </c>
      <c r="K521" s="3">
        <v>24.75</v>
      </c>
      <c r="L521" s="3">
        <v>75425.31</v>
      </c>
      <c r="M521" s="3">
        <v>65756.27</v>
      </c>
      <c r="N521" s="3">
        <v>34.15</v>
      </c>
      <c r="O521" s="3">
        <v>6.9089999999999999E-2</v>
      </c>
      <c r="P521" s="3">
        <v>5.6050000000000004</v>
      </c>
      <c r="Q521" s="3">
        <v>134.35</v>
      </c>
      <c r="R521" s="3">
        <v>118.97</v>
      </c>
      <c r="S521" s="3">
        <v>224.6</v>
      </c>
    </row>
    <row r="522" spans="1:19" ht="14.4" x14ac:dyDescent="0.3">
      <c r="A522" s="2">
        <v>44651</v>
      </c>
      <c r="B522" s="3">
        <v>181.59</v>
      </c>
      <c r="C522" s="3">
        <v>221.54</v>
      </c>
      <c r="D522" s="3">
        <v>262.70999999999998</v>
      </c>
      <c r="E522" s="3">
        <v>263.13</v>
      </c>
      <c r="F522" s="3">
        <v>233.97</v>
      </c>
      <c r="G522" s="3">
        <v>100.28</v>
      </c>
      <c r="H522" s="3">
        <v>107.91</v>
      </c>
      <c r="I522" s="3">
        <v>110.89</v>
      </c>
      <c r="J522" s="3">
        <v>82.59</v>
      </c>
      <c r="K522" s="3">
        <v>25.1</v>
      </c>
      <c r="L522" s="3">
        <v>75497.149999999994</v>
      </c>
      <c r="M522" s="3">
        <v>65365.61</v>
      </c>
      <c r="N522" s="3">
        <v>35.435000000000002</v>
      </c>
      <c r="O522" s="3">
        <v>6.8379999999999996E-2</v>
      </c>
      <c r="P522" s="3">
        <v>5.6420000000000003</v>
      </c>
      <c r="Q522" s="3">
        <v>132.12</v>
      </c>
      <c r="R522" s="3">
        <v>125.905</v>
      </c>
      <c r="S522" s="3">
        <v>224.7</v>
      </c>
    </row>
    <row r="523" spans="1:19" ht="14.4" x14ac:dyDescent="0.3">
      <c r="A523" s="2">
        <v>44652</v>
      </c>
      <c r="B523" s="3">
        <v>167.18</v>
      </c>
      <c r="C523" s="3">
        <v>212.22</v>
      </c>
      <c r="D523" s="3">
        <v>252.38</v>
      </c>
      <c r="E523" s="3">
        <v>259.76</v>
      </c>
      <c r="F523" s="3">
        <v>223.29</v>
      </c>
      <c r="G523" s="3">
        <v>99.27</v>
      </c>
      <c r="H523" s="3">
        <v>104.39</v>
      </c>
      <c r="I523" s="3">
        <v>101.85</v>
      </c>
      <c r="J523" s="3">
        <v>83.12</v>
      </c>
      <c r="K523" s="3">
        <v>25.9</v>
      </c>
      <c r="L523" s="3">
        <v>75907.899999999994</v>
      </c>
      <c r="M523" s="3">
        <v>65350.29</v>
      </c>
      <c r="N523" s="3">
        <v>34.69</v>
      </c>
      <c r="O523" s="3">
        <v>6.8150000000000002E-2</v>
      </c>
      <c r="P523" s="3">
        <v>5.72</v>
      </c>
      <c r="Q523" s="3">
        <v>132.69999999999999</v>
      </c>
      <c r="R523" s="3">
        <v>112.15</v>
      </c>
      <c r="S523" s="3">
        <v>230.95</v>
      </c>
    </row>
    <row r="524" spans="1:19" ht="14.4" x14ac:dyDescent="0.3">
      <c r="A524" s="2">
        <v>44655</v>
      </c>
      <c r="B524" s="3">
        <v>167.18</v>
      </c>
      <c r="C524" s="3">
        <v>212.22</v>
      </c>
      <c r="D524" s="3">
        <v>252.38</v>
      </c>
      <c r="E524" s="3">
        <v>259.76</v>
      </c>
      <c r="F524" s="3">
        <v>223.29</v>
      </c>
      <c r="G524" s="3">
        <v>103.28</v>
      </c>
      <c r="H524" s="3">
        <v>107.53</v>
      </c>
      <c r="I524" s="3">
        <v>104.77</v>
      </c>
      <c r="J524" s="3">
        <v>83.16</v>
      </c>
      <c r="K524" s="3">
        <v>25.5</v>
      </c>
      <c r="L524" s="3">
        <v>75835.070000000007</v>
      </c>
      <c r="M524" s="3">
        <v>64362.44</v>
      </c>
      <c r="N524" s="3">
        <v>32.950000000000003</v>
      </c>
      <c r="O524" s="3">
        <v>6.8519999999999998E-2</v>
      </c>
      <c r="P524" s="3">
        <v>5.7119999999999997</v>
      </c>
      <c r="Q524" s="3">
        <v>130.62</v>
      </c>
      <c r="R524" s="3">
        <v>109.52500000000001</v>
      </c>
      <c r="S524" s="3">
        <v>238.95</v>
      </c>
    </row>
    <row r="525" spans="1:19" ht="14.4" x14ac:dyDescent="0.3">
      <c r="A525" s="2">
        <v>44656</v>
      </c>
      <c r="B525" s="3">
        <v>167.18</v>
      </c>
      <c r="C525" s="3">
        <v>212.22</v>
      </c>
      <c r="D525" s="3">
        <v>252.38</v>
      </c>
      <c r="E525" s="3">
        <v>259.76</v>
      </c>
      <c r="F525" s="3">
        <v>223.29</v>
      </c>
      <c r="G525" s="3">
        <v>101.96</v>
      </c>
      <c r="H525" s="3">
        <v>106.64</v>
      </c>
      <c r="I525" s="3">
        <v>103.27</v>
      </c>
      <c r="J525" s="3">
        <v>82.73</v>
      </c>
      <c r="K525" s="5">
        <f>FORECAST(A525,K519:K524,A519:A524)</f>
        <v>25.878648648647868</v>
      </c>
      <c r="L525" s="3">
        <v>75286.61</v>
      </c>
      <c r="M525" s="3">
        <v>63762.78</v>
      </c>
      <c r="N525" s="3">
        <v>33.454999999999998</v>
      </c>
      <c r="O525" s="3">
        <v>6.812E-2</v>
      </c>
      <c r="P525" s="3">
        <v>6.032</v>
      </c>
      <c r="Q525" s="3">
        <v>130.53</v>
      </c>
      <c r="R525" s="3">
        <v>108.565</v>
      </c>
      <c r="S525" s="3">
        <v>245.5</v>
      </c>
    </row>
    <row r="526" spans="1:19" ht="14.4" x14ac:dyDescent="0.3">
      <c r="A526" s="2">
        <v>44657</v>
      </c>
      <c r="B526" s="3">
        <v>167.18</v>
      </c>
      <c r="C526" s="3">
        <v>212.22</v>
      </c>
      <c r="D526" s="3">
        <v>252.38</v>
      </c>
      <c r="E526" s="3">
        <v>259.76</v>
      </c>
      <c r="F526" s="3">
        <v>223.29</v>
      </c>
      <c r="G526" s="3">
        <v>96.23</v>
      </c>
      <c r="H526" s="3">
        <v>101.07</v>
      </c>
      <c r="I526" s="3">
        <v>98.81</v>
      </c>
      <c r="J526" s="3">
        <v>83.65</v>
      </c>
      <c r="K526" s="3">
        <v>25.1</v>
      </c>
      <c r="L526" s="3">
        <v>74359.03</v>
      </c>
      <c r="M526" s="3">
        <v>62217.94</v>
      </c>
      <c r="N526" s="3">
        <v>33.44</v>
      </c>
      <c r="O526" s="3">
        <v>6.8180000000000004E-2</v>
      </c>
      <c r="P526" s="3">
        <v>6.0289999999999999</v>
      </c>
      <c r="Q526" s="3">
        <v>129.13</v>
      </c>
      <c r="R526" s="3">
        <v>106.79</v>
      </c>
      <c r="S526" s="3">
        <v>246.35</v>
      </c>
    </row>
    <row r="527" spans="1:19" ht="14.4" x14ac:dyDescent="0.3">
      <c r="A527" s="2">
        <v>44658</v>
      </c>
      <c r="B527" s="3">
        <v>167.18</v>
      </c>
      <c r="C527" s="3">
        <v>212.22</v>
      </c>
      <c r="D527" s="3">
        <v>252.38</v>
      </c>
      <c r="E527" s="3">
        <v>259.76</v>
      </c>
      <c r="F527" s="3">
        <v>223.29</v>
      </c>
      <c r="G527" s="3">
        <v>96.03</v>
      </c>
      <c r="H527" s="3">
        <v>100.58</v>
      </c>
      <c r="I527" s="3">
        <v>98.42</v>
      </c>
      <c r="J527" s="3">
        <v>85.05</v>
      </c>
      <c r="K527" s="3">
        <v>25.15</v>
      </c>
      <c r="L527" s="3">
        <v>74008.070000000007</v>
      </c>
      <c r="M527" s="3">
        <v>62266.9</v>
      </c>
      <c r="N527" s="3">
        <v>33.1</v>
      </c>
      <c r="O527" s="3">
        <v>6.7769999999999997E-2</v>
      </c>
      <c r="P527" s="3">
        <v>6.359</v>
      </c>
      <c r="Q527" s="3">
        <v>129.88</v>
      </c>
      <c r="R527" s="3">
        <v>104.565</v>
      </c>
      <c r="S527" s="3">
        <v>238.75</v>
      </c>
    </row>
    <row r="528" spans="1:19" ht="14.4" x14ac:dyDescent="0.3">
      <c r="A528" s="2">
        <v>44659</v>
      </c>
      <c r="B528" s="3">
        <v>192.7</v>
      </c>
      <c r="C528" s="3">
        <v>234.24</v>
      </c>
      <c r="D528" s="3">
        <v>275.89999999999998</v>
      </c>
      <c r="E528" s="3">
        <v>281.74</v>
      </c>
      <c r="F528" s="3">
        <v>232.45</v>
      </c>
      <c r="G528" s="3">
        <v>98.26</v>
      </c>
      <c r="H528" s="3">
        <v>102.78</v>
      </c>
      <c r="I528" s="3">
        <v>99.72</v>
      </c>
      <c r="J528" s="3">
        <v>86.84</v>
      </c>
      <c r="K528" s="3">
        <v>25.7</v>
      </c>
      <c r="L528" s="3">
        <v>74776.11</v>
      </c>
      <c r="M528" s="3">
        <v>65301.02</v>
      </c>
      <c r="N528" s="3">
        <v>33.604999999999997</v>
      </c>
      <c r="O528" s="3">
        <v>6.8099999999999994E-2</v>
      </c>
      <c r="P528" s="3">
        <v>6.2779999999999996</v>
      </c>
      <c r="Q528" s="3">
        <v>129.88999999999999</v>
      </c>
      <c r="R528" s="3">
        <v>103.88</v>
      </c>
      <c r="S528" s="3">
        <v>241.05</v>
      </c>
    </row>
    <row r="529" spans="1:19" ht="14.4" x14ac:dyDescent="0.3">
      <c r="A529" s="2">
        <v>44662</v>
      </c>
      <c r="B529" s="3">
        <v>192.7</v>
      </c>
      <c r="C529" s="3">
        <v>234.24</v>
      </c>
      <c r="D529" s="3">
        <v>275.89999999999998</v>
      </c>
      <c r="E529" s="3">
        <v>281.74</v>
      </c>
      <c r="F529" s="3">
        <v>232.45</v>
      </c>
      <c r="G529" s="3">
        <v>94.29</v>
      </c>
      <c r="H529" s="3">
        <v>98.48</v>
      </c>
      <c r="I529" s="3">
        <v>97.02</v>
      </c>
      <c r="J529" s="3">
        <v>83.85</v>
      </c>
      <c r="K529" s="3">
        <v>25.3</v>
      </c>
      <c r="L529" s="3">
        <v>74426.399999999994</v>
      </c>
      <c r="M529" s="3">
        <v>65320.89</v>
      </c>
      <c r="N529" s="3">
        <v>33.020000000000003</v>
      </c>
      <c r="O529" s="3">
        <v>6.8559999999999996E-2</v>
      </c>
      <c r="P529" s="3">
        <v>6.6429999999999998</v>
      </c>
      <c r="Q529" s="3">
        <v>128.1</v>
      </c>
      <c r="R529" s="3">
        <v>100.13500000000001</v>
      </c>
      <c r="S529" s="3">
        <v>235.9</v>
      </c>
    </row>
    <row r="530" spans="1:19" ht="14.4" x14ac:dyDescent="0.3">
      <c r="A530" s="2">
        <v>44663</v>
      </c>
      <c r="B530" s="3">
        <v>192.7</v>
      </c>
      <c r="C530" s="3">
        <v>234.24</v>
      </c>
      <c r="D530" s="3">
        <v>275.89999999999998</v>
      </c>
      <c r="E530" s="3">
        <v>281.74</v>
      </c>
      <c r="F530" s="3">
        <v>232.45</v>
      </c>
      <c r="G530" s="3">
        <v>100.6</v>
      </c>
      <c r="H530" s="3">
        <v>104.64</v>
      </c>
      <c r="I530" s="3">
        <v>101.49</v>
      </c>
      <c r="J530" s="3">
        <v>85.6</v>
      </c>
      <c r="K530" s="3">
        <v>25.35</v>
      </c>
      <c r="L530" s="3">
        <v>73801.88</v>
      </c>
      <c r="M530" s="3">
        <v>64760.93</v>
      </c>
      <c r="N530" s="3">
        <v>32.965000000000003</v>
      </c>
      <c r="O530" s="3">
        <v>6.8870000000000001E-2</v>
      </c>
      <c r="P530" s="3">
        <v>6.68</v>
      </c>
      <c r="Q530" s="3">
        <v>124.83</v>
      </c>
      <c r="R530" s="3">
        <v>102.22</v>
      </c>
      <c r="S530" s="3">
        <v>234.7</v>
      </c>
    </row>
    <row r="531" spans="1:19" ht="14.4" x14ac:dyDescent="0.3">
      <c r="A531" s="2">
        <v>44664</v>
      </c>
      <c r="B531" s="3">
        <v>192.7</v>
      </c>
      <c r="C531" s="3">
        <v>234.24</v>
      </c>
      <c r="D531" s="3">
        <v>275.89999999999998</v>
      </c>
      <c r="E531" s="3">
        <v>281.74</v>
      </c>
      <c r="F531" s="3">
        <v>232.45</v>
      </c>
      <c r="G531" s="3">
        <v>104.25</v>
      </c>
      <c r="H531" s="3">
        <v>108.78</v>
      </c>
      <c r="I531" s="3">
        <v>103.7</v>
      </c>
      <c r="J531" s="3">
        <v>86.81</v>
      </c>
      <c r="K531" s="3">
        <v>26.15</v>
      </c>
      <c r="L531" s="3">
        <v>73128.649999999994</v>
      </c>
      <c r="M531" s="3">
        <v>64360.800000000003</v>
      </c>
      <c r="N531" s="3">
        <v>32.924999999999997</v>
      </c>
      <c r="O531" s="3">
        <v>6.862E-2</v>
      </c>
      <c r="P531" s="3">
        <v>6.9969999999999999</v>
      </c>
      <c r="Q531" s="3">
        <v>125.83</v>
      </c>
      <c r="R531" s="3">
        <v>105.325</v>
      </c>
      <c r="S531" s="3">
        <v>235.45</v>
      </c>
    </row>
    <row r="532" spans="1:19" ht="14.4" x14ac:dyDescent="0.3">
      <c r="A532" s="2">
        <v>44665</v>
      </c>
      <c r="B532" s="3">
        <v>215.98</v>
      </c>
      <c r="C532" s="3">
        <v>265.25</v>
      </c>
      <c r="D532" s="3">
        <v>309.88</v>
      </c>
      <c r="E532" s="3">
        <v>326.69</v>
      </c>
      <c r="F532" s="3">
        <v>237.11</v>
      </c>
      <c r="G532" s="3">
        <v>106.95</v>
      </c>
      <c r="H532" s="3">
        <v>111.7</v>
      </c>
      <c r="I532" s="3">
        <v>104.82</v>
      </c>
      <c r="J532" s="3">
        <v>87.83</v>
      </c>
      <c r="K532" s="3">
        <v>26.3</v>
      </c>
      <c r="L532" s="3">
        <v>73382.83</v>
      </c>
      <c r="M532" s="3">
        <v>63685.73</v>
      </c>
      <c r="N532" s="3">
        <v>32.93</v>
      </c>
      <c r="O532" s="3">
        <v>6.8190000000000001E-2</v>
      </c>
      <c r="P532" s="3">
        <v>7.3</v>
      </c>
      <c r="Q532" s="3">
        <v>124.53</v>
      </c>
      <c r="R532" s="3">
        <v>95.62</v>
      </c>
      <c r="S532" s="1">
        <f t="shared" ref="S532:S533" si="30">S533</f>
        <v>231</v>
      </c>
    </row>
    <row r="533" spans="1:19" ht="14.4" x14ac:dyDescent="0.3">
      <c r="A533" s="2">
        <v>44666</v>
      </c>
      <c r="B533" s="1">
        <f t="shared" ref="B533:E533" si="31">B532</f>
        <v>215.98</v>
      </c>
      <c r="C533" s="1">
        <f t="shared" si="31"/>
        <v>265.25</v>
      </c>
      <c r="D533" s="1">
        <f t="shared" si="31"/>
        <v>309.88</v>
      </c>
      <c r="E533" s="1">
        <f t="shared" si="31"/>
        <v>326.69</v>
      </c>
      <c r="F533" s="1">
        <f t="shared" ref="F533:F534" si="32">F532</f>
        <v>237.11</v>
      </c>
      <c r="G533" s="5">
        <f>(G532+G534)/2</f>
        <v>107.58</v>
      </c>
      <c r="H533" s="1">
        <f>(H532+H534)/2</f>
        <v>112.43</v>
      </c>
      <c r="I533" s="1">
        <f>(I532+I534)/2</f>
        <v>105.13</v>
      </c>
      <c r="J533" s="1">
        <f>(J532+J534)/2</f>
        <v>88.19</v>
      </c>
      <c r="K533" s="5">
        <f t="shared" ref="K533:K534" si="33">FORECAST(A533,K527:K532,A527:A532)</f>
        <v>26.142060085837329</v>
      </c>
      <c r="L533" s="5">
        <f t="shared" ref="L533:L534" si="34">FORECAST(A533,L527:L532,A527:A532)</f>
        <v>73251.956738197245</v>
      </c>
      <c r="M533" s="5">
        <f t="shared" ref="M533:M534" si="35">FORECAST(A533,M527:M532,A527:A532)</f>
        <v>64695.991888412274</v>
      </c>
      <c r="N533" s="5">
        <f>FORECAST(A533,N527:N532,A527:A532)</f>
        <v>32.820536480686769</v>
      </c>
      <c r="O533" s="3">
        <v>6.8390000000000006E-2</v>
      </c>
      <c r="P533" s="1">
        <f>AVERAGE(P532,P534)</f>
        <v>7.5600000000000005</v>
      </c>
      <c r="Q533" s="1">
        <f>AVERAGE(Q532,Q534)</f>
        <v>123.575</v>
      </c>
      <c r="R533" s="5">
        <f>AVERAGE(R532,R534)</f>
        <v>95.62</v>
      </c>
      <c r="S533" s="1">
        <f t="shared" si="30"/>
        <v>231</v>
      </c>
    </row>
    <row r="534" spans="1:19" ht="14.4" x14ac:dyDescent="0.3">
      <c r="A534" s="2">
        <v>44669</v>
      </c>
      <c r="B534" s="1">
        <f t="shared" ref="B534:D534" si="36">B533</f>
        <v>215.98</v>
      </c>
      <c r="C534" s="1">
        <f t="shared" si="36"/>
        <v>265.25</v>
      </c>
      <c r="D534" s="1">
        <f t="shared" si="36"/>
        <v>309.88</v>
      </c>
      <c r="E534" s="3">
        <v>326.69</v>
      </c>
      <c r="F534" s="1">
        <f t="shared" si="32"/>
        <v>237.11</v>
      </c>
      <c r="G534" s="3">
        <v>108.21</v>
      </c>
      <c r="H534" s="3">
        <v>113.16</v>
      </c>
      <c r="I534" s="3">
        <v>105.44</v>
      </c>
      <c r="J534" s="3">
        <v>88.55</v>
      </c>
      <c r="K534" s="5">
        <f t="shared" si="33"/>
        <v>26.439015195453976</v>
      </c>
      <c r="L534" s="5">
        <f t="shared" si="34"/>
        <v>72342.554464679211</v>
      </c>
      <c r="M534" s="5">
        <f t="shared" si="35"/>
        <v>63667.396462126635</v>
      </c>
      <c r="N534" s="3">
        <v>25.37</v>
      </c>
      <c r="O534" s="3">
        <v>6.8229999999999999E-2</v>
      </c>
      <c r="P534" s="3">
        <v>7.82</v>
      </c>
      <c r="Q534" s="3">
        <v>122.62</v>
      </c>
      <c r="R534" s="3">
        <v>95.62</v>
      </c>
      <c r="S534" s="3">
        <v>231</v>
      </c>
    </row>
    <row r="535" spans="1:19" ht="14.4" x14ac:dyDescent="0.3">
      <c r="A535" s="2">
        <v>44670</v>
      </c>
      <c r="B535" s="3">
        <v>215.98</v>
      </c>
      <c r="C535" s="3">
        <v>265.25</v>
      </c>
      <c r="D535" s="3">
        <v>309.88</v>
      </c>
      <c r="E535" s="3">
        <v>326.69</v>
      </c>
      <c r="F535" s="3">
        <v>237.11</v>
      </c>
      <c r="G535" s="3">
        <v>102.56</v>
      </c>
      <c r="H535" s="3">
        <v>107.25</v>
      </c>
      <c r="I535" s="3">
        <v>103.09</v>
      </c>
      <c r="J535" s="3">
        <v>87.76</v>
      </c>
      <c r="K535" s="3">
        <v>25.95</v>
      </c>
      <c r="L535" s="3">
        <v>73830.27</v>
      </c>
      <c r="M535" s="3">
        <v>63610.6</v>
      </c>
      <c r="N535" s="3">
        <v>25.12</v>
      </c>
      <c r="O535" s="3">
        <v>6.6830000000000001E-2</v>
      </c>
      <c r="P535" s="3">
        <v>7.1760000000000002</v>
      </c>
      <c r="Q535" s="3">
        <v>122.93</v>
      </c>
      <c r="R535" s="3">
        <v>93.77</v>
      </c>
      <c r="S535" s="3">
        <v>228.25</v>
      </c>
    </row>
    <row r="536" spans="1:19" ht="14.4" x14ac:dyDescent="0.3">
      <c r="A536" s="2">
        <v>44671</v>
      </c>
      <c r="B536" s="3">
        <v>215.98</v>
      </c>
      <c r="C536" s="3">
        <v>265.25</v>
      </c>
      <c r="D536" s="3">
        <v>309.88</v>
      </c>
      <c r="E536" s="3">
        <v>326.69</v>
      </c>
      <c r="F536" s="3">
        <v>237.11</v>
      </c>
      <c r="G536" s="3">
        <v>102.75</v>
      </c>
      <c r="H536" s="3">
        <v>106.8</v>
      </c>
      <c r="I536" s="3">
        <v>103.12</v>
      </c>
      <c r="J536" s="3">
        <v>87.96</v>
      </c>
      <c r="K536" s="3">
        <v>24.95</v>
      </c>
      <c r="L536" s="3">
        <v>73783.429999999993</v>
      </c>
      <c r="M536" s="3">
        <v>63512.45</v>
      </c>
      <c r="N536" s="3">
        <v>25.2</v>
      </c>
      <c r="O536" s="3">
        <v>6.6439999999999999E-2</v>
      </c>
      <c r="P536" s="3">
        <v>6.9370000000000003</v>
      </c>
      <c r="Q536" s="3">
        <v>123.85</v>
      </c>
      <c r="R536" s="3">
        <v>94.23</v>
      </c>
      <c r="S536" s="3">
        <v>232.05</v>
      </c>
    </row>
    <row r="537" spans="1:19" ht="14.4" x14ac:dyDescent="0.3">
      <c r="A537" s="2">
        <v>44672</v>
      </c>
      <c r="B537" s="3">
        <v>215.98</v>
      </c>
      <c r="C537" s="3">
        <v>265.25</v>
      </c>
      <c r="D537" s="3">
        <v>309.88</v>
      </c>
      <c r="E537" s="3">
        <v>326.69</v>
      </c>
      <c r="F537" s="3">
        <v>237.11</v>
      </c>
      <c r="G537" s="3">
        <v>103.79</v>
      </c>
      <c r="H537" s="3">
        <v>108.33</v>
      </c>
      <c r="I537" s="3">
        <v>103.85</v>
      </c>
      <c r="J537" s="3">
        <v>87.03</v>
      </c>
      <c r="K537" s="3">
        <v>24.65</v>
      </c>
      <c r="L537" s="3">
        <v>73350.94</v>
      </c>
      <c r="M537" s="3">
        <v>62682.36</v>
      </c>
      <c r="N537" s="3">
        <v>25.29</v>
      </c>
      <c r="O537" s="3">
        <v>6.4909999999999995E-2</v>
      </c>
      <c r="P537" s="3">
        <v>6.9569999999999999</v>
      </c>
      <c r="Q537" s="3">
        <v>120.71</v>
      </c>
      <c r="R537" s="3">
        <v>100.06</v>
      </c>
      <c r="S537" s="3">
        <v>234.2</v>
      </c>
    </row>
    <row r="538" spans="1:19" ht="14.4" x14ac:dyDescent="0.3">
      <c r="A538" s="2">
        <v>44673</v>
      </c>
      <c r="B538" s="3">
        <v>219.92</v>
      </c>
      <c r="C538" s="3">
        <v>270.95999999999998</v>
      </c>
      <c r="D538" s="3">
        <v>312.47000000000003</v>
      </c>
      <c r="E538" s="3">
        <v>326.31</v>
      </c>
      <c r="F538" s="3">
        <v>257.5</v>
      </c>
      <c r="G538" s="3">
        <v>102.07</v>
      </c>
      <c r="H538" s="3">
        <v>106.65</v>
      </c>
      <c r="I538" s="3">
        <v>103.43</v>
      </c>
      <c r="J538" s="3">
        <v>85.13</v>
      </c>
      <c r="K538" s="3">
        <v>24.8</v>
      </c>
      <c r="L538" s="3">
        <v>72264.899999999994</v>
      </c>
      <c r="M538" s="3">
        <v>59977.120000000003</v>
      </c>
      <c r="N538" s="3">
        <v>25.495000000000001</v>
      </c>
      <c r="O538" s="3">
        <v>6.3899999999999998E-2</v>
      </c>
      <c r="P538" s="3">
        <v>6.5339999999999998</v>
      </c>
      <c r="Q538" s="3">
        <v>117.25</v>
      </c>
      <c r="R538" s="3">
        <v>94.875</v>
      </c>
      <c r="S538" s="3">
        <v>230.2</v>
      </c>
    </row>
    <row r="539" spans="1:19" ht="14.4" x14ac:dyDescent="0.3">
      <c r="A539" s="2">
        <v>44676</v>
      </c>
      <c r="B539" s="3">
        <v>219.92</v>
      </c>
      <c r="C539" s="3">
        <v>270.95999999999998</v>
      </c>
      <c r="D539" s="3">
        <v>312.47000000000003</v>
      </c>
      <c r="E539" s="3">
        <v>326.31</v>
      </c>
      <c r="F539" s="3">
        <v>257.5</v>
      </c>
      <c r="G539" s="3">
        <v>98.54</v>
      </c>
      <c r="H539" s="3">
        <v>102.32</v>
      </c>
      <c r="I539" s="3">
        <v>102.3</v>
      </c>
      <c r="J539" s="3">
        <v>82.26</v>
      </c>
      <c r="K539" s="3">
        <v>23.85</v>
      </c>
      <c r="L539" s="3">
        <v>69750.67</v>
      </c>
      <c r="M539" s="3">
        <v>57012.1</v>
      </c>
      <c r="N539" s="3">
        <v>25.395</v>
      </c>
      <c r="O539" s="3">
        <v>6.3750000000000001E-2</v>
      </c>
      <c r="P539" s="3">
        <v>6.6689999999999996</v>
      </c>
      <c r="Q539" s="3">
        <v>116.85</v>
      </c>
      <c r="R539" s="3">
        <v>92.834999999999994</v>
      </c>
      <c r="S539" s="3">
        <v>218.5</v>
      </c>
    </row>
    <row r="540" spans="1:19" ht="14.4" x14ac:dyDescent="0.3">
      <c r="A540" s="2">
        <v>44677</v>
      </c>
      <c r="B540" s="3">
        <v>219.92</v>
      </c>
      <c r="C540" s="3">
        <v>270.95999999999998</v>
      </c>
      <c r="D540" s="3">
        <v>312.47000000000003</v>
      </c>
      <c r="E540" s="3">
        <v>326.31</v>
      </c>
      <c r="F540" s="3">
        <v>257.5</v>
      </c>
      <c r="G540" s="3">
        <v>101.7</v>
      </c>
      <c r="H540" s="3">
        <v>104.99</v>
      </c>
      <c r="I540" s="3">
        <v>102.69</v>
      </c>
      <c r="J540" s="3">
        <v>82.29</v>
      </c>
      <c r="K540" s="3">
        <v>23.5</v>
      </c>
      <c r="L540" s="3">
        <v>70264.11</v>
      </c>
      <c r="M540" s="3">
        <v>57624.95</v>
      </c>
      <c r="N540" s="3">
        <v>24.995000000000001</v>
      </c>
      <c r="O540" s="3">
        <v>6.3100000000000003E-2</v>
      </c>
      <c r="P540" s="3">
        <v>6.85</v>
      </c>
      <c r="Q540" s="3">
        <v>114.33</v>
      </c>
      <c r="R540" s="3">
        <v>103.21</v>
      </c>
      <c r="S540" s="3">
        <v>226.1</v>
      </c>
    </row>
    <row r="541" spans="1:19" ht="14.4" x14ac:dyDescent="0.3">
      <c r="A541" s="2">
        <v>44678</v>
      </c>
      <c r="B541" s="3">
        <v>219.92</v>
      </c>
      <c r="C541" s="3">
        <v>270.95999999999998</v>
      </c>
      <c r="D541" s="3">
        <v>312.47000000000003</v>
      </c>
      <c r="E541" s="3">
        <v>326.31</v>
      </c>
      <c r="F541" s="3">
        <v>257.5</v>
      </c>
      <c r="G541" s="3">
        <v>102.02</v>
      </c>
      <c r="H541" s="3">
        <v>105.32</v>
      </c>
      <c r="I541" s="3">
        <v>102.69</v>
      </c>
      <c r="J541" s="3">
        <v>84.64</v>
      </c>
      <c r="K541" s="3">
        <v>24</v>
      </c>
      <c r="L541" s="5">
        <f>FORECAST(A541,L535:L540,A535:A540)</f>
        <v>69181.983862660825</v>
      </c>
      <c r="M541" s="5">
        <f>FORECAST(A541,M535:M540,A535:A540)</f>
        <v>55790.471587978303</v>
      </c>
      <c r="N541" s="3">
        <v>25.145</v>
      </c>
      <c r="O541" s="3">
        <v>6.2859999999999999E-2</v>
      </c>
      <c r="P541" s="3">
        <v>7.3390000000000004</v>
      </c>
      <c r="Q541" s="3">
        <v>116.7</v>
      </c>
      <c r="R541" s="3">
        <v>107.425</v>
      </c>
      <c r="S541" s="3">
        <v>218.8</v>
      </c>
    </row>
    <row r="542" spans="1:19" ht="14.4" x14ac:dyDescent="0.3">
      <c r="A542" s="2">
        <v>44679</v>
      </c>
      <c r="B542" s="3">
        <v>219.92</v>
      </c>
      <c r="C542" s="3">
        <v>270.95999999999998</v>
      </c>
      <c r="D542" s="3">
        <v>312.47000000000003</v>
      </c>
      <c r="E542" s="3">
        <v>326.31</v>
      </c>
      <c r="F542" s="3">
        <v>257.5</v>
      </c>
      <c r="G542" s="3">
        <v>105.36</v>
      </c>
      <c r="H542" s="3">
        <v>107.59</v>
      </c>
      <c r="I542" s="3">
        <v>102.76</v>
      </c>
      <c r="J542" s="3">
        <v>87.2</v>
      </c>
      <c r="K542" s="3">
        <v>26.1</v>
      </c>
      <c r="L542" s="3">
        <v>71534.570000000007</v>
      </c>
      <c r="M542" s="3">
        <v>58818.58</v>
      </c>
      <c r="N542" s="3">
        <v>24.82</v>
      </c>
      <c r="O542" s="3">
        <v>6.2359999999999999E-2</v>
      </c>
      <c r="P542" s="3">
        <v>6.8879999999999999</v>
      </c>
      <c r="Q542" s="3">
        <v>119.25</v>
      </c>
      <c r="R542" s="3">
        <v>100.142</v>
      </c>
      <c r="S542" s="3">
        <v>214.55</v>
      </c>
    </row>
    <row r="543" spans="1:19" ht="14.4" x14ac:dyDescent="0.3">
      <c r="A543" s="2">
        <v>44680</v>
      </c>
      <c r="B543" s="3">
        <v>190.92</v>
      </c>
      <c r="C543" s="3">
        <v>237.52</v>
      </c>
      <c r="D543" s="3">
        <v>276.97000000000003</v>
      </c>
      <c r="E543" s="3">
        <v>280.04000000000002</v>
      </c>
      <c r="F543" s="3">
        <v>231.68</v>
      </c>
      <c r="G543" s="3">
        <v>104.69</v>
      </c>
      <c r="H543" s="3">
        <v>109.34</v>
      </c>
      <c r="I543" s="3">
        <v>102.79</v>
      </c>
      <c r="J543" s="3">
        <v>85.25</v>
      </c>
      <c r="K543" s="3">
        <v>25.3</v>
      </c>
      <c r="L543" s="3">
        <v>72438.25</v>
      </c>
      <c r="M543" s="3">
        <v>60262.83</v>
      </c>
      <c r="N543" s="3">
        <v>24.53</v>
      </c>
      <c r="O543" s="3">
        <v>6.3200000000000006E-2</v>
      </c>
      <c r="P543" s="3">
        <v>7.2439999999999998</v>
      </c>
      <c r="Q543" s="3">
        <v>115.81</v>
      </c>
      <c r="R543" s="3">
        <v>99.45</v>
      </c>
      <c r="S543" s="3">
        <v>214.55</v>
      </c>
    </row>
    <row r="544" spans="1:19" ht="14.4" x14ac:dyDescent="0.3">
      <c r="A544" s="2">
        <v>44683</v>
      </c>
      <c r="B544" s="1">
        <f t="shared" ref="B544:F544" si="37">B543</f>
        <v>190.92</v>
      </c>
      <c r="C544" s="1">
        <f t="shared" si="37"/>
        <v>237.52</v>
      </c>
      <c r="D544" s="1">
        <f t="shared" si="37"/>
        <v>276.97000000000003</v>
      </c>
      <c r="E544" s="1">
        <f t="shared" si="37"/>
        <v>280.04000000000002</v>
      </c>
      <c r="F544" s="1">
        <f t="shared" si="37"/>
        <v>231.68</v>
      </c>
      <c r="G544" s="3">
        <v>105.17</v>
      </c>
      <c r="H544" s="3">
        <v>107.58</v>
      </c>
      <c r="I544" s="3">
        <v>103.86</v>
      </c>
      <c r="J544" s="3">
        <v>86.41</v>
      </c>
      <c r="K544" s="5">
        <f>FORECAST(A544,K538:K543,A538:A543)</f>
        <v>25.43513513513517</v>
      </c>
      <c r="L544" s="5">
        <f>FORECAST(A544,L538:L543,A538:A543)</f>
        <v>70877.341793295433</v>
      </c>
      <c r="M544" s="5">
        <f>FORECAST(A544,M538:M543,A538:A543)</f>
        <v>58067.541866371408</v>
      </c>
      <c r="N544" s="3">
        <v>23.5</v>
      </c>
      <c r="O544" s="3">
        <v>6.1850000000000002E-2</v>
      </c>
      <c r="P544" s="3">
        <v>7.4749999999999996</v>
      </c>
      <c r="Q544" s="3">
        <v>113.48</v>
      </c>
      <c r="R544" s="3">
        <v>97.05</v>
      </c>
      <c r="S544" s="3">
        <v>210.4</v>
      </c>
    </row>
    <row r="545" spans="1:19" ht="14.4" x14ac:dyDescent="0.3">
      <c r="A545" s="2">
        <v>44684</v>
      </c>
      <c r="B545" s="3">
        <v>190.92</v>
      </c>
      <c r="C545" s="3">
        <v>237.52</v>
      </c>
      <c r="D545" s="3">
        <v>276.97000000000003</v>
      </c>
      <c r="E545" s="3">
        <v>280.04000000000002</v>
      </c>
      <c r="F545" s="3">
        <v>231.68</v>
      </c>
      <c r="G545" s="3">
        <v>102.41</v>
      </c>
      <c r="H545" s="3">
        <v>104.97</v>
      </c>
      <c r="I545" s="3">
        <v>103.39</v>
      </c>
      <c r="J545" s="3">
        <v>88.19</v>
      </c>
      <c r="K545" s="3">
        <v>25.55</v>
      </c>
      <c r="L545" s="3">
        <v>71338.990000000005</v>
      </c>
      <c r="M545" s="3">
        <v>60243.43</v>
      </c>
      <c r="N545" s="3">
        <v>23.5</v>
      </c>
      <c r="O545" s="3">
        <v>6.3369999999999996E-2</v>
      </c>
      <c r="P545" s="3">
        <v>7.9539999999999997</v>
      </c>
      <c r="Q545" s="3">
        <v>114.48</v>
      </c>
      <c r="R545" s="3">
        <v>99.424999999999997</v>
      </c>
      <c r="S545" s="1">
        <f>S546</f>
        <v>203.1</v>
      </c>
    </row>
    <row r="546" spans="1:19" ht="14.4" x14ac:dyDescent="0.3">
      <c r="A546" s="2">
        <v>44685</v>
      </c>
      <c r="B546" s="3">
        <v>190.92</v>
      </c>
      <c r="C546" s="3">
        <v>237.52</v>
      </c>
      <c r="D546" s="3">
        <v>276.97000000000003</v>
      </c>
      <c r="E546" s="3">
        <v>280.04000000000002</v>
      </c>
      <c r="F546" s="3">
        <v>231.68</v>
      </c>
      <c r="G546" s="3">
        <v>107.81</v>
      </c>
      <c r="H546" s="3">
        <v>110.14</v>
      </c>
      <c r="I546" s="3">
        <v>105.97</v>
      </c>
      <c r="J546" s="3">
        <v>91.7</v>
      </c>
      <c r="K546" s="3">
        <v>25.05</v>
      </c>
      <c r="L546" s="3">
        <v>70357.58</v>
      </c>
      <c r="M546" s="3">
        <v>58742.46</v>
      </c>
      <c r="N546" s="3">
        <v>24.04</v>
      </c>
      <c r="O546" s="3">
        <v>6.4689999999999998E-2</v>
      </c>
      <c r="P546" s="3">
        <v>8.4149999999999991</v>
      </c>
      <c r="Q546" s="3">
        <v>109.86</v>
      </c>
      <c r="R546" s="3">
        <v>103.82</v>
      </c>
      <c r="S546" s="3">
        <v>203.1</v>
      </c>
    </row>
    <row r="547" spans="1:19" ht="14.4" x14ac:dyDescent="0.3">
      <c r="A547" s="2">
        <v>44686</v>
      </c>
      <c r="B547" s="3">
        <v>190.92</v>
      </c>
      <c r="C547" s="3">
        <v>237.52</v>
      </c>
      <c r="D547" s="3">
        <v>276.97000000000003</v>
      </c>
      <c r="E547" s="3">
        <v>280.04000000000002</v>
      </c>
      <c r="F547" s="3">
        <v>231.68</v>
      </c>
      <c r="G547" s="3">
        <v>108.26</v>
      </c>
      <c r="H547" s="3">
        <v>110.9</v>
      </c>
      <c r="I547" s="3">
        <v>106.4</v>
      </c>
      <c r="J547" s="3">
        <v>90.31</v>
      </c>
      <c r="K547" s="3">
        <v>24.95</v>
      </c>
      <c r="L547" s="3">
        <v>69682.649999999994</v>
      </c>
      <c r="M547" s="3">
        <v>56987.54</v>
      </c>
      <c r="N547" s="3">
        <v>24.145</v>
      </c>
      <c r="O547" s="3">
        <v>6.25E-2</v>
      </c>
      <c r="P547" s="3">
        <v>8.7829999999999995</v>
      </c>
      <c r="Q547" s="3">
        <v>101.63</v>
      </c>
      <c r="R547" s="3">
        <v>106.51</v>
      </c>
      <c r="S547" s="3">
        <v>199.95</v>
      </c>
    </row>
    <row r="548" spans="1:19" ht="14.4" x14ac:dyDescent="0.3">
      <c r="A548" s="2">
        <v>44687</v>
      </c>
      <c r="B548" s="3">
        <v>203.31</v>
      </c>
      <c r="C548" s="3">
        <v>253.63</v>
      </c>
      <c r="D548" s="3">
        <v>290.76</v>
      </c>
      <c r="E548" s="3">
        <v>301.97000000000003</v>
      </c>
      <c r="F548" s="3">
        <v>259.81</v>
      </c>
      <c r="G548" s="3">
        <v>109.77</v>
      </c>
      <c r="H548" s="3">
        <v>112.39</v>
      </c>
      <c r="I548" s="3">
        <v>107.57</v>
      </c>
      <c r="J548" s="3">
        <v>91.69</v>
      </c>
      <c r="K548" s="3">
        <v>24.45</v>
      </c>
      <c r="L548" s="3">
        <v>67978.14</v>
      </c>
      <c r="M548" s="3">
        <v>54820.78</v>
      </c>
      <c r="N548" s="3">
        <v>24.03</v>
      </c>
      <c r="O548" s="3">
        <v>6.241E-2</v>
      </c>
      <c r="P548" s="3">
        <v>8.0429999999999993</v>
      </c>
      <c r="Q548" s="3">
        <v>99.81</v>
      </c>
      <c r="R548" s="3">
        <v>101.71</v>
      </c>
      <c r="S548" s="3">
        <v>200.65</v>
      </c>
    </row>
    <row r="549" spans="1:19" ht="14.4" x14ac:dyDescent="0.3">
      <c r="A549" s="2">
        <v>44690</v>
      </c>
      <c r="B549" s="3">
        <v>203.31</v>
      </c>
      <c r="C549" s="3">
        <v>253.63</v>
      </c>
      <c r="D549" s="3">
        <v>290.76</v>
      </c>
      <c r="E549" s="3">
        <v>301.97000000000003</v>
      </c>
      <c r="F549" s="3">
        <v>259.81</v>
      </c>
      <c r="G549" s="3">
        <v>103.09</v>
      </c>
      <c r="H549" s="3">
        <v>105.94</v>
      </c>
      <c r="I549" s="3">
        <v>102.79</v>
      </c>
      <c r="J549" s="3">
        <v>84.46</v>
      </c>
      <c r="K549" s="5">
        <f>FORECAST(A549,K543:K548,A543:A548)</f>
        <v>24.468371073775415</v>
      </c>
      <c r="L549" s="3">
        <v>66769.119999999995</v>
      </c>
      <c r="M549" s="3">
        <v>53443.64</v>
      </c>
      <c r="N549" s="3">
        <v>23.155000000000001</v>
      </c>
      <c r="O549" s="3">
        <v>6.1839999999999999E-2</v>
      </c>
      <c r="P549" s="3">
        <v>7.0259999999999998</v>
      </c>
      <c r="Q549" s="3">
        <v>96.99</v>
      </c>
      <c r="R549" s="3">
        <v>93.784999999999997</v>
      </c>
      <c r="S549" s="3">
        <v>204.4</v>
      </c>
    </row>
    <row r="550" spans="1:19" ht="14.4" x14ac:dyDescent="0.3">
      <c r="A550" s="2">
        <v>44691</v>
      </c>
      <c r="B550" s="3">
        <v>203.31</v>
      </c>
      <c r="C550" s="3">
        <v>253.63</v>
      </c>
      <c r="D550" s="3">
        <v>290.76</v>
      </c>
      <c r="E550" s="3">
        <v>301.97000000000003</v>
      </c>
      <c r="F550" s="3">
        <v>259.81</v>
      </c>
      <c r="G550" s="3">
        <v>99.76</v>
      </c>
      <c r="H550" s="3">
        <v>102.46</v>
      </c>
      <c r="I550" s="3">
        <v>100.43</v>
      </c>
      <c r="J550" s="3">
        <v>85.02</v>
      </c>
      <c r="K550" s="3">
        <v>23.6</v>
      </c>
      <c r="L550" s="3">
        <v>66966.73</v>
      </c>
      <c r="M550" s="3">
        <v>52346.49</v>
      </c>
      <c r="N550" s="3">
        <v>22.98</v>
      </c>
      <c r="O550" s="3">
        <v>6.191E-2</v>
      </c>
      <c r="P550" s="3">
        <v>7.3849999999999998</v>
      </c>
      <c r="Q550" s="3">
        <v>96.47</v>
      </c>
      <c r="R550" s="3">
        <v>98.8</v>
      </c>
      <c r="S550" s="3">
        <v>197.15</v>
      </c>
    </row>
    <row r="551" spans="1:19" ht="14.4" x14ac:dyDescent="0.3">
      <c r="A551" s="2">
        <v>44692</v>
      </c>
      <c r="B551" s="3">
        <v>203.31</v>
      </c>
      <c r="C551" s="3">
        <v>253.63</v>
      </c>
      <c r="D551" s="3">
        <v>290.76</v>
      </c>
      <c r="E551" s="3">
        <v>301.97000000000003</v>
      </c>
      <c r="F551" s="3">
        <v>259.81</v>
      </c>
      <c r="G551" s="3">
        <v>105.71</v>
      </c>
      <c r="H551" s="3">
        <v>107.51</v>
      </c>
      <c r="I551" s="3">
        <v>104.56</v>
      </c>
      <c r="J551" s="3">
        <v>86.79</v>
      </c>
      <c r="K551" s="3">
        <v>23.9</v>
      </c>
      <c r="L551" s="3">
        <v>68416.41</v>
      </c>
      <c r="M551" s="3">
        <v>53208.07</v>
      </c>
      <c r="N551" s="3">
        <v>23.375</v>
      </c>
      <c r="O551" s="3">
        <v>6.2129999999999998E-2</v>
      </c>
      <c r="P551" s="3">
        <v>7.64</v>
      </c>
      <c r="Q551" s="3">
        <v>94.55</v>
      </c>
      <c r="R551" s="3">
        <v>94.01</v>
      </c>
      <c r="S551" s="3">
        <v>191.65</v>
      </c>
    </row>
    <row r="552" spans="1:19" ht="14.4" x14ac:dyDescent="0.3">
      <c r="A552" s="2">
        <v>44693</v>
      </c>
      <c r="B552" s="3">
        <v>203.31</v>
      </c>
      <c r="C552" s="3">
        <v>253.63</v>
      </c>
      <c r="D552" s="3">
        <v>290.76</v>
      </c>
      <c r="E552" s="3">
        <v>301.97000000000003</v>
      </c>
      <c r="F552" s="3">
        <v>259.81</v>
      </c>
      <c r="G552" s="3">
        <v>106.13</v>
      </c>
      <c r="H552" s="3">
        <v>107.45</v>
      </c>
      <c r="I552" s="3">
        <v>104.66</v>
      </c>
      <c r="J552" s="3">
        <v>86.3</v>
      </c>
      <c r="K552" s="3">
        <v>23.45</v>
      </c>
      <c r="L552" s="3">
        <v>67251.89</v>
      </c>
      <c r="M552" s="3">
        <v>50129.22</v>
      </c>
      <c r="N552" s="3">
        <v>23.53</v>
      </c>
      <c r="O552" s="3">
        <v>6.2050000000000001E-2</v>
      </c>
      <c r="P552" s="3">
        <v>7.7389999999999999</v>
      </c>
      <c r="Q552" s="3">
        <v>95.5</v>
      </c>
      <c r="R552" s="3">
        <v>106.7</v>
      </c>
      <c r="S552" s="3">
        <v>183.45</v>
      </c>
    </row>
    <row r="553" spans="1:19" ht="14.4" x14ac:dyDescent="0.3">
      <c r="A553" s="2">
        <v>44694</v>
      </c>
      <c r="B553" s="3">
        <v>208.26</v>
      </c>
      <c r="C553" s="3">
        <v>260.79000000000002</v>
      </c>
      <c r="D553" s="3">
        <v>295.60000000000002</v>
      </c>
      <c r="E553" s="3">
        <v>324.60000000000002</v>
      </c>
      <c r="F553" s="3">
        <v>262.18</v>
      </c>
      <c r="G553" s="3">
        <v>110.49</v>
      </c>
      <c r="H553" s="3">
        <v>111.55</v>
      </c>
      <c r="I553" s="3">
        <v>107.23</v>
      </c>
      <c r="J553" s="3">
        <v>88.86</v>
      </c>
      <c r="K553" s="3">
        <v>24.5</v>
      </c>
      <c r="L553" s="3">
        <v>68650.66</v>
      </c>
      <c r="M553" s="3">
        <v>53656.29</v>
      </c>
      <c r="N553" s="3">
        <v>23.433</v>
      </c>
      <c r="O553" s="3">
        <v>6.182E-2</v>
      </c>
      <c r="P553" s="3">
        <v>7.6630000000000003</v>
      </c>
      <c r="Q553" s="3">
        <v>98.27</v>
      </c>
      <c r="R553" s="3">
        <v>96.88</v>
      </c>
      <c r="S553" s="3">
        <v>186.9</v>
      </c>
    </row>
    <row r="554" spans="1:19" ht="14.4" x14ac:dyDescent="0.3">
      <c r="A554" s="2">
        <v>44697</v>
      </c>
      <c r="B554" s="3">
        <v>208.26</v>
      </c>
      <c r="C554" s="3">
        <v>260.79000000000002</v>
      </c>
      <c r="D554" s="3">
        <v>295.60000000000002</v>
      </c>
      <c r="E554" s="3">
        <v>324.60000000000002</v>
      </c>
      <c r="F554" s="3">
        <v>262.18</v>
      </c>
      <c r="G554" s="3">
        <v>114.2</v>
      </c>
      <c r="H554" s="3">
        <v>114.24</v>
      </c>
      <c r="I554" s="3">
        <v>108.4</v>
      </c>
      <c r="J554" s="3">
        <v>90.95</v>
      </c>
      <c r="K554" s="3">
        <v>24.75</v>
      </c>
      <c r="L554" s="3">
        <v>69211.759999999995</v>
      </c>
      <c r="M554" s="3">
        <v>53928.31</v>
      </c>
      <c r="N554" s="3">
        <v>20.024999999999999</v>
      </c>
      <c r="O554" s="3">
        <v>6.1839999999999999E-2</v>
      </c>
      <c r="P554" s="3">
        <v>7.9560000000000004</v>
      </c>
      <c r="Q554" s="3">
        <v>97.31</v>
      </c>
      <c r="R554" s="3">
        <v>92.86</v>
      </c>
      <c r="S554" s="3">
        <v>187.6</v>
      </c>
    </row>
    <row r="555" spans="1:19" ht="14.4" x14ac:dyDescent="0.3">
      <c r="A555" s="2">
        <v>44698</v>
      </c>
      <c r="B555" s="3">
        <v>208.26</v>
      </c>
      <c r="C555" s="3">
        <v>260.79000000000002</v>
      </c>
      <c r="D555" s="3">
        <v>295.60000000000002</v>
      </c>
      <c r="E555" s="3">
        <v>324.60000000000002</v>
      </c>
      <c r="F555" s="3">
        <v>262.18</v>
      </c>
      <c r="G555" s="3">
        <v>112.4</v>
      </c>
      <c r="H555" s="3">
        <v>111.93</v>
      </c>
      <c r="I555" s="3">
        <v>106.88</v>
      </c>
      <c r="J555" s="3">
        <v>92.11</v>
      </c>
      <c r="K555" s="3">
        <v>25</v>
      </c>
      <c r="L555" s="3">
        <v>69696.39</v>
      </c>
      <c r="M555" s="3">
        <v>53379.839999999997</v>
      </c>
      <c r="N555" s="3">
        <v>20.074999999999999</v>
      </c>
      <c r="O555" s="3">
        <v>6.2829999999999997E-2</v>
      </c>
      <c r="P555" s="3">
        <v>8.3040000000000003</v>
      </c>
      <c r="Q555" s="3">
        <v>99.12</v>
      </c>
      <c r="R555" s="3">
        <v>94.174999999999997</v>
      </c>
      <c r="S555" s="3">
        <v>195.3</v>
      </c>
    </row>
    <row r="556" spans="1:19" ht="14.4" x14ac:dyDescent="0.3">
      <c r="A556" s="2">
        <v>44699</v>
      </c>
      <c r="B556" s="3">
        <v>208.26</v>
      </c>
      <c r="C556" s="3">
        <v>260.79000000000002</v>
      </c>
      <c r="D556" s="3">
        <v>295.60000000000002</v>
      </c>
      <c r="E556" s="3">
        <v>324.60000000000002</v>
      </c>
      <c r="F556" s="3">
        <v>262.18</v>
      </c>
      <c r="G556" s="3">
        <v>109.59</v>
      </c>
      <c r="H556" s="3">
        <v>109.11</v>
      </c>
      <c r="I556" s="3">
        <v>105.53</v>
      </c>
      <c r="J556" s="3">
        <v>90.65</v>
      </c>
      <c r="K556" s="3">
        <v>25.1</v>
      </c>
      <c r="L556" s="3">
        <v>69083.44</v>
      </c>
      <c r="M556" s="3">
        <v>52524.99</v>
      </c>
      <c r="N556" s="3">
        <v>21.164999999999999</v>
      </c>
      <c r="O556" s="3">
        <v>6.2370000000000002E-2</v>
      </c>
      <c r="P556" s="3">
        <v>8.3680000000000003</v>
      </c>
      <c r="Q556" s="3">
        <v>95.11</v>
      </c>
      <c r="R556" s="3">
        <v>94.54</v>
      </c>
      <c r="S556" s="3">
        <v>195</v>
      </c>
    </row>
    <row r="557" spans="1:19" ht="14.4" x14ac:dyDescent="0.3">
      <c r="A557" s="2">
        <v>44700</v>
      </c>
      <c r="B557" s="3">
        <v>208.26</v>
      </c>
      <c r="C557" s="3">
        <v>260.79000000000002</v>
      </c>
      <c r="D557" s="3">
        <v>295.60000000000002</v>
      </c>
      <c r="E557" s="3">
        <v>324.60000000000002</v>
      </c>
      <c r="F557" s="3">
        <v>262.18</v>
      </c>
      <c r="G557" s="3">
        <v>112.21</v>
      </c>
      <c r="H557" s="3">
        <v>112.04</v>
      </c>
      <c r="I557" s="3">
        <v>106.99</v>
      </c>
      <c r="J557" s="3">
        <v>91.14</v>
      </c>
      <c r="K557" s="3">
        <v>24.85</v>
      </c>
      <c r="L557" s="3">
        <v>68245.84</v>
      </c>
      <c r="M557" s="3">
        <v>52329.79</v>
      </c>
      <c r="N557" s="3">
        <v>21.79</v>
      </c>
      <c r="O557" s="3">
        <v>6.3079999999999997E-2</v>
      </c>
      <c r="P557" s="3">
        <v>8.3079999999999998</v>
      </c>
      <c r="Q557" s="3">
        <v>95.9</v>
      </c>
      <c r="R557" s="3">
        <v>91.025000000000006</v>
      </c>
      <c r="S557" s="3">
        <v>194.3</v>
      </c>
    </row>
    <row r="558" spans="1:19" ht="14.4" x14ac:dyDescent="0.3">
      <c r="A558" s="2">
        <v>44701</v>
      </c>
      <c r="B558" s="3">
        <v>222.35</v>
      </c>
      <c r="C558" s="3">
        <v>274.11</v>
      </c>
      <c r="D558" s="3">
        <v>314.74</v>
      </c>
      <c r="E558" s="3">
        <v>347.18</v>
      </c>
      <c r="F558" s="3">
        <v>252.02</v>
      </c>
      <c r="G558" s="3">
        <v>113.23</v>
      </c>
      <c r="H558" s="3">
        <v>112.55</v>
      </c>
      <c r="I558" s="3">
        <v>107.21</v>
      </c>
      <c r="J558" s="3">
        <v>91.86</v>
      </c>
      <c r="K558" s="3">
        <v>25.7</v>
      </c>
      <c r="L558" s="3">
        <v>67575.28</v>
      </c>
      <c r="M558" s="3">
        <v>52213.2</v>
      </c>
      <c r="N558" s="3">
        <v>21.824999999999999</v>
      </c>
      <c r="O558" s="3">
        <v>6.3079999999999997E-2</v>
      </c>
      <c r="P558" s="3">
        <v>8.0830000000000002</v>
      </c>
      <c r="Q558" s="3">
        <v>97.62</v>
      </c>
      <c r="R558" s="3">
        <v>87.9</v>
      </c>
      <c r="S558" s="3">
        <v>194.1</v>
      </c>
    </row>
    <row r="559" spans="1:19" ht="14.4" x14ac:dyDescent="0.3">
      <c r="A559" s="2">
        <v>44704</v>
      </c>
      <c r="B559" s="3">
        <v>222.35</v>
      </c>
      <c r="C559" s="3">
        <v>274.11</v>
      </c>
      <c r="D559" s="3">
        <v>314.74</v>
      </c>
      <c r="E559" s="3">
        <v>347.18</v>
      </c>
      <c r="F559" s="3">
        <v>252.02</v>
      </c>
      <c r="G559" s="3">
        <v>110.29</v>
      </c>
      <c r="H559" s="3">
        <v>113.42</v>
      </c>
      <c r="I559" s="3">
        <v>107.32</v>
      </c>
      <c r="J559" s="3">
        <v>93.89</v>
      </c>
      <c r="K559" s="3">
        <v>25.55</v>
      </c>
      <c r="L559" s="3">
        <v>68367.37</v>
      </c>
      <c r="M559" s="3">
        <v>54138.27</v>
      </c>
      <c r="N559" s="3">
        <v>22.6</v>
      </c>
      <c r="O559" s="3">
        <v>6.343E-2</v>
      </c>
      <c r="P559" s="3">
        <v>8.7439999999999998</v>
      </c>
      <c r="Q559" s="3">
        <v>98.11</v>
      </c>
      <c r="R559" s="3">
        <v>83.29</v>
      </c>
      <c r="S559" s="3">
        <v>193.8</v>
      </c>
    </row>
    <row r="560" spans="1:19" ht="14.4" x14ac:dyDescent="0.3">
      <c r="A560" s="2">
        <v>44705</v>
      </c>
      <c r="B560" s="3">
        <v>222.35</v>
      </c>
      <c r="C560" s="3">
        <v>274.11</v>
      </c>
      <c r="D560" s="3">
        <v>314.74</v>
      </c>
      <c r="E560" s="3">
        <v>347.18</v>
      </c>
      <c r="F560" s="3">
        <v>252.02</v>
      </c>
      <c r="G560" s="3">
        <v>109.77</v>
      </c>
      <c r="H560" s="3">
        <v>113.56</v>
      </c>
      <c r="I560" s="3">
        <v>107.17</v>
      </c>
      <c r="J560" s="3">
        <v>94.4</v>
      </c>
      <c r="K560" s="3">
        <v>25.6</v>
      </c>
      <c r="L560" s="3">
        <v>67690.720000000001</v>
      </c>
      <c r="M560" s="3">
        <v>53888.34</v>
      </c>
      <c r="N560" s="3">
        <v>22.07</v>
      </c>
      <c r="O560" s="3">
        <v>6.3869999999999996E-2</v>
      </c>
      <c r="P560" s="3">
        <v>8.7959999999999994</v>
      </c>
      <c r="Q560" s="3">
        <v>98.36</v>
      </c>
      <c r="R560" s="3">
        <v>84.504999999999995</v>
      </c>
      <c r="S560" s="3">
        <v>191.9</v>
      </c>
    </row>
    <row r="561" spans="1:19" ht="14.4" x14ac:dyDescent="0.3">
      <c r="A561" s="2">
        <v>44706</v>
      </c>
      <c r="B561" s="3">
        <v>222.35</v>
      </c>
      <c r="C561" s="3">
        <v>274.11</v>
      </c>
      <c r="D561" s="3">
        <v>314.74</v>
      </c>
      <c r="E561" s="3">
        <v>347.18</v>
      </c>
      <c r="F561" s="3">
        <v>252.02</v>
      </c>
      <c r="G561" s="3">
        <v>110.33</v>
      </c>
      <c r="H561" s="3">
        <v>114.03</v>
      </c>
      <c r="I561" s="3">
        <v>107.17</v>
      </c>
      <c r="J561" s="3">
        <v>96.3</v>
      </c>
      <c r="K561" s="3">
        <v>25.95</v>
      </c>
      <c r="L561" s="3">
        <v>67585.25</v>
      </c>
      <c r="M561" s="3">
        <v>52959.16</v>
      </c>
      <c r="N561" s="3">
        <v>22.22</v>
      </c>
      <c r="O561" s="3">
        <v>6.3509999999999997E-2</v>
      </c>
      <c r="P561" s="3">
        <v>8.9710000000000001</v>
      </c>
      <c r="Q561" s="3">
        <v>97.52</v>
      </c>
      <c r="R561" s="3">
        <v>88.08</v>
      </c>
      <c r="S561" s="3">
        <v>185.3</v>
      </c>
    </row>
    <row r="562" spans="1:19" ht="14.4" x14ac:dyDescent="0.3">
      <c r="A562" s="2">
        <v>44707</v>
      </c>
      <c r="B562" s="3">
        <v>222.35</v>
      </c>
      <c r="C562" s="3">
        <v>274.11</v>
      </c>
      <c r="D562" s="3">
        <v>314.74</v>
      </c>
      <c r="E562" s="3">
        <v>347.18</v>
      </c>
      <c r="F562" s="3">
        <v>252.02</v>
      </c>
      <c r="G562" s="3">
        <v>114.09</v>
      </c>
      <c r="H562" s="3">
        <v>117.4</v>
      </c>
      <c r="I562" s="3">
        <v>107.64</v>
      </c>
      <c r="J562" s="3">
        <v>96.64</v>
      </c>
      <c r="K562" s="3">
        <v>26.05</v>
      </c>
      <c r="L562" s="3">
        <v>69483.759999999995</v>
      </c>
      <c r="M562" s="3">
        <v>55317.32</v>
      </c>
      <c r="N562" s="3">
        <v>22.484999999999999</v>
      </c>
      <c r="O562" s="3">
        <v>6.3700000000000007E-2</v>
      </c>
      <c r="P562" s="3">
        <v>8.9079999999999995</v>
      </c>
      <c r="Q562" s="3">
        <v>99.53</v>
      </c>
      <c r="R562" s="3">
        <v>85.97</v>
      </c>
      <c r="S562" s="3">
        <v>180.25</v>
      </c>
    </row>
    <row r="563" spans="1:19" ht="14.4" x14ac:dyDescent="0.3">
      <c r="A563" s="2">
        <v>44708</v>
      </c>
      <c r="B563" s="3">
        <v>192.68</v>
      </c>
      <c r="C563" s="3">
        <v>246.64</v>
      </c>
      <c r="D563" s="3">
        <v>290.52</v>
      </c>
      <c r="E563" s="3">
        <v>317.45999999999998</v>
      </c>
      <c r="F563" s="3">
        <v>251.72</v>
      </c>
      <c r="G563" s="3">
        <v>115.07</v>
      </c>
      <c r="H563" s="3">
        <v>119.43</v>
      </c>
      <c r="I563" s="3">
        <v>107.75</v>
      </c>
      <c r="J563" s="3">
        <v>97.59</v>
      </c>
      <c r="K563" s="3">
        <v>26.35</v>
      </c>
      <c r="L563" s="3">
        <v>70485.460000000006</v>
      </c>
      <c r="M563" s="3">
        <v>55306.76</v>
      </c>
      <c r="N563" s="3">
        <v>22.625</v>
      </c>
      <c r="O563" s="3">
        <v>6.4170000000000005E-2</v>
      </c>
      <c r="P563" s="3">
        <v>8.7270000000000003</v>
      </c>
      <c r="Q563" s="3">
        <v>102.7</v>
      </c>
      <c r="R563" s="3">
        <v>86.875</v>
      </c>
      <c r="S563" s="3">
        <v>184.05</v>
      </c>
    </row>
    <row r="564" spans="1:19" ht="14.4" x14ac:dyDescent="0.3">
      <c r="A564" s="2">
        <v>44711</v>
      </c>
      <c r="B564" s="3">
        <v>192.68</v>
      </c>
      <c r="C564" s="3">
        <v>246.64</v>
      </c>
      <c r="D564" s="3">
        <v>290.52</v>
      </c>
      <c r="E564" s="3">
        <v>317.45999999999998</v>
      </c>
      <c r="F564" s="3">
        <v>251.72</v>
      </c>
      <c r="G564" s="3">
        <v>117.61</v>
      </c>
      <c r="H564" s="3">
        <v>121.67</v>
      </c>
      <c r="I564" s="1">
        <f>(I563+I565)/2</f>
        <v>107.94</v>
      </c>
      <c r="J564" s="1">
        <f>(J563+J565)/2</f>
        <v>96.795000000000002</v>
      </c>
      <c r="K564" s="3">
        <v>26.05</v>
      </c>
      <c r="L564" s="3">
        <v>71958.149999999994</v>
      </c>
      <c r="M564" s="3">
        <v>56301.94</v>
      </c>
      <c r="N564" s="5">
        <f>FORECAST(A564,N558:N563,A558:A563)</f>
        <v>22.845405405406382</v>
      </c>
      <c r="O564" s="3">
        <v>6.4519999999999994E-2</v>
      </c>
      <c r="P564" s="3">
        <v>8.6859999999999999</v>
      </c>
      <c r="Q564" s="1">
        <f>AVERAGE(Q563,Q565)</f>
        <v>102.545</v>
      </c>
      <c r="R564" s="5">
        <f>AVERAGE(R563,R565)</f>
        <v>90.44</v>
      </c>
      <c r="S564" s="3">
        <v>192.35</v>
      </c>
    </row>
    <row r="565" spans="1:19" ht="14.4" x14ac:dyDescent="0.3">
      <c r="A565" s="2">
        <v>44712</v>
      </c>
      <c r="B565" s="3">
        <v>192.68</v>
      </c>
      <c r="C565" s="3">
        <v>246.64</v>
      </c>
      <c r="D565" s="3">
        <v>290.52</v>
      </c>
      <c r="E565" s="3">
        <v>317.45999999999998</v>
      </c>
      <c r="F565" s="3">
        <v>251.72</v>
      </c>
      <c r="G565" s="3">
        <v>114.67</v>
      </c>
      <c r="H565" s="3">
        <v>122.84</v>
      </c>
      <c r="I565" s="3">
        <v>108.13</v>
      </c>
      <c r="J565" s="3">
        <v>96</v>
      </c>
      <c r="K565" s="3">
        <v>26.25</v>
      </c>
      <c r="L565" s="3">
        <v>72094.87</v>
      </c>
      <c r="M565" s="3">
        <v>53684.97</v>
      </c>
      <c r="N565" s="3">
        <v>24.074999999999999</v>
      </c>
      <c r="O565" s="3">
        <v>6.3939999999999997E-2</v>
      </c>
      <c r="P565" s="3">
        <v>8.1449999999999996</v>
      </c>
      <c r="Q565" s="3">
        <v>102.39</v>
      </c>
      <c r="R565" s="3">
        <v>94.004999999999995</v>
      </c>
      <c r="S565" s="3">
        <v>194.65</v>
      </c>
    </row>
    <row r="566" spans="1:19" ht="14.4" x14ac:dyDescent="0.3">
      <c r="A566" s="2">
        <v>44713</v>
      </c>
      <c r="B566" s="3">
        <v>194.96</v>
      </c>
      <c r="C566" s="3">
        <v>255.32</v>
      </c>
      <c r="D566" s="3">
        <v>303.74</v>
      </c>
      <c r="E566" s="3">
        <v>333.07</v>
      </c>
      <c r="F566" s="3">
        <v>249.34</v>
      </c>
      <c r="G566" s="3">
        <v>115.26</v>
      </c>
      <c r="H566" s="3">
        <v>116.29</v>
      </c>
      <c r="I566" s="3">
        <v>110.91</v>
      </c>
      <c r="J566" s="3">
        <v>97.84</v>
      </c>
      <c r="K566" s="3">
        <v>26.5</v>
      </c>
      <c r="L566" s="3">
        <v>70849.38</v>
      </c>
      <c r="M566" s="3">
        <v>51997.82</v>
      </c>
      <c r="N566" s="3">
        <v>24.015000000000001</v>
      </c>
      <c r="O566" s="3">
        <v>6.4210000000000003E-2</v>
      </c>
      <c r="P566" s="3">
        <v>8.6959999999999997</v>
      </c>
      <c r="Q566" s="3">
        <v>101.99</v>
      </c>
      <c r="R566" s="3">
        <v>85.55</v>
      </c>
      <c r="S566" s="3">
        <v>190.6</v>
      </c>
    </row>
    <row r="567" spans="1:19" ht="14.4" x14ac:dyDescent="0.3">
      <c r="A567" s="2">
        <v>44714</v>
      </c>
      <c r="B567" s="1">
        <f t="shared" ref="B567:D568" si="38">B566</f>
        <v>194.96</v>
      </c>
      <c r="C567" s="1">
        <f t="shared" si="38"/>
        <v>255.32</v>
      </c>
      <c r="D567" s="1">
        <f t="shared" si="38"/>
        <v>303.74</v>
      </c>
      <c r="E567" s="3">
        <v>333.07</v>
      </c>
      <c r="F567" s="1">
        <f t="shared" ref="F567:F568" si="39">F566</f>
        <v>249.34</v>
      </c>
      <c r="G567" s="3">
        <v>116.87</v>
      </c>
      <c r="H567" s="3">
        <v>117.61</v>
      </c>
      <c r="I567" s="3">
        <v>112.02</v>
      </c>
      <c r="J567" s="3">
        <v>97.67</v>
      </c>
      <c r="K567" s="3">
        <v>26.25</v>
      </c>
      <c r="L567" s="3">
        <v>71035</v>
      </c>
      <c r="M567" s="3">
        <v>53844.98</v>
      </c>
      <c r="N567" s="3">
        <v>24.015000000000001</v>
      </c>
      <c r="O567" s="3">
        <v>6.4630000000000007E-2</v>
      </c>
      <c r="P567" s="3">
        <v>8.4849999999999994</v>
      </c>
      <c r="Q567" s="3">
        <v>102.9</v>
      </c>
      <c r="R567" s="3">
        <v>83.944999999999993</v>
      </c>
      <c r="S567" s="3">
        <v>188.1</v>
      </c>
    </row>
    <row r="568" spans="1:19" ht="14.4" x14ac:dyDescent="0.3">
      <c r="A568" s="2">
        <v>44715</v>
      </c>
      <c r="B568" s="1">
        <f t="shared" si="38"/>
        <v>194.96</v>
      </c>
      <c r="C568" s="1">
        <f t="shared" si="38"/>
        <v>255.32</v>
      </c>
      <c r="D568" s="1">
        <f t="shared" si="38"/>
        <v>303.74</v>
      </c>
      <c r="E568" s="3">
        <v>333.07</v>
      </c>
      <c r="F568" s="1">
        <f t="shared" si="39"/>
        <v>249.34</v>
      </c>
      <c r="G568" s="3">
        <v>118.87</v>
      </c>
      <c r="H568" s="3">
        <v>119.72</v>
      </c>
      <c r="I568" s="3">
        <v>113.83</v>
      </c>
      <c r="J568" s="3">
        <v>99.09</v>
      </c>
      <c r="K568" s="5">
        <f>FORECAST(A568,K562:K567,A562:A567)</f>
        <v>26.34806866952772</v>
      </c>
      <c r="L568" s="3">
        <v>70920.45</v>
      </c>
      <c r="M568" s="3">
        <v>52115.87</v>
      </c>
      <c r="N568" s="3">
        <v>24.015000000000001</v>
      </c>
      <c r="O568" s="3">
        <v>6.4339999999999994E-2</v>
      </c>
      <c r="P568" s="3">
        <v>8.5229999999999997</v>
      </c>
      <c r="Q568" s="3">
        <v>100.94</v>
      </c>
      <c r="R568" s="3">
        <v>83.1</v>
      </c>
      <c r="S568" s="3">
        <v>182.3</v>
      </c>
    </row>
    <row r="569" spans="1:19" ht="14.4" x14ac:dyDescent="0.3">
      <c r="A569" s="2">
        <v>44718</v>
      </c>
      <c r="B569" s="3">
        <v>194.96</v>
      </c>
      <c r="C569" s="3">
        <v>255.32</v>
      </c>
      <c r="D569" s="3">
        <v>303.74</v>
      </c>
      <c r="E569" s="3">
        <v>333.07</v>
      </c>
      <c r="F569" s="3">
        <v>249.34</v>
      </c>
      <c r="G569" s="3">
        <v>118.5</v>
      </c>
      <c r="H569" s="3">
        <v>119.51</v>
      </c>
      <c r="I569" s="3">
        <v>114.01</v>
      </c>
      <c r="J569" s="3">
        <v>98.84</v>
      </c>
      <c r="K569" s="3">
        <v>26.25</v>
      </c>
      <c r="L569" s="3">
        <v>71120.09</v>
      </c>
      <c r="M569" s="3">
        <v>51073.66</v>
      </c>
      <c r="N569" s="3">
        <v>23.355</v>
      </c>
      <c r="O569" s="3">
        <v>6.4780000000000004E-2</v>
      </c>
      <c r="P569" s="3">
        <v>9.3219999999999992</v>
      </c>
      <c r="Q569" s="3">
        <v>100.86</v>
      </c>
      <c r="R569" s="3">
        <v>82.56</v>
      </c>
      <c r="S569" s="3">
        <v>175.25</v>
      </c>
    </row>
    <row r="570" spans="1:19" ht="14.4" x14ac:dyDescent="0.3">
      <c r="A570" s="2">
        <v>44719</v>
      </c>
      <c r="B570" s="3">
        <v>194.96</v>
      </c>
      <c r="C570" s="3">
        <v>255.32</v>
      </c>
      <c r="D570" s="3">
        <v>303.74</v>
      </c>
      <c r="E570" s="3">
        <v>333.07</v>
      </c>
      <c r="F570" s="3">
        <v>249.34</v>
      </c>
      <c r="G570" s="3">
        <v>119.41</v>
      </c>
      <c r="H570" s="3">
        <v>120.57</v>
      </c>
      <c r="I570" s="3">
        <v>115.29</v>
      </c>
      <c r="J570" s="3">
        <v>103.37</v>
      </c>
      <c r="K570" s="3">
        <v>26.05</v>
      </c>
      <c r="L570" s="3">
        <v>70318.23</v>
      </c>
      <c r="M570" s="3">
        <v>50448.26</v>
      </c>
      <c r="N570" s="3">
        <v>22.87</v>
      </c>
      <c r="O570" s="3">
        <v>6.4939999999999998E-2</v>
      </c>
      <c r="P570" s="3">
        <v>9.2929999999999993</v>
      </c>
      <c r="Q570" s="3">
        <v>101.76</v>
      </c>
      <c r="R570" s="3">
        <v>79.61</v>
      </c>
      <c r="S570" s="3">
        <v>178</v>
      </c>
    </row>
    <row r="571" spans="1:19" ht="14.4" x14ac:dyDescent="0.3">
      <c r="A571" s="2">
        <v>44720</v>
      </c>
      <c r="B571" s="3">
        <v>194.96</v>
      </c>
      <c r="C571" s="3">
        <v>255.32</v>
      </c>
      <c r="D571" s="3">
        <v>303.74</v>
      </c>
      <c r="E571" s="3">
        <v>333.07</v>
      </c>
      <c r="F571" s="3">
        <v>249.34</v>
      </c>
      <c r="G571" s="3">
        <v>122.11</v>
      </c>
      <c r="H571" s="3">
        <v>123.58</v>
      </c>
      <c r="I571" s="3">
        <v>117.5</v>
      </c>
      <c r="J571" s="3">
        <v>104.59</v>
      </c>
      <c r="K571" s="3">
        <v>27.1</v>
      </c>
      <c r="L571" s="3">
        <v>69950.210000000006</v>
      </c>
      <c r="M571" s="3">
        <v>49740.41</v>
      </c>
      <c r="N571" s="3">
        <v>22.774999999999999</v>
      </c>
      <c r="O571" s="3">
        <v>6.5360000000000001E-2</v>
      </c>
      <c r="P571" s="3">
        <v>8.6989999999999998</v>
      </c>
      <c r="Q571" s="3">
        <v>101.38</v>
      </c>
      <c r="R571" s="3">
        <v>79.405000000000001</v>
      </c>
      <c r="S571" s="3">
        <v>175.85</v>
      </c>
    </row>
    <row r="572" spans="1:19" ht="14.4" x14ac:dyDescent="0.3">
      <c r="A572" s="2">
        <v>44721</v>
      </c>
      <c r="B572" s="3">
        <v>194.96</v>
      </c>
      <c r="C572" s="3">
        <v>255.32</v>
      </c>
      <c r="D572" s="3">
        <v>303.74</v>
      </c>
      <c r="E572" s="3">
        <v>333.07</v>
      </c>
      <c r="F572" s="3">
        <v>249.34</v>
      </c>
      <c r="G572" s="3">
        <v>121.51</v>
      </c>
      <c r="H572" s="3">
        <v>123.07</v>
      </c>
      <c r="I572" s="3">
        <v>117.09</v>
      </c>
      <c r="J572" s="3">
        <v>102.33</v>
      </c>
      <c r="K572" s="3">
        <v>27.5</v>
      </c>
      <c r="L572" s="3">
        <v>68910.8</v>
      </c>
      <c r="M572" s="3">
        <v>48134.19</v>
      </c>
      <c r="N572" s="3">
        <v>23.16</v>
      </c>
      <c r="O572" s="3">
        <v>6.4409999999999995E-2</v>
      </c>
      <c r="P572" s="3">
        <v>8.9629999999999992</v>
      </c>
      <c r="Q572" s="3">
        <v>99.5</v>
      </c>
      <c r="R572" s="3">
        <v>84.88</v>
      </c>
      <c r="S572" s="3">
        <v>184.8</v>
      </c>
    </row>
    <row r="573" spans="1:19" ht="14.4" x14ac:dyDescent="0.3">
      <c r="A573" s="2">
        <v>44722</v>
      </c>
      <c r="B573" s="3">
        <v>171.75</v>
      </c>
      <c r="C573" s="3">
        <v>231.88</v>
      </c>
      <c r="D573" s="3">
        <v>282.79000000000002</v>
      </c>
      <c r="E573" s="3">
        <v>312.42</v>
      </c>
      <c r="F573" s="3">
        <v>235.58</v>
      </c>
      <c r="G573" s="3">
        <v>120.67</v>
      </c>
      <c r="H573" s="3">
        <v>122.01</v>
      </c>
      <c r="I573" s="3">
        <v>116.67</v>
      </c>
      <c r="J573" s="3">
        <v>100.46</v>
      </c>
      <c r="K573" s="3">
        <v>27.2</v>
      </c>
      <c r="L573" s="3">
        <v>67803.509999999995</v>
      </c>
      <c r="M573" s="3">
        <v>49033.120000000003</v>
      </c>
      <c r="N573" s="3">
        <v>23.164999999999999</v>
      </c>
      <c r="O573" s="3">
        <v>6.3130000000000006E-2</v>
      </c>
      <c r="P573" s="3">
        <v>8.85</v>
      </c>
      <c r="Q573" s="3">
        <v>97.78</v>
      </c>
      <c r="R573" s="3">
        <v>82.465000000000003</v>
      </c>
      <c r="S573" s="3">
        <v>182.2</v>
      </c>
    </row>
    <row r="574" spans="1:19" ht="14.4" x14ac:dyDescent="0.3">
      <c r="A574" s="2">
        <v>44725</v>
      </c>
      <c r="B574" s="3">
        <v>171.75</v>
      </c>
      <c r="C574" s="3">
        <v>231.88</v>
      </c>
      <c r="D574" s="3">
        <v>282.79000000000002</v>
      </c>
      <c r="E574" s="3">
        <v>312.42</v>
      </c>
      <c r="F574" s="3">
        <v>235.58</v>
      </c>
      <c r="G574" s="3">
        <v>120.93</v>
      </c>
      <c r="H574" s="3">
        <v>122.27</v>
      </c>
      <c r="I574" s="3">
        <v>116.64</v>
      </c>
      <c r="J574" s="3">
        <v>95.85</v>
      </c>
      <c r="K574" s="3">
        <v>26.9</v>
      </c>
      <c r="L574" s="3">
        <v>66381.03</v>
      </c>
      <c r="M574" s="3">
        <v>47426.28</v>
      </c>
      <c r="N574" s="3">
        <v>23.035</v>
      </c>
      <c r="O574" s="3">
        <v>6.2050000000000001E-2</v>
      </c>
      <c r="P574" s="3">
        <v>8.609</v>
      </c>
      <c r="Q574" s="3">
        <v>96.82</v>
      </c>
      <c r="R574" s="3">
        <v>83.4</v>
      </c>
      <c r="S574" s="3">
        <v>177.35</v>
      </c>
    </row>
    <row r="575" spans="1:19" ht="14.4" x14ac:dyDescent="0.3">
      <c r="A575" s="2">
        <v>44726</v>
      </c>
      <c r="B575" s="3">
        <v>171.75</v>
      </c>
      <c r="C575" s="3">
        <v>231.88</v>
      </c>
      <c r="D575" s="3">
        <v>282.79000000000002</v>
      </c>
      <c r="E575" s="3">
        <v>312.42</v>
      </c>
      <c r="F575" s="3">
        <v>235.58</v>
      </c>
      <c r="G575" s="3">
        <v>118.93</v>
      </c>
      <c r="H575" s="3">
        <v>121.17</v>
      </c>
      <c r="I575" s="3">
        <v>115.71</v>
      </c>
      <c r="J575" s="3">
        <v>96.1</v>
      </c>
      <c r="K575" s="3">
        <v>26.75</v>
      </c>
      <c r="L575" s="3">
        <v>65683.520000000004</v>
      </c>
      <c r="M575" s="3">
        <v>46400.29</v>
      </c>
      <c r="N575" s="3">
        <v>23.175000000000001</v>
      </c>
      <c r="O575" s="3">
        <v>6.2300000000000001E-2</v>
      </c>
      <c r="P575" s="3">
        <v>7.1890000000000001</v>
      </c>
      <c r="Q575" s="3">
        <v>94.05</v>
      </c>
      <c r="R575" s="3">
        <v>97.04</v>
      </c>
      <c r="S575" s="3">
        <v>175.7</v>
      </c>
    </row>
    <row r="576" spans="1:19" ht="14.4" x14ac:dyDescent="0.3">
      <c r="A576" s="2">
        <v>44727</v>
      </c>
      <c r="B576" s="3">
        <v>171.75</v>
      </c>
      <c r="C576" s="3">
        <v>231.88</v>
      </c>
      <c r="D576" s="3">
        <v>282.79000000000002</v>
      </c>
      <c r="E576" s="3">
        <v>312.42</v>
      </c>
      <c r="F576" s="3">
        <v>235.58</v>
      </c>
      <c r="G576" s="3">
        <v>115.31</v>
      </c>
      <c r="H576" s="3">
        <v>118.51</v>
      </c>
      <c r="I576" s="3">
        <v>114.35</v>
      </c>
      <c r="J576" s="3">
        <v>94.89</v>
      </c>
      <c r="K576" s="3">
        <v>26.5</v>
      </c>
      <c r="L576" s="3">
        <v>67502.09</v>
      </c>
      <c r="M576" s="3">
        <v>48385.919999999998</v>
      </c>
      <c r="N576" s="3">
        <v>23.395</v>
      </c>
      <c r="O576" s="3">
        <v>6.3299999999999995E-2</v>
      </c>
      <c r="P576" s="3">
        <v>7.42</v>
      </c>
      <c r="Q576" s="3">
        <v>95.63</v>
      </c>
      <c r="R576" s="3">
        <v>120.33</v>
      </c>
      <c r="S576" s="3">
        <v>174.85</v>
      </c>
    </row>
    <row r="577" spans="1:19" ht="14.4" x14ac:dyDescent="0.3">
      <c r="A577" s="2">
        <v>44728</v>
      </c>
      <c r="B577" s="3">
        <v>171.75</v>
      </c>
      <c r="C577" s="3">
        <v>231.88</v>
      </c>
      <c r="D577" s="3">
        <v>282.79000000000002</v>
      </c>
      <c r="E577" s="3">
        <v>312.42</v>
      </c>
      <c r="F577" s="3">
        <v>235.58</v>
      </c>
      <c r="G577" s="3">
        <v>117.59</v>
      </c>
      <c r="H577" s="3">
        <v>119.81</v>
      </c>
      <c r="I577" s="3">
        <v>115.34</v>
      </c>
      <c r="J577" s="3">
        <v>91.39</v>
      </c>
      <c r="K577" s="3">
        <v>25.3</v>
      </c>
      <c r="L577" s="5">
        <f>FORECAST(A577,L571:L576,A571:A576)</f>
        <v>65669.855261042714</v>
      </c>
      <c r="M577" s="5">
        <f>FORECAST(A577,M571:M576,A571:A576)</f>
        <v>46941.261606425047</v>
      </c>
      <c r="N577" s="3">
        <v>34.65</v>
      </c>
      <c r="O577" s="3">
        <v>6.2489999999999997E-2</v>
      </c>
      <c r="P577" s="3">
        <v>7.4640000000000004</v>
      </c>
      <c r="Q577" s="3">
        <v>94.85</v>
      </c>
      <c r="R577" s="3">
        <v>124.36499999999999</v>
      </c>
      <c r="S577" s="3">
        <v>168.7</v>
      </c>
    </row>
    <row r="578" spans="1:19" ht="14.4" x14ac:dyDescent="0.3">
      <c r="A578" s="2">
        <v>44729</v>
      </c>
      <c r="B578" s="3">
        <v>152.38</v>
      </c>
      <c r="C578" s="3">
        <v>208.65</v>
      </c>
      <c r="D578" s="3">
        <v>270.89</v>
      </c>
      <c r="E578" s="3">
        <v>312.3</v>
      </c>
      <c r="F578" s="3">
        <v>215.13</v>
      </c>
      <c r="G578" s="3">
        <v>109.56</v>
      </c>
      <c r="H578" s="3">
        <v>113.12</v>
      </c>
      <c r="I578" s="3">
        <v>112.72</v>
      </c>
      <c r="J578" s="3">
        <v>86.12</v>
      </c>
      <c r="K578" s="3">
        <v>25</v>
      </c>
      <c r="L578" s="3">
        <v>65390.879999999997</v>
      </c>
      <c r="M578" s="3">
        <v>48457.17</v>
      </c>
      <c r="N578" s="3">
        <v>33.954999999999998</v>
      </c>
      <c r="O578" s="3">
        <v>6.2390000000000001E-2</v>
      </c>
      <c r="P578" s="3">
        <v>6.944</v>
      </c>
      <c r="Q578" s="3">
        <v>90.33</v>
      </c>
      <c r="R578" s="3">
        <v>117.74</v>
      </c>
      <c r="S578" s="3">
        <v>172.75</v>
      </c>
    </row>
    <row r="579" spans="1:19" ht="14.4" x14ac:dyDescent="0.3">
      <c r="A579" s="2">
        <v>44732</v>
      </c>
      <c r="B579" s="3">
        <v>152.38</v>
      </c>
      <c r="C579" s="3">
        <v>208.65</v>
      </c>
      <c r="D579" s="3">
        <v>270.89</v>
      </c>
      <c r="E579" s="3">
        <v>312.3</v>
      </c>
      <c r="F579" s="3">
        <v>215.13</v>
      </c>
      <c r="G579" s="3">
        <v>108.84</v>
      </c>
      <c r="H579" s="3">
        <v>114.13</v>
      </c>
      <c r="I579" s="1">
        <f>(I578+I580)/2</f>
        <v>113.03</v>
      </c>
      <c r="J579" s="1">
        <f>(J578+J580)/2</f>
        <v>88.800000000000011</v>
      </c>
      <c r="K579" s="3">
        <v>24.2</v>
      </c>
      <c r="L579" s="3">
        <v>66350.31</v>
      </c>
      <c r="M579" s="3">
        <v>48323.45</v>
      </c>
      <c r="N579" s="5">
        <f>FORECAST(A579,N573:N578,A573:A578)</f>
        <v>36.727837837839616</v>
      </c>
      <c r="O579" s="3">
        <v>6.2330000000000003E-2</v>
      </c>
      <c r="P579" s="3">
        <v>6.7130000000000001</v>
      </c>
      <c r="Q579" s="1">
        <f>AVERAGE(Q578,Q580)</f>
        <v>92.07</v>
      </c>
      <c r="R579" s="5">
        <f>AVERAGE(R578,R580)</f>
        <v>121.65</v>
      </c>
      <c r="S579" s="3">
        <v>168.9</v>
      </c>
    </row>
    <row r="580" spans="1:19" ht="14.4" x14ac:dyDescent="0.3">
      <c r="A580" s="2">
        <v>44733</v>
      </c>
      <c r="B580" s="3">
        <v>152.38</v>
      </c>
      <c r="C580" s="3">
        <v>208.65</v>
      </c>
      <c r="D580" s="3">
        <v>270.89</v>
      </c>
      <c r="E580" s="3">
        <v>312.3</v>
      </c>
      <c r="F580" s="3">
        <v>215.13</v>
      </c>
      <c r="G580" s="3">
        <v>110.65</v>
      </c>
      <c r="H580" s="3">
        <v>114.65</v>
      </c>
      <c r="I580" s="3">
        <v>113.34</v>
      </c>
      <c r="J580" s="3">
        <v>91.48</v>
      </c>
      <c r="K580" s="3">
        <v>24.85</v>
      </c>
      <c r="L580" s="3">
        <v>66747.23</v>
      </c>
      <c r="M580" s="3">
        <v>48658.86</v>
      </c>
      <c r="N580" s="3">
        <v>37.325000000000003</v>
      </c>
      <c r="O580" s="3">
        <v>6.2770000000000006E-2</v>
      </c>
      <c r="P580" s="3">
        <v>6.8079999999999998</v>
      </c>
      <c r="Q580" s="3">
        <v>93.81</v>
      </c>
      <c r="R580" s="3">
        <v>125.56</v>
      </c>
      <c r="S580" s="3">
        <v>174.05</v>
      </c>
    </row>
    <row r="581" spans="1:19" ht="14.4" x14ac:dyDescent="0.3">
      <c r="A581" s="2">
        <v>44734</v>
      </c>
      <c r="B581" s="3">
        <v>152.38</v>
      </c>
      <c r="C581" s="3">
        <v>208.65</v>
      </c>
      <c r="D581" s="3">
        <v>270.89</v>
      </c>
      <c r="E581" s="3">
        <v>312.3</v>
      </c>
      <c r="F581" s="3">
        <v>215.13</v>
      </c>
      <c r="G581" s="3">
        <v>106.19</v>
      </c>
      <c r="H581" s="3">
        <v>111.74</v>
      </c>
      <c r="I581" s="3">
        <v>112.34</v>
      </c>
      <c r="J581" s="3">
        <v>87.86</v>
      </c>
      <c r="K581" s="3">
        <v>24.35</v>
      </c>
      <c r="L581" s="3">
        <v>65712.679999999993</v>
      </c>
      <c r="M581" s="3">
        <v>47650.02</v>
      </c>
      <c r="N581" s="3">
        <v>37.11</v>
      </c>
      <c r="O581" s="3">
        <v>6.2810000000000005E-2</v>
      </c>
      <c r="P581" s="3">
        <v>6.8579999999999997</v>
      </c>
      <c r="Q581" s="3">
        <v>93.96</v>
      </c>
      <c r="R581" s="3">
        <v>127.17</v>
      </c>
      <c r="S581" s="3">
        <v>169.75</v>
      </c>
    </row>
    <row r="582" spans="1:19" ht="14.4" x14ac:dyDescent="0.3">
      <c r="A582" s="2">
        <v>44735</v>
      </c>
      <c r="B582" s="3">
        <v>152.38</v>
      </c>
      <c r="C582" s="3">
        <v>208.65</v>
      </c>
      <c r="D582" s="3">
        <v>270.89</v>
      </c>
      <c r="E582" s="3">
        <v>312.3</v>
      </c>
      <c r="F582" s="3">
        <v>215.13</v>
      </c>
      <c r="G582" s="3">
        <v>104.27</v>
      </c>
      <c r="H582" s="3">
        <v>110.05</v>
      </c>
      <c r="I582" s="3">
        <v>111.86</v>
      </c>
      <c r="J582" s="3">
        <v>85.21</v>
      </c>
      <c r="K582" s="3">
        <v>24.7</v>
      </c>
      <c r="L582" s="3">
        <v>65295.42</v>
      </c>
      <c r="M582" s="3">
        <v>47031.81</v>
      </c>
      <c r="N582" s="3">
        <v>37.130000000000003</v>
      </c>
      <c r="O582" s="3">
        <v>6.2630000000000005E-2</v>
      </c>
      <c r="P582" s="3">
        <v>6.2389999999999999</v>
      </c>
      <c r="Q582" s="3">
        <v>96.68</v>
      </c>
      <c r="R582" s="3">
        <v>133.345</v>
      </c>
      <c r="S582" s="3">
        <v>171</v>
      </c>
    </row>
    <row r="583" spans="1:19" ht="14.4" x14ac:dyDescent="0.3">
      <c r="A583" s="2">
        <v>44736</v>
      </c>
      <c r="B583" s="3">
        <v>180.69</v>
      </c>
      <c r="C583" s="3">
        <v>269.37</v>
      </c>
      <c r="D583" s="3">
        <v>323.82</v>
      </c>
      <c r="E583" s="3">
        <v>354.25</v>
      </c>
      <c r="F583" s="3">
        <v>216.24</v>
      </c>
      <c r="G583" s="3">
        <v>107.62</v>
      </c>
      <c r="H583" s="3">
        <v>113.12</v>
      </c>
      <c r="I583" s="3">
        <v>112.3</v>
      </c>
      <c r="J583" s="3">
        <v>86.9</v>
      </c>
      <c r="K583" s="3">
        <v>24.5</v>
      </c>
      <c r="L583" s="3">
        <v>66348.75</v>
      </c>
      <c r="M583" s="3">
        <v>47129.7</v>
      </c>
      <c r="N583" s="3">
        <v>37.094999999999999</v>
      </c>
      <c r="O583" s="3">
        <v>6.3240000000000005E-2</v>
      </c>
      <c r="P583" s="3">
        <v>6.22</v>
      </c>
      <c r="Q583" s="3">
        <v>97.91</v>
      </c>
      <c r="R583" s="3">
        <v>128.505</v>
      </c>
      <c r="S583" s="3">
        <v>174.1</v>
      </c>
    </row>
    <row r="584" spans="1:19" ht="14.4" x14ac:dyDescent="0.3">
      <c r="A584" s="2">
        <v>44739</v>
      </c>
      <c r="B584" s="3">
        <v>180.69</v>
      </c>
      <c r="C584" s="3">
        <v>269.37</v>
      </c>
      <c r="D584" s="3">
        <v>323.82</v>
      </c>
      <c r="E584" s="3">
        <v>354.25</v>
      </c>
      <c r="F584" s="3">
        <v>216.24</v>
      </c>
      <c r="G584" s="3">
        <v>109.57</v>
      </c>
      <c r="H584" s="3">
        <v>115.09</v>
      </c>
      <c r="I584" s="3">
        <v>112.7</v>
      </c>
      <c r="J584" s="3">
        <v>89.03</v>
      </c>
      <c r="K584" s="3">
        <v>25.55</v>
      </c>
      <c r="L584" s="3">
        <v>67826.78</v>
      </c>
      <c r="M584" s="3">
        <v>47719.22</v>
      </c>
      <c r="N584" s="3">
        <v>37.090000000000003</v>
      </c>
      <c r="O584" s="3">
        <v>6.3009999999999997E-2</v>
      </c>
      <c r="P584" s="3">
        <v>6.5010000000000003</v>
      </c>
      <c r="Q584" s="3">
        <v>98.68</v>
      </c>
      <c r="R584" s="3">
        <v>129.46</v>
      </c>
      <c r="S584" s="3">
        <v>174.9</v>
      </c>
    </row>
    <row r="585" spans="1:19" ht="14.4" x14ac:dyDescent="0.3">
      <c r="A585" s="2">
        <v>44740</v>
      </c>
      <c r="B585" s="3">
        <v>180.69</v>
      </c>
      <c r="C585" s="3">
        <v>269.37</v>
      </c>
      <c r="D585" s="3">
        <v>323.82</v>
      </c>
      <c r="E585" s="3">
        <v>354.25</v>
      </c>
      <c r="F585" s="3">
        <v>216.24</v>
      </c>
      <c r="G585" s="3">
        <v>111.76</v>
      </c>
      <c r="H585" s="3">
        <v>117.98</v>
      </c>
      <c r="I585" s="3">
        <v>113.11</v>
      </c>
      <c r="J585" s="3">
        <v>91.5</v>
      </c>
      <c r="K585" s="3">
        <v>26.25</v>
      </c>
      <c r="L585" s="3">
        <v>68058.12</v>
      </c>
      <c r="M585" s="3">
        <v>48092.4</v>
      </c>
      <c r="N585" s="3">
        <v>37</v>
      </c>
      <c r="O585" s="3">
        <v>6.2120000000000002E-2</v>
      </c>
      <c r="P585" s="3">
        <v>6.5510000000000002</v>
      </c>
      <c r="Q585" s="3">
        <v>96.75</v>
      </c>
      <c r="R585" s="3">
        <v>129.17500000000001</v>
      </c>
      <c r="S585" s="3">
        <v>167.15</v>
      </c>
    </row>
    <row r="586" spans="1:19" ht="14.4" x14ac:dyDescent="0.3">
      <c r="A586" s="2">
        <v>44741</v>
      </c>
      <c r="B586" s="3">
        <v>180.69</v>
      </c>
      <c r="C586" s="3">
        <v>269.37</v>
      </c>
      <c r="D586" s="3">
        <v>323.82</v>
      </c>
      <c r="E586" s="3">
        <v>354.25</v>
      </c>
      <c r="F586" s="3">
        <v>216.24</v>
      </c>
      <c r="G586" s="3">
        <v>109.78</v>
      </c>
      <c r="H586" s="3">
        <v>116.26</v>
      </c>
      <c r="I586" s="3">
        <v>113.02</v>
      </c>
      <c r="J586" s="3">
        <v>88.12</v>
      </c>
      <c r="K586" s="3">
        <v>22.65</v>
      </c>
      <c r="L586" s="3">
        <v>67747.41</v>
      </c>
      <c r="M586" s="3">
        <v>47577.07</v>
      </c>
      <c r="N586" s="3">
        <v>37.159999999999997</v>
      </c>
      <c r="O586" s="3">
        <v>6.1559999999999997E-2</v>
      </c>
      <c r="P586" s="3">
        <v>6.4980000000000002</v>
      </c>
      <c r="Q586" s="3">
        <v>96.41</v>
      </c>
      <c r="R586" s="3">
        <v>139.58799999999999</v>
      </c>
      <c r="S586" s="3">
        <v>161.30000000000001</v>
      </c>
    </row>
    <row r="587" spans="1:19" ht="14.4" x14ac:dyDescent="0.3">
      <c r="A587" s="2">
        <v>44742</v>
      </c>
      <c r="B587" s="3">
        <v>180.69</v>
      </c>
      <c r="C587" s="3">
        <v>269.37</v>
      </c>
      <c r="D587" s="3">
        <v>323.82</v>
      </c>
      <c r="E587" s="3">
        <v>354.25</v>
      </c>
      <c r="F587" s="3">
        <v>216.24</v>
      </c>
      <c r="G587" s="3">
        <v>105.76</v>
      </c>
      <c r="H587" s="3">
        <v>114.81</v>
      </c>
      <c r="I587" s="3">
        <v>113.24</v>
      </c>
      <c r="J587" s="3">
        <v>85.64</v>
      </c>
      <c r="K587" s="3">
        <v>22.5</v>
      </c>
      <c r="L587" s="3">
        <v>66223.31</v>
      </c>
      <c r="M587" s="3">
        <v>47290.559999999998</v>
      </c>
      <c r="N587" s="3">
        <v>38.659999999999997</v>
      </c>
      <c r="O587" s="3">
        <v>6.1400000000000003E-2</v>
      </c>
      <c r="P587" s="3">
        <v>5.4240000000000004</v>
      </c>
      <c r="Q587" s="3">
        <v>94.04</v>
      </c>
      <c r="R587" s="3">
        <v>144.51499999999999</v>
      </c>
      <c r="S587" s="3">
        <v>158.75</v>
      </c>
    </row>
    <row r="588" spans="1:19" ht="14.4" x14ac:dyDescent="0.3">
      <c r="A588" s="2">
        <v>44743</v>
      </c>
      <c r="B588" s="3">
        <v>155.08000000000001</v>
      </c>
      <c r="C588" s="3">
        <v>235.17</v>
      </c>
      <c r="D588" s="3">
        <v>301.85000000000002</v>
      </c>
      <c r="E588" s="3">
        <v>332.33</v>
      </c>
      <c r="F588" s="3">
        <v>215.96</v>
      </c>
      <c r="G588" s="3">
        <v>108.43</v>
      </c>
      <c r="H588" s="3">
        <v>111.63</v>
      </c>
      <c r="I588" s="3">
        <v>107.89</v>
      </c>
      <c r="J588" s="3">
        <v>87.55</v>
      </c>
      <c r="K588" s="5">
        <f>FORECAST(A588,K582:K587,A582:A587)</f>
        <v>23.404291845494299</v>
      </c>
      <c r="L588" s="3">
        <v>65661.73</v>
      </c>
      <c r="M588" s="3">
        <v>46246.23</v>
      </c>
      <c r="N588" s="3">
        <v>38.674999999999997</v>
      </c>
      <c r="O588" s="3">
        <v>6.0940000000000001E-2</v>
      </c>
      <c r="P588" s="3">
        <v>5.73</v>
      </c>
      <c r="Q588" s="3">
        <v>95.23</v>
      </c>
      <c r="R588" s="3">
        <v>147.785</v>
      </c>
      <c r="S588" s="3">
        <v>159.75</v>
      </c>
    </row>
    <row r="589" spans="1:19" ht="14.4" x14ac:dyDescent="0.3">
      <c r="A589" s="2">
        <v>44746</v>
      </c>
      <c r="B589" s="3">
        <v>155.08000000000001</v>
      </c>
      <c r="C589" s="3">
        <v>235.17</v>
      </c>
      <c r="D589" s="3">
        <v>301.85000000000002</v>
      </c>
      <c r="E589" s="3">
        <v>332.33</v>
      </c>
      <c r="F589" s="3">
        <v>215.96</v>
      </c>
      <c r="G589" s="3">
        <v>110.4</v>
      </c>
      <c r="H589" s="3">
        <v>113.5</v>
      </c>
      <c r="I589" s="1">
        <f>(I588+I590)/2</f>
        <v>104.31</v>
      </c>
      <c r="J589" s="1">
        <f>(J588+J590)/2</f>
        <v>86.18</v>
      </c>
      <c r="K589" s="3">
        <v>22.5</v>
      </c>
      <c r="L589" s="3">
        <v>67024.820000000007</v>
      </c>
      <c r="M589" s="3">
        <v>48397.02</v>
      </c>
      <c r="N589" s="5">
        <f>FORECAST(A589,N583:N588,A583:A588)</f>
        <v>39.017432432432543</v>
      </c>
      <c r="O589" s="3">
        <v>6.1179999999999998E-2</v>
      </c>
      <c r="P589" s="3">
        <v>5.8529999999999998</v>
      </c>
      <c r="Q589" s="1">
        <f>AVERAGE(Q588,Q590)</f>
        <v>95.625</v>
      </c>
      <c r="R589" s="5">
        <f>AVERAGE(R588,R590)</f>
        <v>156.43</v>
      </c>
      <c r="S589" s="3">
        <v>158.75</v>
      </c>
    </row>
    <row r="590" spans="1:19" ht="14.4" x14ac:dyDescent="0.3">
      <c r="A590" s="2">
        <v>44747</v>
      </c>
      <c r="B590" s="3">
        <v>155.08000000000001</v>
      </c>
      <c r="C590" s="3">
        <v>235.17</v>
      </c>
      <c r="D590" s="3">
        <v>301.85000000000002</v>
      </c>
      <c r="E590" s="3">
        <v>332.33</v>
      </c>
      <c r="F590" s="3">
        <v>215.96</v>
      </c>
      <c r="G590" s="3">
        <v>99.5</v>
      </c>
      <c r="H590" s="3">
        <v>102.77</v>
      </c>
      <c r="I590" s="3">
        <v>100.73</v>
      </c>
      <c r="J590" s="3">
        <v>84.81</v>
      </c>
      <c r="K590" s="3">
        <v>22.85</v>
      </c>
      <c r="L590" s="3">
        <v>65005.81</v>
      </c>
      <c r="M590" s="3">
        <v>45891.74</v>
      </c>
      <c r="N590" s="3">
        <v>40.094999999999999</v>
      </c>
      <c r="O590" s="3">
        <v>6.0470000000000003E-2</v>
      </c>
      <c r="P590" s="3">
        <v>5.5229999999999997</v>
      </c>
      <c r="Q590" s="3">
        <v>96.02</v>
      </c>
      <c r="R590" s="3">
        <v>165.07499999999999</v>
      </c>
      <c r="S590" s="3">
        <v>154.5</v>
      </c>
    </row>
    <row r="591" spans="1:19" ht="14.4" x14ac:dyDescent="0.3">
      <c r="A591" s="2">
        <v>44748</v>
      </c>
      <c r="B591" s="3">
        <v>155.08000000000001</v>
      </c>
      <c r="C591" s="3">
        <v>235.17</v>
      </c>
      <c r="D591" s="3">
        <v>301.85000000000002</v>
      </c>
      <c r="E591" s="3">
        <v>332.33</v>
      </c>
      <c r="F591" s="3">
        <v>215.96</v>
      </c>
      <c r="G591" s="3">
        <v>98.53</v>
      </c>
      <c r="H591" s="3">
        <v>100.69</v>
      </c>
      <c r="I591" s="3">
        <v>98.98</v>
      </c>
      <c r="J591" s="3">
        <v>83.28</v>
      </c>
      <c r="K591" s="3">
        <v>21.75</v>
      </c>
      <c r="L591" s="3">
        <v>65756.36</v>
      </c>
      <c r="M591" s="3">
        <v>47514.16</v>
      </c>
      <c r="N591" s="3">
        <v>38.61</v>
      </c>
      <c r="O591" s="3">
        <v>5.9459999999999999E-2</v>
      </c>
      <c r="P591" s="3">
        <v>5.51</v>
      </c>
      <c r="Q591" s="3">
        <v>95.5</v>
      </c>
      <c r="R591" s="3">
        <v>171</v>
      </c>
      <c r="S591" s="3">
        <v>159.69999999999999</v>
      </c>
    </row>
    <row r="592" spans="1:19" ht="14.4" x14ac:dyDescent="0.3">
      <c r="A592" s="2">
        <v>44749</v>
      </c>
      <c r="B592" s="3">
        <v>155.08000000000001</v>
      </c>
      <c r="C592" s="3">
        <v>235.17</v>
      </c>
      <c r="D592" s="3">
        <v>301.85000000000002</v>
      </c>
      <c r="E592" s="3">
        <v>332.33</v>
      </c>
      <c r="F592" s="3">
        <v>215.96</v>
      </c>
      <c r="G592" s="3">
        <v>102.73</v>
      </c>
      <c r="H592" s="3">
        <v>104.65</v>
      </c>
      <c r="I592" s="3">
        <v>102.02</v>
      </c>
      <c r="J592" s="3">
        <v>85.94</v>
      </c>
      <c r="K592" s="3">
        <v>21.9</v>
      </c>
      <c r="L592" s="3">
        <v>67909.289999999994</v>
      </c>
      <c r="M592" s="3">
        <v>47866.1</v>
      </c>
      <c r="N592" s="3">
        <v>39.57</v>
      </c>
      <c r="O592" s="3">
        <v>5.9819999999999998E-2</v>
      </c>
      <c r="P592" s="3">
        <v>6.2969999999999997</v>
      </c>
      <c r="Q592" s="3">
        <v>96.68</v>
      </c>
      <c r="R592" s="3">
        <v>183.185</v>
      </c>
      <c r="S592" s="3">
        <v>163.69999999999999</v>
      </c>
    </row>
    <row r="593" spans="1:19" ht="14.4" x14ac:dyDescent="0.3">
      <c r="A593" s="2">
        <v>44750</v>
      </c>
      <c r="B593" s="3">
        <v>167.09</v>
      </c>
      <c r="C593" s="3">
        <v>251.57</v>
      </c>
      <c r="D593" s="3">
        <v>322.37</v>
      </c>
      <c r="E593" s="3">
        <v>348.09</v>
      </c>
      <c r="F593" s="3">
        <v>215.06</v>
      </c>
      <c r="G593" s="3">
        <v>104.79</v>
      </c>
      <c r="H593" s="3">
        <v>107.02</v>
      </c>
      <c r="I593" s="3">
        <v>104.22</v>
      </c>
      <c r="J593" s="3">
        <v>86.08</v>
      </c>
      <c r="K593" s="3">
        <v>22.3</v>
      </c>
      <c r="L593" s="3">
        <v>68327.399999999994</v>
      </c>
      <c r="M593" s="3">
        <v>49875.39</v>
      </c>
      <c r="N593" s="3">
        <v>39.384999999999998</v>
      </c>
      <c r="O593" s="3">
        <v>5.9249999999999997E-2</v>
      </c>
      <c r="P593" s="3">
        <v>6.0339999999999998</v>
      </c>
      <c r="Q593" s="3">
        <v>95.87</v>
      </c>
      <c r="R593" s="3">
        <v>175.21</v>
      </c>
      <c r="S593" s="3">
        <v>163.85</v>
      </c>
    </row>
    <row r="594" spans="1:19" ht="14.4" x14ac:dyDescent="0.3">
      <c r="A594" s="2">
        <v>44753</v>
      </c>
      <c r="B594" s="3">
        <v>167.09</v>
      </c>
      <c r="C594" s="3">
        <v>251.57</v>
      </c>
      <c r="D594" s="3">
        <v>322.37</v>
      </c>
      <c r="E594" s="3">
        <v>348.09</v>
      </c>
      <c r="F594" s="3">
        <v>215.06</v>
      </c>
      <c r="G594" s="3">
        <v>104.09</v>
      </c>
      <c r="H594" s="3">
        <v>107.1</v>
      </c>
      <c r="I594" s="3">
        <v>104.28</v>
      </c>
      <c r="J594" s="3">
        <v>85.64</v>
      </c>
      <c r="K594" s="3">
        <v>21.85</v>
      </c>
      <c r="L594" s="3">
        <v>67226.75</v>
      </c>
      <c r="M594" s="3">
        <v>48452.73</v>
      </c>
      <c r="N594" s="3">
        <v>38.840000000000003</v>
      </c>
      <c r="O594" s="3">
        <v>5.8409999999999997E-2</v>
      </c>
      <c r="P594" s="3">
        <v>6.319</v>
      </c>
      <c r="Q594" s="3">
        <v>94.54</v>
      </c>
      <c r="R594" s="3">
        <v>164.52</v>
      </c>
      <c r="S594" s="3">
        <v>163.44999999999999</v>
      </c>
    </row>
    <row r="595" spans="1:19" ht="14.4" x14ac:dyDescent="0.3">
      <c r="A595" s="2">
        <v>44754</v>
      </c>
      <c r="B595" s="3">
        <v>167.09</v>
      </c>
      <c r="C595" s="3">
        <v>251.57</v>
      </c>
      <c r="D595" s="3">
        <v>322.37</v>
      </c>
      <c r="E595" s="3">
        <v>348.09</v>
      </c>
      <c r="F595" s="3">
        <v>215.06</v>
      </c>
      <c r="G595" s="3">
        <v>95.84</v>
      </c>
      <c r="H595" s="3">
        <v>99.49</v>
      </c>
      <c r="I595" s="3">
        <v>99.14</v>
      </c>
      <c r="J595" s="3">
        <v>84.5</v>
      </c>
      <c r="K595" s="3">
        <v>21.85</v>
      </c>
      <c r="L595" s="3">
        <v>67163.710000000006</v>
      </c>
      <c r="M595" s="3">
        <v>46847.05</v>
      </c>
      <c r="N595" s="3">
        <v>38.630000000000003</v>
      </c>
      <c r="O595" s="3">
        <v>5.8700000000000002E-2</v>
      </c>
      <c r="P595" s="3">
        <v>6.0209999999999999</v>
      </c>
      <c r="Q595" s="3">
        <v>93.34</v>
      </c>
      <c r="R595" s="3">
        <v>172.61</v>
      </c>
      <c r="S595" s="3">
        <v>163</v>
      </c>
    </row>
    <row r="596" spans="1:19" ht="14.4" x14ac:dyDescent="0.3">
      <c r="A596" s="2">
        <v>44755</v>
      </c>
      <c r="B596" s="3">
        <v>167.09</v>
      </c>
      <c r="C596" s="3">
        <v>251.57</v>
      </c>
      <c r="D596" s="3">
        <v>322.37</v>
      </c>
      <c r="E596" s="3">
        <v>348.09</v>
      </c>
      <c r="F596" s="3">
        <v>215.06</v>
      </c>
      <c r="G596" s="3">
        <v>96.3</v>
      </c>
      <c r="H596" s="3">
        <v>99.57</v>
      </c>
      <c r="I596" s="3">
        <v>100</v>
      </c>
      <c r="J596" s="3">
        <v>84.84</v>
      </c>
      <c r="K596" s="3">
        <v>21.85</v>
      </c>
      <c r="L596" s="3">
        <v>66142.69</v>
      </c>
      <c r="M596" s="3">
        <v>46644.9</v>
      </c>
      <c r="N596" s="3">
        <v>39.204999999999998</v>
      </c>
      <c r="O596" s="3">
        <v>5.91E-2</v>
      </c>
      <c r="P596" s="3">
        <v>6.5890000000000004</v>
      </c>
      <c r="Q596" s="3">
        <v>94.49</v>
      </c>
      <c r="R596" s="3">
        <v>180.505</v>
      </c>
      <c r="S596" s="3">
        <v>163.55000000000001</v>
      </c>
    </row>
    <row r="597" spans="1:19" ht="14.4" x14ac:dyDescent="0.3">
      <c r="A597" s="2">
        <v>44756</v>
      </c>
      <c r="B597" s="3">
        <v>167.09</v>
      </c>
      <c r="C597" s="3">
        <v>251.57</v>
      </c>
      <c r="D597" s="3">
        <v>322.37</v>
      </c>
      <c r="E597" s="3">
        <v>348.09</v>
      </c>
      <c r="F597" s="3">
        <v>215.06</v>
      </c>
      <c r="G597" s="3">
        <v>95.78</v>
      </c>
      <c r="H597" s="3">
        <v>99.1</v>
      </c>
      <c r="I597" s="3">
        <v>99.7</v>
      </c>
      <c r="J597" s="3">
        <v>83.14</v>
      </c>
      <c r="K597" s="3">
        <v>22.05</v>
      </c>
      <c r="L597" s="3">
        <v>64712.88</v>
      </c>
      <c r="M597" s="3">
        <v>43361.33</v>
      </c>
      <c r="N597" s="3">
        <v>39.215000000000003</v>
      </c>
      <c r="O597" s="3">
        <v>5.8209999999999998E-2</v>
      </c>
      <c r="P597" s="3">
        <v>6.5110000000000001</v>
      </c>
      <c r="Q597" s="3">
        <v>93.62</v>
      </c>
      <c r="R597" s="3">
        <v>175.035</v>
      </c>
      <c r="S597" s="3">
        <v>162.15</v>
      </c>
    </row>
    <row r="598" spans="1:19" ht="14.4" x14ac:dyDescent="0.3">
      <c r="A598" s="2">
        <v>44757</v>
      </c>
      <c r="B598" s="3">
        <v>163.97</v>
      </c>
      <c r="C598" s="3">
        <v>249.99</v>
      </c>
      <c r="D598" s="3">
        <v>317.43</v>
      </c>
      <c r="E598" s="3">
        <v>342.5</v>
      </c>
      <c r="F598" s="3">
        <v>214.23</v>
      </c>
      <c r="G598" s="3">
        <v>97.59</v>
      </c>
      <c r="H598" s="3">
        <v>101.16</v>
      </c>
      <c r="I598" s="3">
        <v>101.03</v>
      </c>
      <c r="J598" s="3">
        <v>84.54</v>
      </c>
      <c r="K598" s="3">
        <v>22.1</v>
      </c>
      <c r="L598" s="3">
        <v>65088.9</v>
      </c>
      <c r="M598" s="3">
        <v>42908.639999999999</v>
      </c>
      <c r="N598" s="3">
        <v>39.081000000000003</v>
      </c>
      <c r="O598" s="3">
        <v>5.8549999999999998E-2</v>
      </c>
      <c r="P598" s="3">
        <v>6.9260000000000002</v>
      </c>
      <c r="Q598" s="3">
        <v>95.83</v>
      </c>
      <c r="R598" s="3">
        <v>159.565</v>
      </c>
      <c r="S598" s="3">
        <v>163.1</v>
      </c>
    </row>
    <row r="599" spans="1:19" ht="14.4" x14ac:dyDescent="0.3">
      <c r="A599" s="2">
        <v>44760</v>
      </c>
      <c r="B599" s="3">
        <v>163.97</v>
      </c>
      <c r="C599" s="3">
        <v>249.99</v>
      </c>
      <c r="D599" s="3">
        <v>317.43</v>
      </c>
      <c r="E599" s="3">
        <v>342.5</v>
      </c>
      <c r="F599" s="3">
        <v>214.23</v>
      </c>
      <c r="G599" s="3">
        <v>102.6</v>
      </c>
      <c r="H599" s="3">
        <v>106.27</v>
      </c>
      <c r="I599" s="3">
        <v>103.58</v>
      </c>
      <c r="J599" s="3">
        <v>86.1</v>
      </c>
      <c r="K599" s="3">
        <v>22.8</v>
      </c>
      <c r="L599" s="3">
        <v>67016.14</v>
      </c>
      <c r="M599" s="3">
        <v>44606.44</v>
      </c>
      <c r="N599" s="3">
        <v>36.594999999999999</v>
      </c>
      <c r="O599" s="3">
        <v>5.8380000000000001E-2</v>
      </c>
      <c r="P599" s="3">
        <v>7.3819999999999997</v>
      </c>
      <c r="Q599" s="3">
        <v>94.88</v>
      </c>
      <c r="R599" s="3">
        <v>157.26</v>
      </c>
      <c r="S599" s="3">
        <v>166.55</v>
      </c>
    </row>
    <row r="600" spans="1:19" ht="14.4" x14ac:dyDescent="0.3">
      <c r="A600" s="2">
        <v>44761</v>
      </c>
      <c r="B600" s="3">
        <v>163.97</v>
      </c>
      <c r="C600" s="3">
        <v>249.99</v>
      </c>
      <c r="D600" s="3">
        <v>317.43</v>
      </c>
      <c r="E600" s="3">
        <v>342.5</v>
      </c>
      <c r="F600" s="3">
        <v>214.23</v>
      </c>
      <c r="G600" s="3">
        <v>104.22</v>
      </c>
      <c r="H600" s="3">
        <v>107.35</v>
      </c>
      <c r="I600" s="3">
        <v>103.78</v>
      </c>
      <c r="J600" s="3">
        <v>88.27</v>
      </c>
      <c r="K600" s="3">
        <v>22.85</v>
      </c>
      <c r="L600" s="3">
        <v>67785.039999999994</v>
      </c>
      <c r="M600" s="3">
        <v>44124.800000000003</v>
      </c>
      <c r="N600" s="3">
        <v>37.484999999999999</v>
      </c>
      <c r="O600" s="3">
        <v>5.849E-2</v>
      </c>
      <c r="P600" s="3">
        <v>7.15</v>
      </c>
      <c r="Q600" s="3">
        <v>96.81</v>
      </c>
      <c r="R600" s="3">
        <v>154.45500000000001</v>
      </c>
      <c r="S600" s="3">
        <v>165.25</v>
      </c>
    </row>
    <row r="601" spans="1:19" ht="14.4" x14ac:dyDescent="0.3">
      <c r="A601" s="2">
        <v>44762</v>
      </c>
      <c r="B601" s="3">
        <v>163.97</v>
      </c>
      <c r="C601" s="3">
        <v>249.99</v>
      </c>
      <c r="D601" s="3">
        <v>317.43</v>
      </c>
      <c r="E601" s="3">
        <v>342.5</v>
      </c>
      <c r="F601" s="3">
        <v>214.23</v>
      </c>
      <c r="G601" s="3">
        <v>102.26</v>
      </c>
      <c r="H601" s="3">
        <v>106.92</v>
      </c>
      <c r="I601" s="3">
        <v>103.54</v>
      </c>
      <c r="J601" s="3">
        <v>89.24</v>
      </c>
      <c r="K601" s="3">
        <v>22.8</v>
      </c>
      <c r="L601" s="3">
        <v>67652.460000000006</v>
      </c>
      <c r="M601" s="3">
        <v>44004.43</v>
      </c>
      <c r="N601" s="3">
        <v>38.17</v>
      </c>
      <c r="O601" s="3">
        <v>5.8259999999999999E-2</v>
      </c>
      <c r="P601" s="3">
        <v>7.899</v>
      </c>
      <c r="Q601" s="3">
        <v>98.44</v>
      </c>
      <c r="R601" s="3">
        <v>155.04</v>
      </c>
      <c r="S601" s="3">
        <v>164.55</v>
      </c>
    </row>
    <row r="602" spans="1:19" ht="14.4" x14ac:dyDescent="0.3">
      <c r="A602" s="2">
        <v>44763</v>
      </c>
      <c r="B602" s="3">
        <v>163.97</v>
      </c>
      <c r="C602" s="3">
        <v>249.99</v>
      </c>
      <c r="D602" s="3">
        <v>317.43</v>
      </c>
      <c r="E602" s="3">
        <v>342.5</v>
      </c>
      <c r="F602" s="3">
        <v>214.23</v>
      </c>
      <c r="G602" s="3">
        <v>96.35</v>
      </c>
      <c r="H602" s="3">
        <v>103.86</v>
      </c>
      <c r="I602" s="3">
        <v>102.55</v>
      </c>
      <c r="J602" s="3">
        <v>87.75</v>
      </c>
      <c r="K602" s="3">
        <v>21.7</v>
      </c>
      <c r="L602" s="3">
        <v>67907.240000000005</v>
      </c>
      <c r="M602" s="3">
        <v>43613.37</v>
      </c>
      <c r="N602" s="3">
        <v>38.094999999999999</v>
      </c>
      <c r="O602" s="3">
        <v>5.858E-2</v>
      </c>
      <c r="P602" s="3">
        <v>7.8150000000000004</v>
      </c>
      <c r="Q602" s="3">
        <v>99.47</v>
      </c>
      <c r="R602" s="3">
        <v>155.6</v>
      </c>
      <c r="S602" s="3">
        <v>163.44999999999999</v>
      </c>
    </row>
    <row r="603" spans="1:19" ht="14.4" x14ac:dyDescent="0.3">
      <c r="A603" s="2">
        <v>44764</v>
      </c>
      <c r="B603" s="3">
        <v>144.63</v>
      </c>
      <c r="C603" s="3">
        <v>213.02</v>
      </c>
      <c r="D603" s="3">
        <v>285.76</v>
      </c>
      <c r="E603" s="3">
        <v>302.73</v>
      </c>
      <c r="F603" s="3">
        <v>225.35</v>
      </c>
      <c r="G603" s="3">
        <v>94.7</v>
      </c>
      <c r="H603" s="3">
        <v>103.2</v>
      </c>
      <c r="I603" s="3">
        <v>102.32</v>
      </c>
      <c r="J603" s="3">
        <v>87.08</v>
      </c>
      <c r="K603" s="3">
        <v>21.85</v>
      </c>
      <c r="L603" s="3">
        <v>68069.58</v>
      </c>
      <c r="M603" s="3">
        <v>45967.41</v>
      </c>
      <c r="N603" s="3">
        <v>38.99</v>
      </c>
      <c r="O603" s="3">
        <v>5.9360000000000003E-2</v>
      </c>
      <c r="P603" s="3">
        <v>8.1950000000000003</v>
      </c>
      <c r="Q603" s="3">
        <v>99.11</v>
      </c>
      <c r="R603" s="3">
        <v>159.86500000000001</v>
      </c>
      <c r="S603" s="3">
        <v>160.94999999999999</v>
      </c>
    </row>
    <row r="604" spans="1:19" ht="14.4" x14ac:dyDescent="0.3">
      <c r="A604" s="2">
        <v>44767</v>
      </c>
      <c r="B604" s="3">
        <v>144.63</v>
      </c>
      <c r="C604" s="3">
        <v>213.02</v>
      </c>
      <c r="D604" s="3">
        <v>285.76</v>
      </c>
      <c r="E604" s="3">
        <v>302.73</v>
      </c>
      <c r="F604" s="3">
        <v>225.35</v>
      </c>
      <c r="G604" s="3">
        <v>96.7</v>
      </c>
      <c r="H604" s="3">
        <v>105.15</v>
      </c>
      <c r="I604" s="3">
        <v>102.63</v>
      </c>
      <c r="J604" s="3">
        <v>89.98</v>
      </c>
      <c r="K604" s="3">
        <v>22</v>
      </c>
      <c r="L604" s="3">
        <v>67749.789999999994</v>
      </c>
      <c r="M604" s="3">
        <v>44507.1</v>
      </c>
      <c r="N604" s="3">
        <v>39.39</v>
      </c>
      <c r="O604" s="3">
        <v>5.9490000000000001E-2</v>
      </c>
      <c r="P604" s="3">
        <v>8.5709999999999997</v>
      </c>
      <c r="Q604" s="3">
        <v>98.97</v>
      </c>
      <c r="R604" s="3">
        <v>176.61500000000001</v>
      </c>
      <c r="S604" s="3">
        <v>158.5</v>
      </c>
    </row>
    <row r="605" spans="1:19" ht="14.4" x14ac:dyDescent="0.3">
      <c r="A605" s="2">
        <v>44768</v>
      </c>
      <c r="B605" s="3">
        <v>144.63</v>
      </c>
      <c r="C605" s="3">
        <v>213.02</v>
      </c>
      <c r="D605" s="3">
        <v>285.76</v>
      </c>
      <c r="E605" s="3">
        <v>302.73</v>
      </c>
      <c r="F605" s="3">
        <v>225.35</v>
      </c>
      <c r="G605" s="3">
        <v>94.98</v>
      </c>
      <c r="H605" s="3">
        <v>104.4</v>
      </c>
      <c r="I605" s="3">
        <v>102.66</v>
      </c>
      <c r="J605" s="3">
        <v>89.63</v>
      </c>
      <c r="K605" s="3">
        <v>22.6</v>
      </c>
      <c r="L605" s="3">
        <v>68421.8</v>
      </c>
      <c r="M605" s="3">
        <v>45560.45</v>
      </c>
      <c r="N605" s="3">
        <v>40.21</v>
      </c>
      <c r="O605" s="3">
        <v>5.8999999999999997E-2</v>
      </c>
      <c r="P605" s="3">
        <v>8.8249999999999993</v>
      </c>
      <c r="Q605" s="3">
        <v>97.64</v>
      </c>
      <c r="R605" s="3">
        <v>199.92</v>
      </c>
      <c r="S605" s="3">
        <v>154.15</v>
      </c>
    </row>
    <row r="606" spans="1:19" ht="14.4" x14ac:dyDescent="0.3">
      <c r="A606" s="2">
        <v>44769</v>
      </c>
      <c r="B606" s="3">
        <v>144.63</v>
      </c>
      <c r="C606" s="3">
        <v>213.02</v>
      </c>
      <c r="D606" s="3">
        <v>285.76</v>
      </c>
      <c r="E606" s="3">
        <v>302.73</v>
      </c>
      <c r="F606" s="3">
        <v>225.35</v>
      </c>
      <c r="G606" s="3">
        <v>97.26</v>
      </c>
      <c r="H606" s="3">
        <v>106.62</v>
      </c>
      <c r="I606" s="3">
        <v>102.75</v>
      </c>
      <c r="J606" s="3">
        <v>91.57</v>
      </c>
      <c r="K606" s="3">
        <v>22.6</v>
      </c>
      <c r="L606" s="3">
        <v>68424.97</v>
      </c>
      <c r="M606" s="3">
        <v>45636.4</v>
      </c>
      <c r="N606" s="3">
        <v>43.13</v>
      </c>
      <c r="O606" s="3">
        <v>5.9839999999999997E-2</v>
      </c>
      <c r="P606" s="3">
        <v>8.5540000000000003</v>
      </c>
      <c r="Q606" s="3">
        <v>97.51</v>
      </c>
      <c r="R606" s="3">
        <v>205.22499999999999</v>
      </c>
      <c r="S606" s="3">
        <v>154.80000000000001</v>
      </c>
    </row>
    <row r="607" spans="1:19" ht="14.4" x14ac:dyDescent="0.3">
      <c r="A607" s="2">
        <v>44770</v>
      </c>
      <c r="B607" s="3">
        <v>144.63</v>
      </c>
      <c r="C607" s="3">
        <v>213.02</v>
      </c>
      <c r="D607" s="3">
        <v>285.76</v>
      </c>
      <c r="E607" s="3">
        <v>302.73</v>
      </c>
      <c r="F607" s="3">
        <v>225.35</v>
      </c>
      <c r="G607" s="3">
        <v>96.42</v>
      </c>
      <c r="H607" s="3">
        <v>107.14</v>
      </c>
      <c r="I607" s="3">
        <v>102.8</v>
      </c>
      <c r="J607" s="3">
        <v>92.64</v>
      </c>
      <c r="K607" s="3">
        <v>22.65</v>
      </c>
      <c r="L607" s="3">
        <v>68610.75</v>
      </c>
      <c r="M607" s="3">
        <v>46292.2</v>
      </c>
      <c r="N607" s="3">
        <v>41.54</v>
      </c>
      <c r="O607" s="3">
        <v>6.062E-2</v>
      </c>
      <c r="P607" s="3">
        <v>8.1340000000000003</v>
      </c>
      <c r="Q607" s="3">
        <v>102.56</v>
      </c>
      <c r="R607" s="3">
        <v>198.93</v>
      </c>
      <c r="S607" s="3">
        <v>154.94999999999999</v>
      </c>
    </row>
    <row r="608" spans="1:19" ht="14.4" x14ac:dyDescent="0.3">
      <c r="A608" s="2">
        <v>44771</v>
      </c>
      <c r="B608" s="3">
        <v>166.43</v>
      </c>
      <c r="C608" s="3">
        <v>239.95</v>
      </c>
      <c r="D608" s="3">
        <v>316.32</v>
      </c>
      <c r="E608" s="3">
        <v>321.62</v>
      </c>
      <c r="F608" s="3">
        <v>224.48</v>
      </c>
      <c r="G608" s="3">
        <v>98.62</v>
      </c>
      <c r="H608" s="3">
        <v>110.01</v>
      </c>
      <c r="I608" s="3">
        <v>103.12</v>
      </c>
      <c r="J608" s="3">
        <v>96.93</v>
      </c>
      <c r="K608" s="3">
        <v>22.15</v>
      </c>
      <c r="L608" s="3">
        <v>68934.009999999995</v>
      </c>
      <c r="M608" s="3">
        <v>47158.64</v>
      </c>
      <c r="N608" s="3">
        <v>42.225000000000001</v>
      </c>
      <c r="O608" s="3">
        <v>6.0049999999999999E-2</v>
      </c>
      <c r="P608" s="3">
        <v>8.2289999999999992</v>
      </c>
      <c r="Q608" s="3">
        <v>101.99</v>
      </c>
      <c r="R608" s="3">
        <v>190.91499999999999</v>
      </c>
      <c r="S608" s="3">
        <v>159.6</v>
      </c>
    </row>
    <row r="609" spans="1:19" ht="14.4" x14ac:dyDescent="0.3">
      <c r="A609" s="2">
        <v>44774</v>
      </c>
      <c r="B609" s="3">
        <v>166.43</v>
      </c>
      <c r="C609" s="3">
        <v>239.95</v>
      </c>
      <c r="D609" s="3">
        <v>316.32</v>
      </c>
      <c r="E609" s="3">
        <v>321.62</v>
      </c>
      <c r="F609" s="3">
        <v>224.48</v>
      </c>
      <c r="G609" s="3">
        <v>93.89</v>
      </c>
      <c r="H609" s="3">
        <v>100.03</v>
      </c>
      <c r="I609" s="3">
        <v>97.87</v>
      </c>
      <c r="J609" s="3">
        <v>94.48</v>
      </c>
      <c r="K609" s="3">
        <v>22.2</v>
      </c>
      <c r="L609" s="3">
        <v>68642.59</v>
      </c>
      <c r="M609" s="3">
        <v>46999.56</v>
      </c>
      <c r="N609" s="3">
        <v>44.83</v>
      </c>
      <c r="O609" s="3">
        <v>6.0650000000000003E-2</v>
      </c>
      <c r="P609" s="3">
        <v>8.2829999999999995</v>
      </c>
      <c r="Q609" s="3">
        <v>100.4</v>
      </c>
      <c r="R609" s="3">
        <v>200.79499999999999</v>
      </c>
      <c r="S609" s="3">
        <v>166.8</v>
      </c>
    </row>
    <row r="610" spans="1:19" ht="14.4" x14ac:dyDescent="0.3">
      <c r="A610" s="2">
        <v>44775</v>
      </c>
      <c r="B610" s="3">
        <v>166.43</v>
      </c>
      <c r="C610" s="3">
        <v>239.95</v>
      </c>
      <c r="D610" s="3">
        <v>316.32</v>
      </c>
      <c r="E610" s="3">
        <v>321.62</v>
      </c>
      <c r="F610" s="3">
        <v>224.48</v>
      </c>
      <c r="G610" s="3">
        <v>94.42</v>
      </c>
      <c r="H610" s="3">
        <v>100.54</v>
      </c>
      <c r="I610" s="3">
        <v>99.4</v>
      </c>
      <c r="J610" s="3">
        <v>94.07</v>
      </c>
      <c r="K610" s="3">
        <v>21.75</v>
      </c>
      <c r="L610" s="3">
        <v>68002.23</v>
      </c>
      <c r="M610" s="3">
        <v>47264.94</v>
      </c>
      <c r="N610" s="3">
        <v>45.28</v>
      </c>
      <c r="O610" s="3">
        <v>5.9389999999999998E-2</v>
      </c>
      <c r="P610" s="3">
        <v>7.7060000000000004</v>
      </c>
      <c r="Q610" s="3">
        <v>100.66</v>
      </c>
      <c r="R610" s="3">
        <v>205.17500000000001</v>
      </c>
      <c r="S610" s="3">
        <v>166.2</v>
      </c>
    </row>
    <row r="611" spans="1:19" ht="14.4" x14ac:dyDescent="0.3">
      <c r="A611" s="2">
        <v>44776</v>
      </c>
      <c r="B611" s="3">
        <v>166.43</v>
      </c>
      <c r="C611" s="3">
        <v>239.95</v>
      </c>
      <c r="D611" s="3">
        <v>316.32</v>
      </c>
      <c r="E611" s="3">
        <v>321.62</v>
      </c>
      <c r="F611" s="3">
        <v>224.48</v>
      </c>
      <c r="G611" s="3">
        <v>90.66</v>
      </c>
      <c r="H611" s="3">
        <v>96.78</v>
      </c>
      <c r="I611" s="3">
        <v>95.97</v>
      </c>
      <c r="J611" s="3">
        <v>91.02</v>
      </c>
      <c r="K611" s="3">
        <v>21.7</v>
      </c>
      <c r="L611" s="3">
        <v>68610.570000000007</v>
      </c>
      <c r="M611" s="3">
        <v>46213.34</v>
      </c>
      <c r="N611" s="3">
        <v>45.95</v>
      </c>
      <c r="O611" s="3">
        <v>5.9659999999999998E-2</v>
      </c>
      <c r="P611" s="3">
        <v>8.266</v>
      </c>
      <c r="Q611" s="3">
        <v>103.02</v>
      </c>
      <c r="R611" s="3">
        <v>199.19499999999999</v>
      </c>
      <c r="S611" s="3">
        <v>166.35</v>
      </c>
    </row>
    <row r="612" spans="1:19" ht="14.4" x14ac:dyDescent="0.3">
      <c r="A612" s="2">
        <v>44777</v>
      </c>
      <c r="B612" s="3">
        <v>166.43</v>
      </c>
      <c r="C612" s="3">
        <v>239.95</v>
      </c>
      <c r="D612" s="3">
        <v>316.32</v>
      </c>
      <c r="E612" s="3">
        <v>321.62</v>
      </c>
      <c r="F612" s="3">
        <v>224.48</v>
      </c>
      <c r="G612" s="3">
        <v>88.54</v>
      </c>
      <c r="H612" s="3">
        <v>94.12</v>
      </c>
      <c r="I612" s="3">
        <v>94.08</v>
      </c>
      <c r="J612" s="3">
        <v>87.19</v>
      </c>
      <c r="K612" s="3">
        <v>21.8</v>
      </c>
      <c r="L612" s="3">
        <v>68717.02</v>
      </c>
      <c r="M612" s="3">
        <v>46269.38</v>
      </c>
      <c r="N612" s="3">
        <v>44.604999999999997</v>
      </c>
      <c r="O612" s="3">
        <v>6.0159999999999998E-2</v>
      </c>
      <c r="P612" s="3">
        <v>8.1219999999999999</v>
      </c>
      <c r="Q612" s="3">
        <v>107.44</v>
      </c>
      <c r="R612" s="3">
        <v>199.25</v>
      </c>
      <c r="S612" s="3">
        <v>163.30000000000001</v>
      </c>
    </row>
    <row r="613" spans="1:19" ht="14.4" x14ac:dyDescent="0.3">
      <c r="A613" s="2">
        <v>44778</v>
      </c>
      <c r="B613" s="3">
        <v>142.01</v>
      </c>
      <c r="C613" s="3">
        <v>210.93</v>
      </c>
      <c r="D613" s="3">
        <v>278.17</v>
      </c>
      <c r="E613" s="3">
        <v>319.38</v>
      </c>
      <c r="F613" s="3">
        <v>219.98</v>
      </c>
      <c r="G613" s="3">
        <v>89.01</v>
      </c>
      <c r="H613" s="3">
        <v>94.92</v>
      </c>
      <c r="I613" s="3">
        <v>94.41</v>
      </c>
      <c r="J613" s="3">
        <v>88.45</v>
      </c>
      <c r="K613" s="3">
        <v>21.45</v>
      </c>
      <c r="L613" s="3">
        <v>69519.27</v>
      </c>
      <c r="M613" s="3">
        <v>47378.42</v>
      </c>
      <c r="N613" s="3">
        <v>44.66</v>
      </c>
      <c r="O613" s="3">
        <v>5.9580000000000001E-2</v>
      </c>
      <c r="P613" s="3">
        <v>8.0640000000000001</v>
      </c>
      <c r="Q613" s="3">
        <v>105.02</v>
      </c>
      <c r="R613" s="3">
        <v>196.32</v>
      </c>
      <c r="S613" s="3">
        <v>165.5</v>
      </c>
    </row>
    <row r="614" spans="1:19" ht="14.4" x14ac:dyDescent="0.3">
      <c r="A614" s="2">
        <v>44781</v>
      </c>
      <c r="B614" s="3">
        <v>142.01</v>
      </c>
      <c r="C614" s="3">
        <v>210.93</v>
      </c>
      <c r="D614" s="3">
        <v>278.17</v>
      </c>
      <c r="E614" s="3">
        <v>319.38</v>
      </c>
      <c r="F614" s="3">
        <v>219.98</v>
      </c>
      <c r="G614" s="3">
        <v>90.76</v>
      </c>
      <c r="H614" s="3">
        <v>96.65</v>
      </c>
      <c r="I614" s="3">
        <v>96.04</v>
      </c>
      <c r="J614" s="3">
        <v>88.95</v>
      </c>
      <c r="K614" s="3">
        <v>21.8</v>
      </c>
      <c r="L614" s="3">
        <v>70266.13</v>
      </c>
      <c r="M614" s="3">
        <v>49550.720000000001</v>
      </c>
      <c r="N614" s="3">
        <v>44.47</v>
      </c>
      <c r="O614" s="3">
        <v>6.0159999999999998E-2</v>
      </c>
      <c r="P614" s="3">
        <v>7.5890000000000004</v>
      </c>
      <c r="Q614" s="3">
        <v>104.3</v>
      </c>
      <c r="R614" s="3">
        <v>193.05500000000001</v>
      </c>
      <c r="S614" s="3">
        <v>165.9</v>
      </c>
    </row>
    <row r="615" spans="1:19" ht="14.4" x14ac:dyDescent="0.3">
      <c r="A615" s="2">
        <v>44782</v>
      </c>
      <c r="B615" s="3">
        <v>142.01</v>
      </c>
      <c r="C615" s="3">
        <v>210.93</v>
      </c>
      <c r="D615" s="3">
        <v>278.17</v>
      </c>
      <c r="E615" s="3">
        <v>319.38</v>
      </c>
      <c r="F615" s="3">
        <v>219.98</v>
      </c>
      <c r="G615" s="3">
        <v>90.5</v>
      </c>
      <c r="H615" s="3">
        <v>96.31</v>
      </c>
      <c r="I615" s="3">
        <v>95.97</v>
      </c>
      <c r="J615" s="3">
        <v>90.59</v>
      </c>
      <c r="K615" s="3">
        <v>22.55</v>
      </c>
      <c r="L615" s="5">
        <f>FORECAST(A615,L609:L614,A609:A614)</f>
        <v>70467.847837837413</v>
      </c>
      <c r="M615" s="5">
        <f>FORECAST(A615,M609:M614,A609:A614)</f>
        <v>49142.542486485094</v>
      </c>
      <c r="N615" s="3">
        <v>44.62</v>
      </c>
      <c r="O615" s="3">
        <v>6.0220000000000003E-2</v>
      </c>
      <c r="P615" s="3">
        <v>7.8330000000000002</v>
      </c>
      <c r="Q615" s="3">
        <v>104.91</v>
      </c>
      <c r="R615" s="3">
        <v>192.185</v>
      </c>
      <c r="S615" s="1">
        <f>S616</f>
        <v>165</v>
      </c>
    </row>
    <row r="616" spans="1:19" ht="14.4" x14ac:dyDescent="0.3">
      <c r="A616" s="2">
        <v>44783</v>
      </c>
      <c r="B616" s="3">
        <v>142.01</v>
      </c>
      <c r="C616" s="3">
        <v>210.93</v>
      </c>
      <c r="D616" s="3">
        <v>278.17</v>
      </c>
      <c r="E616" s="3">
        <v>319.38</v>
      </c>
      <c r="F616" s="3">
        <v>219.98</v>
      </c>
      <c r="G616" s="3">
        <v>91.93</v>
      </c>
      <c r="H616" s="3">
        <v>97.4</v>
      </c>
      <c r="I616" s="3">
        <v>96.87</v>
      </c>
      <c r="J616" s="3">
        <v>91.45</v>
      </c>
      <c r="K616" s="3">
        <v>22.4</v>
      </c>
      <c r="L616" s="3">
        <v>69744.899999999994</v>
      </c>
      <c r="M616" s="3">
        <v>49245.85</v>
      </c>
      <c r="N616" s="3">
        <v>44.71</v>
      </c>
      <c r="O616" s="3">
        <v>6.182E-2</v>
      </c>
      <c r="P616" s="3">
        <v>8.202</v>
      </c>
      <c r="Q616" s="3">
        <v>106.05</v>
      </c>
      <c r="R616" s="3">
        <v>205.36500000000001</v>
      </c>
      <c r="S616" s="3">
        <v>165</v>
      </c>
    </row>
    <row r="617" spans="1:19" ht="14.4" x14ac:dyDescent="0.3">
      <c r="A617" s="2">
        <v>44784</v>
      </c>
      <c r="B617" s="3">
        <v>142.01</v>
      </c>
      <c r="C617" s="3">
        <v>210.93</v>
      </c>
      <c r="D617" s="3">
        <v>278.17</v>
      </c>
      <c r="E617" s="3">
        <v>319.38</v>
      </c>
      <c r="F617" s="3">
        <v>219.98</v>
      </c>
      <c r="G617" s="3">
        <v>94.34</v>
      </c>
      <c r="H617" s="3">
        <v>99.6</v>
      </c>
      <c r="I617" s="3">
        <v>98.18</v>
      </c>
      <c r="J617" s="3">
        <v>93.19</v>
      </c>
      <c r="K617" s="3">
        <v>22.55</v>
      </c>
      <c r="L617" s="3">
        <v>71264.77</v>
      </c>
      <c r="M617" s="3">
        <v>49703.41</v>
      </c>
      <c r="N617" s="3">
        <v>45.335000000000001</v>
      </c>
      <c r="O617" s="3">
        <v>6.1420000000000002E-2</v>
      </c>
      <c r="P617" s="3">
        <v>8.8740000000000006</v>
      </c>
      <c r="Q617" s="3">
        <v>106.63</v>
      </c>
      <c r="R617" s="3">
        <v>208.11</v>
      </c>
      <c r="S617" s="3">
        <v>163.80000000000001</v>
      </c>
    </row>
    <row r="618" spans="1:19" ht="14.4" x14ac:dyDescent="0.3">
      <c r="A618" s="2">
        <v>44785</v>
      </c>
      <c r="B618" s="3">
        <v>135.46</v>
      </c>
      <c r="C618" s="3">
        <v>211.07</v>
      </c>
      <c r="D618" s="3">
        <v>279.91000000000003</v>
      </c>
      <c r="E618" s="3">
        <v>303.62</v>
      </c>
      <c r="F618" s="3">
        <v>222.25</v>
      </c>
      <c r="G618" s="3">
        <v>92.09</v>
      </c>
      <c r="H618" s="3">
        <v>98.15</v>
      </c>
      <c r="I618" s="3">
        <v>96.48</v>
      </c>
      <c r="J618" s="3">
        <v>94</v>
      </c>
      <c r="K618" s="3">
        <v>22.75</v>
      </c>
      <c r="L618" s="3">
        <v>70731.320000000007</v>
      </c>
      <c r="M618" s="3">
        <v>48424.59</v>
      </c>
      <c r="N618" s="3">
        <v>45.39</v>
      </c>
      <c r="O618" s="3">
        <v>6.1539999999999997E-2</v>
      </c>
      <c r="P618" s="3">
        <v>8.7680000000000007</v>
      </c>
      <c r="Q618" s="3">
        <v>109.68</v>
      </c>
      <c r="R618" s="3">
        <v>206.11</v>
      </c>
      <c r="S618" s="3">
        <v>165.15</v>
      </c>
    </row>
    <row r="619" spans="1:19" ht="14.4" x14ac:dyDescent="0.3">
      <c r="A619" s="2">
        <v>44788</v>
      </c>
      <c r="B619" s="3">
        <v>135.46</v>
      </c>
      <c r="C619" s="3">
        <v>211.07</v>
      </c>
      <c r="D619" s="3">
        <v>279.91000000000003</v>
      </c>
      <c r="E619" s="3">
        <v>303.62</v>
      </c>
      <c r="F619" s="3">
        <v>222.25</v>
      </c>
      <c r="G619" s="3">
        <v>89.41</v>
      </c>
      <c r="H619" s="3">
        <v>95.1</v>
      </c>
      <c r="I619" s="3">
        <v>94.97</v>
      </c>
      <c r="J619" s="3">
        <v>92.32</v>
      </c>
      <c r="K619" s="3">
        <v>22.7</v>
      </c>
      <c r="L619" s="3">
        <v>70740.63</v>
      </c>
      <c r="M619" s="3">
        <v>47755.85</v>
      </c>
      <c r="N619" s="3">
        <v>45.442999999999998</v>
      </c>
      <c r="O619" s="3">
        <v>6.0749999999999998E-2</v>
      </c>
      <c r="P619" s="3">
        <v>8.7279999999999998</v>
      </c>
      <c r="Q619" s="3">
        <v>109.6</v>
      </c>
      <c r="R619" s="3">
        <v>220.11</v>
      </c>
      <c r="S619" s="1">
        <f>S620</f>
        <v>171.85</v>
      </c>
    </row>
    <row r="620" spans="1:19" ht="14.4" x14ac:dyDescent="0.3">
      <c r="A620" s="2">
        <v>44789</v>
      </c>
      <c r="B620" s="3">
        <v>135.46</v>
      </c>
      <c r="C620" s="3">
        <v>211.07</v>
      </c>
      <c r="D620" s="3">
        <v>279.91000000000003</v>
      </c>
      <c r="E620" s="3">
        <v>303.62</v>
      </c>
      <c r="F620" s="3">
        <v>222.25</v>
      </c>
      <c r="G620" s="3">
        <v>86.53</v>
      </c>
      <c r="H620" s="3">
        <v>92.34</v>
      </c>
      <c r="I620" s="3">
        <v>93.46</v>
      </c>
      <c r="J620" s="3">
        <v>91.46</v>
      </c>
      <c r="K620" s="3">
        <v>22.8</v>
      </c>
      <c r="L620" s="3">
        <v>71504.69</v>
      </c>
      <c r="M620" s="3">
        <v>48631.38</v>
      </c>
      <c r="N620" s="3">
        <v>56.715000000000003</v>
      </c>
      <c r="O620" s="3">
        <v>6.1030000000000001E-2</v>
      </c>
      <c r="P620" s="3">
        <v>9.3290000000000006</v>
      </c>
      <c r="Q620" s="3">
        <v>111.06</v>
      </c>
      <c r="R620" s="3">
        <v>225.91499999999999</v>
      </c>
      <c r="S620" s="3">
        <v>171.85</v>
      </c>
    </row>
    <row r="621" spans="1:19" ht="14.4" x14ac:dyDescent="0.3">
      <c r="A621" s="2">
        <v>44790</v>
      </c>
      <c r="B621" s="3">
        <v>135.46</v>
      </c>
      <c r="C621" s="3">
        <v>211.07</v>
      </c>
      <c r="D621" s="3">
        <v>279.91000000000003</v>
      </c>
      <c r="E621" s="3">
        <v>303.62</v>
      </c>
      <c r="F621" s="3">
        <v>222.25</v>
      </c>
      <c r="G621" s="3">
        <v>88.11</v>
      </c>
      <c r="H621" s="3">
        <v>93.65</v>
      </c>
      <c r="I621" s="3">
        <v>94.04</v>
      </c>
      <c r="J621" s="3">
        <v>92.2</v>
      </c>
      <c r="K621" s="3">
        <v>22.95</v>
      </c>
      <c r="L621" s="3">
        <v>70967.350000000006</v>
      </c>
      <c r="M621" s="3">
        <v>47533.71</v>
      </c>
      <c r="N621" s="3">
        <v>56.82</v>
      </c>
      <c r="O621" s="3">
        <v>6.003E-2</v>
      </c>
      <c r="P621" s="3">
        <v>9.2439999999999998</v>
      </c>
      <c r="Q621" s="3">
        <v>111.7</v>
      </c>
      <c r="R621" s="3">
        <v>225.83500000000001</v>
      </c>
      <c r="S621" s="3">
        <v>172.6</v>
      </c>
    </row>
    <row r="622" spans="1:19" ht="14.4" x14ac:dyDescent="0.3">
      <c r="A622" s="2">
        <v>44791</v>
      </c>
      <c r="B622" s="3">
        <v>135.46</v>
      </c>
      <c r="C622" s="3">
        <v>211.07</v>
      </c>
      <c r="D622" s="3">
        <v>279.91000000000003</v>
      </c>
      <c r="E622" s="3">
        <v>303.62</v>
      </c>
      <c r="F622" s="3">
        <v>222.25</v>
      </c>
      <c r="G622" s="3">
        <v>90.5</v>
      </c>
      <c r="H622" s="3">
        <v>96.59</v>
      </c>
      <c r="I622" s="3">
        <v>95.18</v>
      </c>
      <c r="J622" s="3">
        <v>94.38</v>
      </c>
      <c r="K622" s="3">
        <v>22.85</v>
      </c>
      <c r="L622" s="3">
        <v>71011.38</v>
      </c>
      <c r="M622" s="3">
        <v>47273.33</v>
      </c>
      <c r="N622" s="3">
        <v>57.6</v>
      </c>
      <c r="O622" s="3">
        <v>5.926E-2</v>
      </c>
      <c r="P622" s="3">
        <v>9.1880000000000006</v>
      </c>
      <c r="Q622" s="3">
        <v>112.62</v>
      </c>
      <c r="R622" s="3">
        <v>241.005</v>
      </c>
      <c r="S622" s="3">
        <v>166.35</v>
      </c>
    </row>
    <row r="623" spans="1:19" ht="14.4" x14ac:dyDescent="0.3">
      <c r="A623" s="2">
        <v>44792</v>
      </c>
      <c r="B623" s="3">
        <v>161.43</v>
      </c>
      <c r="C623" s="3">
        <v>244.45</v>
      </c>
      <c r="D623" s="3">
        <v>314.10000000000002</v>
      </c>
      <c r="E623" s="3">
        <v>346.77</v>
      </c>
      <c r="F623" s="3">
        <v>210.12</v>
      </c>
      <c r="G623" s="3">
        <v>90.77</v>
      </c>
      <c r="H623" s="3">
        <v>96.72</v>
      </c>
      <c r="I623" s="3">
        <v>95.39</v>
      </c>
      <c r="J623" s="3">
        <v>94.08</v>
      </c>
      <c r="K623" s="3">
        <v>23.5</v>
      </c>
      <c r="L623" s="3">
        <v>69719.429999999993</v>
      </c>
      <c r="M623" s="3">
        <v>45649.97</v>
      </c>
      <c r="N623" s="3">
        <v>57.02</v>
      </c>
      <c r="O623" s="3">
        <v>5.8779999999999999E-2</v>
      </c>
      <c r="P623" s="3">
        <v>9.3360000000000003</v>
      </c>
      <c r="Q623" s="3">
        <v>109.09</v>
      </c>
      <c r="R623" s="3">
        <v>244.55</v>
      </c>
      <c r="S623" s="3">
        <v>163.75</v>
      </c>
    </row>
    <row r="624" spans="1:19" ht="14.4" x14ac:dyDescent="0.3">
      <c r="A624" s="2">
        <v>44795</v>
      </c>
      <c r="B624" s="3">
        <v>161.43</v>
      </c>
      <c r="C624" s="3">
        <v>244.45</v>
      </c>
      <c r="D624" s="3">
        <v>314.10000000000002</v>
      </c>
      <c r="E624" s="3">
        <v>346.77</v>
      </c>
      <c r="F624" s="3">
        <v>210.12</v>
      </c>
      <c r="G624" s="3">
        <v>90.23</v>
      </c>
      <c r="H624" s="3">
        <v>95.81</v>
      </c>
      <c r="I624" s="3">
        <v>95.39</v>
      </c>
      <c r="J624" s="3">
        <v>94.01</v>
      </c>
      <c r="K624" s="3">
        <v>24</v>
      </c>
      <c r="L624" s="3">
        <v>69195.600000000006</v>
      </c>
      <c r="M624" s="3">
        <v>45481.99</v>
      </c>
      <c r="N624" s="3">
        <v>57.82</v>
      </c>
      <c r="O624" s="3">
        <v>5.8790000000000002E-2</v>
      </c>
      <c r="P624" s="3">
        <v>9.6470000000000002</v>
      </c>
      <c r="Q624" s="3">
        <v>107.83</v>
      </c>
      <c r="R624" s="3">
        <v>276.75</v>
      </c>
      <c r="S624" s="3">
        <v>157.1</v>
      </c>
    </row>
    <row r="625" spans="1:19" ht="14.4" x14ac:dyDescent="0.3">
      <c r="A625" s="2">
        <v>44796</v>
      </c>
      <c r="B625" s="3">
        <v>161.43</v>
      </c>
      <c r="C625" s="3">
        <v>244.45</v>
      </c>
      <c r="D625" s="3">
        <v>314.10000000000002</v>
      </c>
      <c r="E625" s="3">
        <v>346.77</v>
      </c>
      <c r="F625" s="3">
        <v>210.12</v>
      </c>
      <c r="G625" s="3">
        <v>93.74</v>
      </c>
      <c r="H625" s="3">
        <v>99.17</v>
      </c>
      <c r="I625" s="3">
        <v>96.41</v>
      </c>
      <c r="J625" s="3">
        <v>98</v>
      </c>
      <c r="K625" s="3">
        <v>24.5</v>
      </c>
      <c r="L625" s="3">
        <v>69772.27</v>
      </c>
      <c r="M625" s="3">
        <v>46511.48</v>
      </c>
      <c r="N625" s="3">
        <v>56.33</v>
      </c>
      <c r="O625" s="3">
        <v>5.883E-2</v>
      </c>
      <c r="P625" s="3">
        <v>9.1549999999999994</v>
      </c>
      <c r="Q625" s="3">
        <v>106.45</v>
      </c>
      <c r="R625" s="3">
        <v>269.05</v>
      </c>
      <c r="S625" s="3">
        <v>157.9</v>
      </c>
    </row>
    <row r="626" spans="1:19" ht="14.4" x14ac:dyDescent="0.3">
      <c r="A626" s="2">
        <v>44797</v>
      </c>
      <c r="B626" s="3">
        <v>161.43</v>
      </c>
      <c r="C626" s="3">
        <v>244.45</v>
      </c>
      <c r="D626" s="3">
        <v>314.10000000000002</v>
      </c>
      <c r="E626" s="3">
        <v>346.77</v>
      </c>
      <c r="F626" s="3">
        <v>210.12</v>
      </c>
      <c r="G626" s="3">
        <v>94.89</v>
      </c>
      <c r="H626" s="3">
        <v>100.34</v>
      </c>
      <c r="I626" s="3">
        <v>96.46</v>
      </c>
      <c r="J626" s="3">
        <v>98.58</v>
      </c>
      <c r="K626" s="3">
        <v>24.6</v>
      </c>
      <c r="L626" s="3">
        <v>69808.710000000006</v>
      </c>
      <c r="M626" s="3">
        <v>46719.16</v>
      </c>
      <c r="N626" s="3">
        <v>66.254999999999995</v>
      </c>
      <c r="O626" s="3">
        <v>5.885E-2</v>
      </c>
      <c r="P626" s="3">
        <v>9.3000000000000007</v>
      </c>
      <c r="Q626" s="3">
        <v>106.92</v>
      </c>
      <c r="R626" s="3">
        <v>292.14999999999998</v>
      </c>
      <c r="S626" s="3">
        <v>159.85</v>
      </c>
    </row>
    <row r="627" spans="1:19" ht="14.4" x14ac:dyDescent="0.3">
      <c r="A627" s="2">
        <v>44798</v>
      </c>
      <c r="B627" s="3">
        <v>161.43</v>
      </c>
      <c r="C627" s="3">
        <v>244.45</v>
      </c>
      <c r="D627" s="3">
        <v>314.10000000000002</v>
      </c>
      <c r="E627" s="3">
        <v>346.77</v>
      </c>
      <c r="F627" s="3">
        <v>210.12</v>
      </c>
      <c r="G627" s="3">
        <v>92.52</v>
      </c>
      <c r="H627" s="3">
        <v>98.46</v>
      </c>
      <c r="I627" s="3">
        <v>96.23</v>
      </c>
      <c r="J627" s="3">
        <v>99.09</v>
      </c>
      <c r="K627" s="3">
        <v>25.75</v>
      </c>
      <c r="L627" s="3">
        <v>70340.7</v>
      </c>
      <c r="M627" s="3">
        <v>47369.18</v>
      </c>
      <c r="N627" s="3">
        <v>69.954999999999998</v>
      </c>
      <c r="O627" s="3">
        <v>5.9619999999999999E-2</v>
      </c>
      <c r="P627" s="3">
        <v>9.375</v>
      </c>
      <c r="Q627" s="3">
        <v>107.01</v>
      </c>
      <c r="R627" s="3">
        <v>321.41500000000002</v>
      </c>
      <c r="S627" s="3">
        <v>159.1</v>
      </c>
    </row>
    <row r="628" spans="1:19" ht="14.4" x14ac:dyDescent="0.3">
      <c r="A628" s="2">
        <v>44799</v>
      </c>
      <c r="B628" s="3">
        <v>156.81</v>
      </c>
      <c r="C628" s="3">
        <v>250.45</v>
      </c>
      <c r="D628" s="3">
        <v>317.77</v>
      </c>
      <c r="E628" s="3">
        <v>361.63</v>
      </c>
      <c r="F628" s="3">
        <v>214.47</v>
      </c>
      <c r="G628" s="3">
        <v>93.06</v>
      </c>
      <c r="H628" s="3">
        <v>99.01</v>
      </c>
      <c r="I628" s="3">
        <v>96.53</v>
      </c>
      <c r="J628" s="3">
        <v>97.87</v>
      </c>
      <c r="K628" s="3">
        <v>25.55</v>
      </c>
      <c r="L628" s="3">
        <v>70173.09</v>
      </c>
      <c r="M628" s="3">
        <v>47665.19</v>
      </c>
      <c r="N628" s="3">
        <v>68.8</v>
      </c>
      <c r="O628" s="3">
        <v>5.9209999999999999E-2</v>
      </c>
      <c r="P628" s="3">
        <v>9.2959999999999994</v>
      </c>
      <c r="Q628" s="3">
        <v>103.59</v>
      </c>
      <c r="R628" s="3">
        <v>339.19499999999999</v>
      </c>
      <c r="S628" s="3">
        <v>159.44999999999999</v>
      </c>
    </row>
    <row r="629" spans="1:19" ht="14.4" x14ac:dyDescent="0.3">
      <c r="A629" s="2">
        <v>44802</v>
      </c>
      <c r="B629" s="1">
        <f t="shared" ref="B629:F629" si="40">B628</f>
        <v>156.81</v>
      </c>
      <c r="C629" s="1">
        <f t="shared" si="40"/>
        <v>250.45</v>
      </c>
      <c r="D629" s="1">
        <f t="shared" si="40"/>
        <v>317.77</v>
      </c>
      <c r="E629" s="1">
        <f t="shared" si="40"/>
        <v>361.63</v>
      </c>
      <c r="F629" s="1">
        <f t="shared" si="40"/>
        <v>214.47</v>
      </c>
      <c r="G629" s="3">
        <v>97.01</v>
      </c>
      <c r="H629" s="3">
        <v>102.93</v>
      </c>
      <c r="I629" s="3">
        <v>96.88</v>
      </c>
      <c r="J629" s="3">
        <v>100.12</v>
      </c>
      <c r="K629" s="3">
        <v>25.55</v>
      </c>
      <c r="L629" s="3">
        <v>69207.02</v>
      </c>
      <c r="M629" s="3">
        <v>45543.48</v>
      </c>
      <c r="N629" s="3">
        <v>68.665000000000006</v>
      </c>
      <c r="O629" s="3">
        <v>5.9360000000000003E-2</v>
      </c>
      <c r="P629" s="3">
        <v>9.3529999999999998</v>
      </c>
      <c r="Q629" s="3">
        <v>101.59</v>
      </c>
      <c r="R629" s="3">
        <v>272.60500000000002</v>
      </c>
      <c r="S629" s="3">
        <v>158.05000000000001</v>
      </c>
    </row>
    <row r="630" spans="1:19" ht="14.4" x14ac:dyDescent="0.3">
      <c r="A630" s="2">
        <v>44803</v>
      </c>
      <c r="B630" s="3">
        <v>156.81</v>
      </c>
      <c r="C630" s="3">
        <v>250.45</v>
      </c>
      <c r="D630" s="3">
        <v>317.77</v>
      </c>
      <c r="E630" s="3">
        <v>361.63</v>
      </c>
      <c r="F630" s="3">
        <v>214.47</v>
      </c>
      <c r="G630" s="3">
        <v>91.64</v>
      </c>
      <c r="H630" s="3">
        <v>97.84</v>
      </c>
      <c r="I630" s="3">
        <v>96.51</v>
      </c>
      <c r="J630" s="3">
        <v>96.31</v>
      </c>
      <c r="K630" s="3">
        <v>25.05</v>
      </c>
      <c r="L630" s="3">
        <v>67900.479999999996</v>
      </c>
      <c r="M630" s="3">
        <v>43857.9</v>
      </c>
      <c r="N630" s="3">
        <v>58.744999999999997</v>
      </c>
      <c r="O630" s="3">
        <v>5.8860000000000003E-2</v>
      </c>
      <c r="P630" s="3">
        <v>9.0419999999999998</v>
      </c>
      <c r="Q630" s="3">
        <v>100.51</v>
      </c>
      <c r="R630" s="3">
        <v>252.93700000000001</v>
      </c>
      <c r="S630" s="3">
        <v>161</v>
      </c>
    </row>
    <row r="631" spans="1:19" ht="14.4" x14ac:dyDescent="0.3">
      <c r="A631" s="2">
        <v>44804</v>
      </c>
      <c r="B631" s="3">
        <v>156.81</v>
      </c>
      <c r="C631" s="3">
        <v>250.45</v>
      </c>
      <c r="D631" s="3">
        <v>317.77</v>
      </c>
      <c r="E631" s="3">
        <v>361.63</v>
      </c>
      <c r="F631" s="3">
        <v>214.47</v>
      </c>
      <c r="G631" s="3">
        <v>89.55</v>
      </c>
      <c r="H631" s="3">
        <v>96.49</v>
      </c>
      <c r="I631" s="3">
        <v>96.6</v>
      </c>
      <c r="J631" s="3">
        <v>95.59</v>
      </c>
      <c r="K631" s="3">
        <v>24.7</v>
      </c>
      <c r="L631" s="3">
        <v>67257.14</v>
      </c>
      <c r="M631" s="3">
        <v>44157.42</v>
      </c>
      <c r="N631" s="3">
        <v>53.95</v>
      </c>
      <c r="O631" s="3">
        <v>5.8400000000000001E-2</v>
      </c>
      <c r="P631" s="3">
        <v>9.1270000000000007</v>
      </c>
      <c r="Q631" s="3">
        <v>100.85</v>
      </c>
      <c r="R631" s="3">
        <v>239.905</v>
      </c>
      <c r="S631" s="1">
        <f>S632</f>
        <v>160.19999999999999</v>
      </c>
    </row>
    <row r="632" spans="1:19" ht="14.4" x14ac:dyDescent="0.3">
      <c r="A632" s="2">
        <v>44805</v>
      </c>
      <c r="B632" s="3">
        <v>156.81</v>
      </c>
      <c r="C632" s="3">
        <v>250.45</v>
      </c>
      <c r="D632" s="3">
        <v>317.77</v>
      </c>
      <c r="E632" s="3">
        <v>361.63</v>
      </c>
      <c r="F632" s="3">
        <v>214.47</v>
      </c>
      <c r="G632" s="3">
        <v>86.61</v>
      </c>
      <c r="H632" s="3">
        <v>92.36</v>
      </c>
      <c r="I632" s="3">
        <v>92.08</v>
      </c>
      <c r="J632" s="3">
        <v>93.87</v>
      </c>
      <c r="K632" s="3">
        <v>24.95</v>
      </c>
      <c r="L632" s="3">
        <v>66021.710000000006</v>
      </c>
      <c r="M632" s="3">
        <v>42165.48</v>
      </c>
      <c r="N632" s="3">
        <v>59.155000000000001</v>
      </c>
      <c r="O632" s="3">
        <v>5.7849999999999999E-2</v>
      </c>
      <c r="P632" s="3">
        <v>9.2620000000000005</v>
      </c>
      <c r="Q632" s="3">
        <v>102.04</v>
      </c>
      <c r="R632" s="3">
        <v>243.005</v>
      </c>
      <c r="S632" s="3">
        <v>160.19999999999999</v>
      </c>
    </row>
    <row r="633" spans="1:19" ht="14.4" x14ac:dyDescent="0.3">
      <c r="A633" s="2">
        <v>44806</v>
      </c>
      <c r="B633" s="3">
        <v>149.02000000000001</v>
      </c>
      <c r="C633" s="3">
        <v>245.77</v>
      </c>
      <c r="D633" s="3">
        <v>313.05</v>
      </c>
      <c r="E633" s="3">
        <v>335.58</v>
      </c>
      <c r="F633" s="3">
        <v>223.82</v>
      </c>
      <c r="G633" s="3">
        <v>86.87</v>
      </c>
      <c r="H633" s="3">
        <v>93.02</v>
      </c>
      <c r="I633" s="3">
        <v>92.6</v>
      </c>
      <c r="J633" s="3">
        <v>95.59</v>
      </c>
      <c r="K633" s="3">
        <v>24.8</v>
      </c>
      <c r="L633" s="3">
        <v>67378.31</v>
      </c>
      <c r="M633" s="3">
        <v>44022.06</v>
      </c>
      <c r="N633" s="3">
        <v>55.244999999999997</v>
      </c>
      <c r="O633" s="3">
        <v>5.7750000000000003E-2</v>
      </c>
      <c r="P633" s="3">
        <v>8.7859999999999996</v>
      </c>
      <c r="Q633" s="3">
        <v>101.28</v>
      </c>
      <c r="R633" s="3">
        <v>214.66499999999999</v>
      </c>
      <c r="S633" s="3">
        <v>158</v>
      </c>
    </row>
    <row r="634" spans="1:19" ht="14.4" x14ac:dyDescent="0.3">
      <c r="A634" s="2">
        <v>44809</v>
      </c>
      <c r="B634" s="3">
        <v>149.02000000000001</v>
      </c>
      <c r="C634" s="3">
        <v>245.77</v>
      </c>
      <c r="D634" s="3">
        <v>313.05</v>
      </c>
      <c r="E634" s="3">
        <v>335.58</v>
      </c>
      <c r="F634" s="3">
        <v>223.82</v>
      </c>
      <c r="G634" s="3">
        <v>88.96</v>
      </c>
      <c r="H634" s="3">
        <v>95.74</v>
      </c>
      <c r="I634" s="1">
        <f>(I633+I635)/2</f>
        <v>92.864999999999995</v>
      </c>
      <c r="J634" s="1">
        <f>(J633+J635)/2</f>
        <v>95.27000000000001</v>
      </c>
      <c r="K634" s="3">
        <v>25.75</v>
      </c>
      <c r="L634" s="3">
        <v>67399.39</v>
      </c>
      <c r="M634" s="3">
        <v>44650.51</v>
      </c>
      <c r="N634" s="5">
        <f>FORECAST(A634,N628:N633,A628:A633)</f>
        <v>48.154324324306799</v>
      </c>
      <c r="O634" s="3">
        <v>5.824E-2</v>
      </c>
      <c r="P634" s="3">
        <v>8.7140000000000004</v>
      </c>
      <c r="Q634" s="1">
        <f>AVERAGE(Q633,Q635)</f>
        <v>100.595</v>
      </c>
      <c r="R634" s="5">
        <f>AVERAGE(R633,R635)</f>
        <v>227.2525</v>
      </c>
      <c r="S634" s="3">
        <v>160.65</v>
      </c>
    </row>
    <row r="635" spans="1:19" ht="14.4" x14ac:dyDescent="0.3">
      <c r="A635" s="2">
        <v>44810</v>
      </c>
      <c r="B635" s="3">
        <v>149.02000000000001</v>
      </c>
      <c r="C635" s="3">
        <v>245.77</v>
      </c>
      <c r="D635" s="3">
        <v>313.05</v>
      </c>
      <c r="E635" s="3">
        <v>335.58</v>
      </c>
      <c r="F635" s="3">
        <v>223.82</v>
      </c>
      <c r="G635" s="3">
        <v>86.88</v>
      </c>
      <c r="H635" s="3">
        <v>92.83</v>
      </c>
      <c r="I635" s="3">
        <v>93.13</v>
      </c>
      <c r="J635" s="3">
        <v>94.95</v>
      </c>
      <c r="K635" s="3">
        <v>26.05</v>
      </c>
      <c r="L635" s="3">
        <v>67538.77</v>
      </c>
      <c r="M635" s="3">
        <v>44380.34</v>
      </c>
      <c r="N635" s="3">
        <v>54.69</v>
      </c>
      <c r="O635" s="3">
        <v>5.781E-2</v>
      </c>
      <c r="P635" s="3">
        <v>8.1449999999999996</v>
      </c>
      <c r="Q635" s="3">
        <v>99.91</v>
      </c>
      <c r="R635" s="3">
        <v>239.84</v>
      </c>
      <c r="S635" s="3">
        <v>159.4</v>
      </c>
    </row>
    <row r="636" spans="1:19" ht="14.4" x14ac:dyDescent="0.3">
      <c r="A636" s="2">
        <v>44811</v>
      </c>
      <c r="B636" s="3">
        <v>149.02000000000001</v>
      </c>
      <c r="C636" s="3">
        <v>245.77</v>
      </c>
      <c r="D636" s="3">
        <v>313.05</v>
      </c>
      <c r="E636" s="3">
        <v>335.58</v>
      </c>
      <c r="F636" s="3">
        <v>223.82</v>
      </c>
      <c r="G636" s="3">
        <v>81.94</v>
      </c>
      <c r="H636" s="3">
        <v>88</v>
      </c>
      <c r="I636" s="3">
        <v>89.36</v>
      </c>
      <c r="J636" s="3">
        <v>94.14</v>
      </c>
      <c r="K636" s="3">
        <v>25.75</v>
      </c>
      <c r="L636" s="3">
        <v>66715.83</v>
      </c>
      <c r="M636" s="3">
        <v>44443.06</v>
      </c>
      <c r="N636" s="3">
        <v>55.2</v>
      </c>
      <c r="O636" s="3">
        <v>5.7840000000000003E-2</v>
      </c>
      <c r="P636" s="3">
        <v>7.8419999999999996</v>
      </c>
      <c r="Q636" s="3">
        <v>102.3</v>
      </c>
      <c r="R636" s="3">
        <v>213.88499999999999</v>
      </c>
      <c r="S636" s="3">
        <v>158.69999999999999</v>
      </c>
    </row>
    <row r="637" spans="1:19" ht="14.4" x14ac:dyDescent="0.3">
      <c r="A637" s="2">
        <v>44812</v>
      </c>
      <c r="B637" s="3">
        <v>149.02000000000001</v>
      </c>
      <c r="C637" s="3">
        <v>245.77</v>
      </c>
      <c r="D637" s="3">
        <v>313.05</v>
      </c>
      <c r="E637" s="3">
        <v>335.58</v>
      </c>
      <c r="F637" s="3">
        <v>223.82</v>
      </c>
      <c r="G637" s="3">
        <v>83.54</v>
      </c>
      <c r="H637" s="3">
        <v>88.62</v>
      </c>
      <c r="I637" s="3">
        <v>90.17</v>
      </c>
      <c r="J637" s="3">
        <v>94.91</v>
      </c>
      <c r="K637" s="3">
        <v>25.25</v>
      </c>
      <c r="L637" s="3">
        <v>67260.23</v>
      </c>
      <c r="M637" s="3">
        <v>44893.34</v>
      </c>
      <c r="N637" s="3">
        <v>52.835000000000001</v>
      </c>
      <c r="O637" s="3">
        <v>5.7070000000000003E-2</v>
      </c>
      <c r="P637" s="3">
        <v>7.9539999999999997</v>
      </c>
      <c r="Q637" s="3">
        <v>103.21</v>
      </c>
      <c r="R637" s="3">
        <v>220.54</v>
      </c>
      <c r="S637" s="3">
        <v>160</v>
      </c>
    </row>
    <row r="638" spans="1:19" ht="14.4" x14ac:dyDescent="0.3">
      <c r="A638" s="2">
        <v>44813</v>
      </c>
      <c r="B638" s="3">
        <v>146.72999999999999</v>
      </c>
      <c r="C638" s="3">
        <v>239.97</v>
      </c>
      <c r="D638" s="3">
        <v>305.48</v>
      </c>
      <c r="E638" s="3">
        <v>324.56</v>
      </c>
      <c r="F638" s="3">
        <v>213.11</v>
      </c>
      <c r="G638" s="3">
        <v>86.79</v>
      </c>
      <c r="H638" s="3">
        <v>92.84</v>
      </c>
      <c r="I638" s="3">
        <v>92.78</v>
      </c>
      <c r="J638" s="3">
        <v>96.5</v>
      </c>
      <c r="K638" s="3">
        <v>25.7</v>
      </c>
      <c r="L638" s="3">
        <v>68708.479999999996</v>
      </c>
      <c r="M638" s="3">
        <v>46097.71</v>
      </c>
      <c r="N638" s="3">
        <v>53.9</v>
      </c>
      <c r="O638" s="3">
        <v>5.7750000000000003E-2</v>
      </c>
      <c r="P638" s="3">
        <v>7.9960000000000004</v>
      </c>
      <c r="Q638" s="3">
        <v>103.4</v>
      </c>
      <c r="R638" s="3">
        <v>207.09</v>
      </c>
      <c r="S638" s="3">
        <v>159.4</v>
      </c>
    </row>
    <row r="639" spans="1:19" ht="14.4" x14ac:dyDescent="0.3">
      <c r="A639" s="2">
        <v>44816</v>
      </c>
      <c r="B639" s="3">
        <v>146.72999999999999</v>
      </c>
      <c r="C639" s="3">
        <v>239.97</v>
      </c>
      <c r="D639" s="3">
        <v>305.48</v>
      </c>
      <c r="E639" s="3">
        <v>324.56</v>
      </c>
      <c r="F639" s="3">
        <v>213.11</v>
      </c>
      <c r="G639" s="3">
        <v>87.78</v>
      </c>
      <c r="H639" s="3">
        <v>94</v>
      </c>
      <c r="I639" s="3">
        <v>93.36</v>
      </c>
      <c r="J639" s="3">
        <v>97.61</v>
      </c>
      <c r="K639" s="5">
        <f>FORECAST(A639,K633:K638,A633:A638)</f>
        <v>26.08918918918971</v>
      </c>
      <c r="L639" s="3">
        <v>69772.41</v>
      </c>
      <c r="M639" s="3">
        <v>47063.040000000001</v>
      </c>
      <c r="N639" s="3">
        <v>53.125</v>
      </c>
      <c r="O639" s="3">
        <v>5.8369999999999998E-2</v>
      </c>
      <c r="P639" s="3">
        <v>8.2490000000000006</v>
      </c>
      <c r="Q639" s="3">
        <v>104.09</v>
      </c>
      <c r="R639" s="3">
        <v>190.59</v>
      </c>
      <c r="S639" s="3">
        <v>163.1</v>
      </c>
    </row>
    <row r="640" spans="1:19" ht="14.4" x14ac:dyDescent="0.3">
      <c r="A640" s="2">
        <v>44817</v>
      </c>
      <c r="B640" s="3">
        <v>146.72999999999999</v>
      </c>
      <c r="C640" s="3">
        <v>239.97</v>
      </c>
      <c r="D640" s="3">
        <v>305.48</v>
      </c>
      <c r="E640" s="3">
        <v>324.56</v>
      </c>
      <c r="F640" s="3">
        <v>213.11</v>
      </c>
      <c r="G640" s="3">
        <v>87.31</v>
      </c>
      <c r="H640" s="3">
        <v>93.17</v>
      </c>
      <c r="I640" s="3">
        <v>92.51</v>
      </c>
      <c r="J640" s="3">
        <v>95.33</v>
      </c>
      <c r="K640" s="3">
        <v>25.8</v>
      </c>
      <c r="L640" s="3">
        <v>68273.710000000006</v>
      </c>
      <c r="M640" s="3">
        <v>45774.69</v>
      </c>
      <c r="N640" s="3">
        <v>53.034999999999997</v>
      </c>
      <c r="O640" s="3">
        <v>5.7270000000000001E-2</v>
      </c>
      <c r="P640" s="3">
        <v>8.2840000000000007</v>
      </c>
      <c r="Q640" s="3">
        <v>99.86</v>
      </c>
      <c r="R640" s="3">
        <v>198.61</v>
      </c>
      <c r="S640" s="3">
        <v>163.05000000000001</v>
      </c>
    </row>
    <row r="641" spans="1:19" ht="14.4" x14ac:dyDescent="0.3">
      <c r="A641" s="2">
        <v>44818</v>
      </c>
      <c r="B641" s="3">
        <v>146.72999999999999</v>
      </c>
      <c r="C641" s="3">
        <v>239.97</v>
      </c>
      <c r="D641" s="3">
        <v>305.48</v>
      </c>
      <c r="E641" s="3">
        <v>324.56</v>
      </c>
      <c r="F641" s="3">
        <v>213.11</v>
      </c>
      <c r="G641" s="3">
        <v>88.48</v>
      </c>
      <c r="H641" s="3">
        <v>94.1</v>
      </c>
      <c r="I641" s="3">
        <v>93.35</v>
      </c>
      <c r="J641" s="3">
        <v>97.67</v>
      </c>
      <c r="K641" s="3">
        <v>25.7</v>
      </c>
      <c r="L641" s="3">
        <v>67964.02</v>
      </c>
      <c r="M641" s="3">
        <v>45917.78</v>
      </c>
      <c r="N641" s="3">
        <v>53.075000000000003</v>
      </c>
      <c r="O641" s="3">
        <v>5.7200000000000001E-2</v>
      </c>
      <c r="P641" s="3">
        <v>9.1140000000000008</v>
      </c>
      <c r="Q641" s="3">
        <v>99.86</v>
      </c>
      <c r="R641" s="3">
        <v>217.88</v>
      </c>
      <c r="S641" s="3">
        <v>163.19999999999999</v>
      </c>
    </row>
    <row r="642" spans="1:19" ht="14.4" x14ac:dyDescent="0.3">
      <c r="A642" s="2">
        <v>44819</v>
      </c>
      <c r="B642" s="3">
        <v>146.72999999999999</v>
      </c>
      <c r="C642" s="3">
        <v>239.97</v>
      </c>
      <c r="D642" s="3">
        <v>305.48</v>
      </c>
      <c r="E642" s="3">
        <v>324.56</v>
      </c>
      <c r="F642" s="3">
        <v>213.11</v>
      </c>
      <c r="G642" s="3">
        <v>85.1</v>
      </c>
      <c r="H642" s="3">
        <v>90.84</v>
      </c>
      <c r="I642" s="3">
        <v>91.98</v>
      </c>
      <c r="J642" s="3">
        <v>94.83</v>
      </c>
      <c r="K642" s="3">
        <v>25.7</v>
      </c>
      <c r="L642" s="3">
        <v>67568.259999999995</v>
      </c>
      <c r="M642" s="3">
        <v>45033.36</v>
      </c>
      <c r="N642" s="3">
        <v>53.508000000000003</v>
      </c>
      <c r="O642" s="3">
        <v>5.6860000000000001E-2</v>
      </c>
      <c r="P642" s="3">
        <v>8.3239999999999998</v>
      </c>
      <c r="Q642" s="3">
        <v>98.39</v>
      </c>
      <c r="R642" s="3">
        <v>214.285</v>
      </c>
      <c r="S642" s="3">
        <v>162.6</v>
      </c>
    </row>
    <row r="643" spans="1:19" ht="14.4" x14ac:dyDescent="0.3">
      <c r="A643" s="2">
        <v>44820</v>
      </c>
      <c r="B643" s="3">
        <v>131.83000000000001</v>
      </c>
      <c r="C643" s="3">
        <v>205.34</v>
      </c>
      <c r="D643" s="3">
        <v>268.75</v>
      </c>
      <c r="E643" s="3">
        <v>281.10000000000002</v>
      </c>
      <c r="F643" s="3">
        <v>211.47</v>
      </c>
      <c r="G643" s="3">
        <v>85.11</v>
      </c>
      <c r="H643" s="3">
        <v>91.35</v>
      </c>
      <c r="I643" s="3">
        <v>92.26</v>
      </c>
      <c r="J643" s="3">
        <v>93.21</v>
      </c>
      <c r="K643" s="3">
        <v>24.55</v>
      </c>
      <c r="L643" s="3">
        <v>66584.34</v>
      </c>
      <c r="M643" s="3">
        <v>44562.81</v>
      </c>
      <c r="N643" s="3">
        <v>42.16</v>
      </c>
      <c r="O643" s="3">
        <v>5.6739999999999999E-2</v>
      </c>
      <c r="P643" s="3">
        <v>7.7640000000000002</v>
      </c>
      <c r="Q643" s="3">
        <v>97.27</v>
      </c>
      <c r="R643" s="3">
        <v>187.79499999999999</v>
      </c>
      <c r="S643" s="3">
        <v>156.85</v>
      </c>
    </row>
    <row r="644" spans="1:19" ht="14.4" x14ac:dyDescent="0.3">
      <c r="A644" s="2">
        <v>44823</v>
      </c>
      <c r="B644" s="1">
        <f t="shared" ref="B644:F644" si="41">B643</f>
        <v>131.83000000000001</v>
      </c>
      <c r="C644" s="1">
        <f t="shared" si="41"/>
        <v>205.34</v>
      </c>
      <c r="D644" s="1">
        <f t="shared" si="41"/>
        <v>268.75</v>
      </c>
      <c r="E644" s="1">
        <f t="shared" si="41"/>
        <v>281.10000000000002</v>
      </c>
      <c r="F644" s="1">
        <f t="shared" si="41"/>
        <v>211.47</v>
      </c>
      <c r="G644" s="3">
        <v>85.73</v>
      </c>
      <c r="H644" s="3">
        <v>92</v>
      </c>
      <c r="I644" s="3">
        <v>92.46</v>
      </c>
      <c r="J644" s="3">
        <v>93.2</v>
      </c>
      <c r="K644" s="3">
        <v>24.55</v>
      </c>
      <c r="L644" s="3">
        <v>66474.86</v>
      </c>
      <c r="M644" s="3">
        <v>44380.31</v>
      </c>
      <c r="N644" s="3">
        <v>41.97</v>
      </c>
      <c r="O644" s="3">
        <v>5.6550000000000003E-2</v>
      </c>
      <c r="P644" s="3">
        <v>7.7519999999999998</v>
      </c>
      <c r="Q644" s="3">
        <v>97.02</v>
      </c>
      <c r="R644" s="3">
        <v>182.26</v>
      </c>
      <c r="S644" s="3">
        <v>152.94999999999999</v>
      </c>
    </row>
    <row r="645" spans="1:19" ht="14.4" x14ac:dyDescent="0.3">
      <c r="A645" s="2">
        <v>44824</v>
      </c>
      <c r="B645" s="3">
        <v>131.83000000000001</v>
      </c>
      <c r="C645" s="3">
        <v>205.34</v>
      </c>
      <c r="D645" s="3">
        <v>268.75</v>
      </c>
      <c r="E645" s="3">
        <v>281.10000000000002</v>
      </c>
      <c r="F645" s="3">
        <v>211.47</v>
      </c>
      <c r="G645" s="3">
        <v>84.45</v>
      </c>
      <c r="H645" s="3">
        <v>89.4</v>
      </c>
      <c r="I645" s="3">
        <v>91.9</v>
      </c>
      <c r="J645" s="3">
        <v>92.44</v>
      </c>
      <c r="K645" s="3">
        <v>24.65</v>
      </c>
      <c r="L645" s="3">
        <v>66602.84</v>
      </c>
      <c r="M645" s="3">
        <v>44017.11</v>
      </c>
      <c r="N645" s="3">
        <v>43.284999999999997</v>
      </c>
      <c r="O645" s="3">
        <v>5.6500000000000002E-2</v>
      </c>
      <c r="P645" s="3">
        <v>7.7720000000000002</v>
      </c>
      <c r="Q645" s="3">
        <v>94.85</v>
      </c>
      <c r="R645" s="3">
        <v>194.26</v>
      </c>
      <c r="S645" s="3">
        <v>153.25</v>
      </c>
    </row>
    <row r="646" spans="1:19" ht="14.4" x14ac:dyDescent="0.3">
      <c r="A646" s="2">
        <v>44825</v>
      </c>
      <c r="B646" s="3">
        <v>131.83000000000001</v>
      </c>
      <c r="C646" s="3">
        <v>205.34</v>
      </c>
      <c r="D646" s="3">
        <v>268.75</v>
      </c>
      <c r="E646" s="3">
        <v>281.10000000000002</v>
      </c>
      <c r="F646" s="3">
        <v>211.47</v>
      </c>
      <c r="G646" s="3">
        <v>82.94</v>
      </c>
      <c r="H646" s="3">
        <v>88.8</v>
      </c>
      <c r="I646" s="3">
        <v>91.81</v>
      </c>
      <c r="J646" s="3">
        <v>90.95</v>
      </c>
      <c r="K646" s="3">
        <v>24.5</v>
      </c>
      <c r="L646" s="3">
        <v>66208.710000000006</v>
      </c>
      <c r="M646" s="3">
        <v>43316.160000000003</v>
      </c>
      <c r="N646" s="3">
        <v>38.914999999999999</v>
      </c>
      <c r="O646" s="3">
        <v>5.6329999999999998E-2</v>
      </c>
      <c r="P646" s="3">
        <v>7.827</v>
      </c>
      <c r="Q646" s="3">
        <v>93.61</v>
      </c>
      <c r="R646" s="3">
        <v>189.78</v>
      </c>
      <c r="S646" s="3">
        <v>151.1</v>
      </c>
    </row>
    <row r="647" spans="1:19" ht="14.4" x14ac:dyDescent="0.3">
      <c r="A647" s="2">
        <v>44826</v>
      </c>
      <c r="B647" s="3">
        <v>131.83000000000001</v>
      </c>
      <c r="C647" s="3">
        <v>205.34</v>
      </c>
      <c r="D647" s="3">
        <v>268.75</v>
      </c>
      <c r="E647" s="3">
        <v>281.10000000000002</v>
      </c>
      <c r="F647" s="3">
        <v>211.47</v>
      </c>
      <c r="G647" s="3">
        <v>83.49</v>
      </c>
      <c r="H647" s="3">
        <v>89.53</v>
      </c>
      <c r="I647" s="3">
        <v>92.18</v>
      </c>
      <c r="J647" s="3">
        <v>90.57</v>
      </c>
      <c r="K647" s="3">
        <v>24.75</v>
      </c>
      <c r="L647" s="3">
        <v>65276.97</v>
      </c>
      <c r="M647" s="3">
        <v>43287.51</v>
      </c>
      <c r="N647" s="3">
        <v>39.909999999999997</v>
      </c>
      <c r="O647" s="3">
        <v>5.6820000000000002E-2</v>
      </c>
      <c r="P647" s="3">
        <v>7.1929999999999996</v>
      </c>
      <c r="Q647" s="3">
        <v>94.06</v>
      </c>
      <c r="R647" s="3">
        <v>187.47</v>
      </c>
      <c r="S647" s="3">
        <v>151.94999999999999</v>
      </c>
    </row>
    <row r="648" spans="1:19" ht="14.4" x14ac:dyDescent="0.3">
      <c r="A648" s="2">
        <v>44827</v>
      </c>
      <c r="B648" s="3">
        <v>123.13</v>
      </c>
      <c r="C648" s="3">
        <v>199.2</v>
      </c>
      <c r="D648" s="3">
        <v>259.31</v>
      </c>
      <c r="E648" s="3">
        <v>269.06</v>
      </c>
      <c r="F648" s="3">
        <v>207.46</v>
      </c>
      <c r="G648" s="3">
        <v>78.739999999999995</v>
      </c>
      <c r="H648" s="3">
        <v>85.03</v>
      </c>
      <c r="I648" s="3">
        <v>91.02</v>
      </c>
      <c r="J648" s="3">
        <v>85.75</v>
      </c>
      <c r="K648" s="3">
        <v>23.9</v>
      </c>
      <c r="L648" s="3">
        <v>63416.66</v>
      </c>
      <c r="M648" s="3">
        <v>40308.720000000001</v>
      </c>
      <c r="N648" s="3">
        <v>37.57</v>
      </c>
      <c r="O648" s="3">
        <v>5.5870000000000003E-2</v>
      </c>
      <c r="P648" s="3">
        <v>6.992</v>
      </c>
      <c r="Q648" s="3">
        <v>93.24</v>
      </c>
      <c r="R648" s="3">
        <v>185.495</v>
      </c>
      <c r="S648" s="3">
        <v>147.1</v>
      </c>
    </row>
    <row r="649" spans="1:19" ht="14.4" x14ac:dyDescent="0.3">
      <c r="A649" s="2">
        <v>44830</v>
      </c>
      <c r="B649" s="3">
        <v>123.13</v>
      </c>
      <c r="C649" s="3">
        <v>199.2</v>
      </c>
      <c r="D649" s="3">
        <v>259.31</v>
      </c>
      <c r="E649" s="3">
        <v>269.06</v>
      </c>
      <c r="F649" s="3">
        <v>207.46</v>
      </c>
      <c r="G649" s="3">
        <v>76.709999999999994</v>
      </c>
      <c r="H649" s="3">
        <v>82.86</v>
      </c>
      <c r="I649" s="3">
        <v>90.5</v>
      </c>
      <c r="J649" s="3">
        <v>83.98</v>
      </c>
      <c r="K649" s="3">
        <v>23.25</v>
      </c>
      <c r="L649" s="3">
        <v>63625.66</v>
      </c>
      <c r="M649" s="3">
        <v>41015.279999999999</v>
      </c>
      <c r="N649" s="3">
        <v>37.69</v>
      </c>
      <c r="O649" s="3">
        <v>5.5259999999999997E-2</v>
      </c>
      <c r="P649" s="3">
        <v>7.0140000000000002</v>
      </c>
      <c r="Q649" s="3">
        <v>91.59</v>
      </c>
      <c r="R649" s="3">
        <v>173.83500000000001</v>
      </c>
      <c r="S649" s="3">
        <v>142.75</v>
      </c>
    </row>
    <row r="650" spans="1:19" ht="14.4" x14ac:dyDescent="0.3">
      <c r="A650" s="2">
        <v>44831</v>
      </c>
      <c r="B650" s="3">
        <v>123.13</v>
      </c>
      <c r="C650" s="3">
        <v>199.2</v>
      </c>
      <c r="D650" s="3">
        <v>259.31</v>
      </c>
      <c r="E650" s="3">
        <v>269.06</v>
      </c>
      <c r="F650" s="3">
        <v>207.46</v>
      </c>
      <c r="G650" s="3">
        <v>78.5</v>
      </c>
      <c r="H650" s="3">
        <v>84.87</v>
      </c>
      <c r="I650" s="3">
        <v>90.72</v>
      </c>
      <c r="J650" s="3">
        <v>85.74</v>
      </c>
      <c r="K650" s="3">
        <v>23.35</v>
      </c>
      <c r="L650" s="3">
        <v>64025.95</v>
      </c>
      <c r="M650" s="3">
        <v>41840.14</v>
      </c>
      <c r="N650" s="3">
        <v>42.47</v>
      </c>
      <c r="O650" s="3">
        <v>5.5480000000000002E-2</v>
      </c>
      <c r="P650" s="3">
        <v>6.76</v>
      </c>
      <c r="Q650" s="3">
        <v>91.5</v>
      </c>
      <c r="R650" s="3">
        <v>186.1</v>
      </c>
      <c r="S650" s="3">
        <v>141.69999999999999</v>
      </c>
    </row>
    <row r="651" spans="1:19" ht="14.4" x14ac:dyDescent="0.3">
      <c r="A651" s="2">
        <v>44832</v>
      </c>
      <c r="B651" s="3">
        <v>123.13</v>
      </c>
      <c r="C651" s="3">
        <v>199.2</v>
      </c>
      <c r="D651" s="3">
        <v>259.31</v>
      </c>
      <c r="E651" s="3">
        <v>269.06</v>
      </c>
      <c r="F651" s="3">
        <v>207.46</v>
      </c>
      <c r="G651" s="3">
        <v>82.15</v>
      </c>
      <c r="H651" s="3">
        <v>89.32</v>
      </c>
      <c r="I651" s="3">
        <v>90.9</v>
      </c>
      <c r="J651" s="3">
        <v>88.86</v>
      </c>
      <c r="K651" s="3">
        <v>22.7</v>
      </c>
      <c r="L651" s="3">
        <v>63808.32</v>
      </c>
      <c r="M651" s="3">
        <v>42934.8</v>
      </c>
      <c r="N651" s="3">
        <v>41.204999999999998</v>
      </c>
      <c r="O651" s="3">
        <v>5.5989999999999998E-2</v>
      </c>
      <c r="P651" s="3">
        <v>6.8680000000000003</v>
      </c>
      <c r="Q651" s="3">
        <v>93.05</v>
      </c>
      <c r="R651" s="3">
        <v>207.185</v>
      </c>
      <c r="S651" s="3">
        <v>140.55000000000001</v>
      </c>
    </row>
    <row r="652" spans="1:19" ht="14.4" x14ac:dyDescent="0.3">
      <c r="A652" s="2">
        <v>44833</v>
      </c>
      <c r="B652" s="3">
        <v>123.13</v>
      </c>
      <c r="C652" s="3">
        <v>199.2</v>
      </c>
      <c r="D652" s="3">
        <v>259.31</v>
      </c>
      <c r="E652" s="3">
        <v>269.06</v>
      </c>
      <c r="F652" s="3">
        <v>207.46</v>
      </c>
      <c r="G652" s="3">
        <v>81.23</v>
      </c>
      <c r="H652" s="3">
        <v>88.49</v>
      </c>
      <c r="I652" s="3">
        <v>90.81</v>
      </c>
      <c r="J652" s="3">
        <v>88.68</v>
      </c>
      <c r="K652" s="3">
        <v>23.05</v>
      </c>
      <c r="L652" s="3">
        <v>63263.94</v>
      </c>
      <c r="M652" s="3">
        <v>44522.52</v>
      </c>
      <c r="N652" s="3">
        <v>39.104999999999997</v>
      </c>
      <c r="O652" s="3">
        <v>5.5500000000000001E-2</v>
      </c>
      <c r="P652" s="3">
        <v>6.8739999999999997</v>
      </c>
      <c r="Q652" s="3">
        <v>90.75</v>
      </c>
      <c r="R652" s="3">
        <v>187.66499999999999</v>
      </c>
      <c r="S652" s="3">
        <v>139.75</v>
      </c>
    </row>
    <row r="653" spans="1:19" ht="14.4" x14ac:dyDescent="0.3">
      <c r="A653" s="2">
        <v>44834</v>
      </c>
      <c r="B653" s="3">
        <v>137.4</v>
      </c>
      <c r="C653" s="3">
        <v>209.12</v>
      </c>
      <c r="D653" s="3">
        <v>269.39</v>
      </c>
      <c r="E653" s="3">
        <v>267.5</v>
      </c>
      <c r="F653" s="3">
        <v>183.88</v>
      </c>
      <c r="G653" s="3">
        <v>79.489999999999995</v>
      </c>
      <c r="H653" s="3">
        <v>87.96</v>
      </c>
      <c r="I653" s="3">
        <v>90.91</v>
      </c>
      <c r="J653" s="3">
        <v>87.31</v>
      </c>
      <c r="K653" s="3">
        <v>23.45</v>
      </c>
      <c r="L653" s="3">
        <v>63726.37</v>
      </c>
      <c r="M653" s="3">
        <v>45555.99</v>
      </c>
      <c r="N653" s="3">
        <v>38.725000000000001</v>
      </c>
      <c r="O653" s="3">
        <v>5.5059999999999998E-2</v>
      </c>
      <c r="P653" s="3">
        <v>6.766</v>
      </c>
      <c r="Q653" s="3">
        <v>90.35</v>
      </c>
      <c r="R653" s="3">
        <v>188.8</v>
      </c>
      <c r="S653" s="3">
        <v>142.05000000000001</v>
      </c>
    </row>
    <row r="654" spans="1:19" ht="14.4" x14ac:dyDescent="0.3">
      <c r="A654" s="2">
        <v>44837</v>
      </c>
      <c r="B654" s="3">
        <v>137.4</v>
      </c>
      <c r="C654" s="3">
        <v>209.12</v>
      </c>
      <c r="D654" s="3">
        <v>269.39</v>
      </c>
      <c r="E654" s="3">
        <v>267.5</v>
      </c>
      <c r="F654" s="3">
        <v>183.88</v>
      </c>
      <c r="G654" s="3">
        <v>83.63</v>
      </c>
      <c r="H654" s="3">
        <v>88.86</v>
      </c>
      <c r="I654" s="3">
        <v>88.03</v>
      </c>
      <c r="J654" s="3">
        <v>91.92</v>
      </c>
      <c r="K654" s="3">
        <v>23.35</v>
      </c>
      <c r="L654" s="3">
        <v>64227.23</v>
      </c>
      <c r="M654" s="3">
        <v>46013.49</v>
      </c>
      <c r="N654" s="3">
        <v>38.869999999999997</v>
      </c>
      <c r="O654" s="3">
        <v>5.602E-2</v>
      </c>
      <c r="P654" s="3">
        <v>6.47</v>
      </c>
      <c r="Q654" s="3">
        <v>92.82</v>
      </c>
      <c r="R654" s="3">
        <v>169.91</v>
      </c>
      <c r="S654" s="3">
        <v>139.9</v>
      </c>
    </row>
    <row r="655" spans="1:19" ht="14.4" x14ac:dyDescent="0.3">
      <c r="A655" s="2">
        <v>44838</v>
      </c>
      <c r="B655" s="3">
        <v>137.4</v>
      </c>
      <c r="C655" s="3">
        <v>209.12</v>
      </c>
      <c r="D655" s="3">
        <v>269.39</v>
      </c>
      <c r="E655" s="3">
        <v>267.5</v>
      </c>
      <c r="F655" s="3">
        <v>183.88</v>
      </c>
      <c r="G655" s="3">
        <v>86.52</v>
      </c>
      <c r="H655" s="3">
        <v>91.8</v>
      </c>
      <c r="I655" s="3">
        <v>90.9</v>
      </c>
      <c r="J655" s="3">
        <v>95.27</v>
      </c>
      <c r="K655" s="5">
        <f>FORECAST(A655,K649:K654,A649:A654)</f>
        <v>23.341081081081029</v>
      </c>
      <c r="L655" s="3">
        <v>66312.83</v>
      </c>
      <c r="M655" s="3">
        <v>49331.97</v>
      </c>
      <c r="N655" s="3">
        <v>38.195</v>
      </c>
      <c r="O655" s="3">
        <v>5.6669999999999998E-2</v>
      </c>
      <c r="P655" s="3">
        <v>6.8369999999999997</v>
      </c>
      <c r="Q655" s="3">
        <v>94.16</v>
      </c>
      <c r="R655" s="3">
        <v>161.94999999999999</v>
      </c>
      <c r="S655" s="3">
        <v>143.5</v>
      </c>
    </row>
    <row r="656" spans="1:19" ht="14.4" x14ac:dyDescent="0.3">
      <c r="A656" s="2">
        <v>44839</v>
      </c>
      <c r="B656" s="3">
        <v>137.4</v>
      </c>
      <c r="C656" s="3">
        <v>209.12</v>
      </c>
      <c r="D656" s="3">
        <v>269.39</v>
      </c>
      <c r="E656" s="3">
        <v>267.5</v>
      </c>
      <c r="F656" s="3">
        <v>183.88</v>
      </c>
      <c r="G656" s="3">
        <v>87.76</v>
      </c>
      <c r="H656" s="3">
        <v>93.37</v>
      </c>
      <c r="I656" s="3">
        <v>92.12</v>
      </c>
      <c r="J656" s="3">
        <v>99.12</v>
      </c>
      <c r="K656" s="3">
        <v>23.8</v>
      </c>
      <c r="L656" s="3">
        <v>65612.759999999995</v>
      </c>
      <c r="M656" s="3">
        <v>48616.47</v>
      </c>
      <c r="N656" s="3">
        <v>35.049999999999997</v>
      </c>
      <c r="O656" s="3">
        <v>5.62E-2</v>
      </c>
      <c r="P656" s="3">
        <v>6.93</v>
      </c>
      <c r="Q656" s="3">
        <v>93.41</v>
      </c>
      <c r="R656" s="3">
        <v>173.69499999999999</v>
      </c>
      <c r="S656" s="1">
        <f>S657</f>
        <v>145.80000000000001</v>
      </c>
    </row>
    <row r="657" spans="1:19" ht="14.4" x14ac:dyDescent="0.3">
      <c r="A657" s="2">
        <v>44840</v>
      </c>
      <c r="B657" s="3">
        <v>137.4</v>
      </c>
      <c r="C657" s="3">
        <v>209.12</v>
      </c>
      <c r="D657" s="3">
        <v>269.39</v>
      </c>
      <c r="E657" s="3">
        <v>267.5</v>
      </c>
      <c r="F657" s="3">
        <v>183.88</v>
      </c>
      <c r="G657" s="3">
        <v>88.45</v>
      </c>
      <c r="H657" s="3">
        <v>94.42</v>
      </c>
      <c r="I657" s="3">
        <v>92.98</v>
      </c>
      <c r="J657" s="3">
        <v>102.06</v>
      </c>
      <c r="K657" s="3">
        <v>23.95</v>
      </c>
      <c r="L657" s="3">
        <v>65832.67</v>
      </c>
      <c r="M657" s="3">
        <v>49436.91</v>
      </c>
      <c r="N657" s="3">
        <v>35.854999999999997</v>
      </c>
      <c r="O657" s="3">
        <v>5.5570000000000001E-2</v>
      </c>
      <c r="P657" s="3">
        <v>6.9720000000000004</v>
      </c>
      <c r="Q657" s="3">
        <v>93.35</v>
      </c>
      <c r="R657" s="3">
        <v>175.71</v>
      </c>
      <c r="S657" s="3">
        <v>145.80000000000001</v>
      </c>
    </row>
    <row r="658" spans="1:19" ht="14.4" x14ac:dyDescent="0.3">
      <c r="A658" s="2">
        <v>44841</v>
      </c>
      <c r="B658" s="3">
        <v>133.80000000000001</v>
      </c>
      <c r="C658" s="3">
        <v>194.27</v>
      </c>
      <c r="D658" s="3">
        <v>251.91</v>
      </c>
      <c r="E658" s="3">
        <v>252.2</v>
      </c>
      <c r="F658" s="3">
        <v>190.43</v>
      </c>
      <c r="G658" s="3">
        <v>92.64</v>
      </c>
      <c r="H658" s="3">
        <v>97.92</v>
      </c>
      <c r="I658" s="3">
        <v>95.8</v>
      </c>
      <c r="J658" s="3">
        <v>101.03</v>
      </c>
      <c r="K658" s="3">
        <v>23.75</v>
      </c>
      <c r="L658" s="3">
        <v>65675.48</v>
      </c>
      <c r="M658" s="3">
        <v>48966.41</v>
      </c>
      <c r="N658" s="3">
        <v>34.46</v>
      </c>
      <c r="O658" s="3">
        <v>5.5129999999999998E-2</v>
      </c>
      <c r="P658" s="3">
        <v>6.7480000000000002</v>
      </c>
      <c r="Q658" s="3">
        <v>90.02</v>
      </c>
      <c r="R658" s="3">
        <v>156.20500000000001</v>
      </c>
      <c r="S658" s="3">
        <v>146.05000000000001</v>
      </c>
    </row>
    <row r="659" spans="1:19" ht="14.4" x14ac:dyDescent="0.3">
      <c r="A659" s="4">
        <v>44844</v>
      </c>
      <c r="B659" s="3">
        <v>133.80000000000001</v>
      </c>
      <c r="C659" s="3">
        <v>194.27</v>
      </c>
      <c r="D659" s="3">
        <v>251.91</v>
      </c>
      <c r="E659" s="3">
        <v>252.2</v>
      </c>
      <c r="F659" s="3">
        <v>190.43</v>
      </c>
      <c r="G659" s="3">
        <v>91.13</v>
      </c>
      <c r="H659" s="3">
        <v>96.19</v>
      </c>
      <c r="I659" s="3">
        <v>94.42</v>
      </c>
      <c r="J659" s="3">
        <v>98.84</v>
      </c>
      <c r="K659" s="3">
        <v>23.55</v>
      </c>
      <c r="L659" s="3">
        <v>64769.2</v>
      </c>
      <c r="M659" s="3">
        <v>47318.96</v>
      </c>
      <c r="N659" s="3">
        <v>34.26</v>
      </c>
      <c r="O659" s="3">
        <v>5.5239999999999997E-2</v>
      </c>
      <c r="P659" s="3">
        <v>6.4349999999999996</v>
      </c>
      <c r="Q659" s="3">
        <v>90.26</v>
      </c>
      <c r="R659" s="3">
        <v>154.12</v>
      </c>
      <c r="S659" s="3">
        <v>143.1</v>
      </c>
    </row>
    <row r="660" spans="1:19" ht="14.4" x14ac:dyDescent="0.3">
      <c r="A660" s="4">
        <v>44845</v>
      </c>
      <c r="B660" s="3">
        <v>133.80000000000001</v>
      </c>
      <c r="C660" s="3">
        <v>194.27</v>
      </c>
      <c r="D660" s="3">
        <v>251.91</v>
      </c>
      <c r="E660" s="3">
        <v>252.2</v>
      </c>
      <c r="F660" s="3">
        <v>190.43</v>
      </c>
      <c r="G660" s="3">
        <v>89.35</v>
      </c>
      <c r="H660" s="3">
        <v>94.29</v>
      </c>
      <c r="I660" s="3">
        <v>92.93</v>
      </c>
      <c r="J660" s="3">
        <v>98</v>
      </c>
      <c r="K660" s="3">
        <v>23.45</v>
      </c>
      <c r="L660" s="3">
        <v>64588.09</v>
      </c>
      <c r="M660" s="3">
        <v>47571.49</v>
      </c>
      <c r="N660" s="3">
        <v>34.784999999999997</v>
      </c>
      <c r="O660" s="3">
        <v>5.4980000000000001E-2</v>
      </c>
      <c r="P660" s="3">
        <v>6.5960000000000001</v>
      </c>
      <c r="Q660" s="3">
        <v>90.79</v>
      </c>
      <c r="R660" s="3">
        <v>156.78</v>
      </c>
      <c r="S660" s="3">
        <v>141</v>
      </c>
    </row>
    <row r="661" spans="1:19" ht="14.4" x14ac:dyDescent="0.3">
      <c r="A661" s="4">
        <v>44846</v>
      </c>
      <c r="B661" s="3">
        <v>133.80000000000001</v>
      </c>
      <c r="C661" s="3">
        <v>194.27</v>
      </c>
      <c r="D661" s="3">
        <v>251.91</v>
      </c>
      <c r="E661" s="3">
        <v>252.2</v>
      </c>
      <c r="F661" s="3">
        <v>190.43</v>
      </c>
      <c r="G661" s="3">
        <v>87.27</v>
      </c>
      <c r="H661" s="3">
        <v>92.45</v>
      </c>
      <c r="I661" s="3">
        <v>91.58</v>
      </c>
      <c r="J661" s="3">
        <v>98.43</v>
      </c>
      <c r="K661" s="3">
        <v>23.45</v>
      </c>
      <c r="L661" s="3">
        <v>64528.23</v>
      </c>
      <c r="M661" s="3">
        <v>47532.03</v>
      </c>
      <c r="N661" s="3">
        <v>34.704999999999998</v>
      </c>
      <c r="O661" s="3">
        <v>5.4620000000000002E-2</v>
      </c>
      <c r="P661" s="3">
        <v>6.4349999999999996</v>
      </c>
      <c r="Q661" s="3">
        <v>90.61</v>
      </c>
      <c r="R661" s="3">
        <v>160.19</v>
      </c>
      <c r="S661" s="3">
        <v>142</v>
      </c>
    </row>
    <row r="662" spans="1:19" ht="14.4" x14ac:dyDescent="0.3">
      <c r="A662" s="4">
        <v>44847</v>
      </c>
      <c r="B662" s="3">
        <v>133.80000000000001</v>
      </c>
      <c r="C662" s="3">
        <v>194.27</v>
      </c>
      <c r="D662" s="3">
        <v>251.91</v>
      </c>
      <c r="E662" s="3">
        <v>252.2</v>
      </c>
      <c r="F662" s="3">
        <v>190.43</v>
      </c>
      <c r="G662" s="3">
        <v>89.11</v>
      </c>
      <c r="H662" s="3">
        <v>94.57</v>
      </c>
      <c r="I662" s="3">
        <v>92.42</v>
      </c>
      <c r="J662" s="3">
        <v>101.87</v>
      </c>
      <c r="K662" s="3">
        <v>23.3</v>
      </c>
      <c r="L662" s="3">
        <v>64392.43</v>
      </c>
      <c r="M662" s="3">
        <v>46296.38</v>
      </c>
      <c r="N662" s="3">
        <v>34.835000000000001</v>
      </c>
      <c r="O662" s="3">
        <v>5.4699999999999999E-2</v>
      </c>
      <c r="P662" s="3">
        <v>6.7409999999999997</v>
      </c>
      <c r="Q662" s="3">
        <v>92.47</v>
      </c>
      <c r="R662" s="3">
        <v>153.81</v>
      </c>
      <c r="S662" s="3">
        <v>140.25</v>
      </c>
    </row>
    <row r="663" spans="1:19" ht="14.4" x14ac:dyDescent="0.3">
      <c r="A663" s="4">
        <v>44848</v>
      </c>
      <c r="B663" s="3">
        <v>124.23</v>
      </c>
      <c r="C663" s="3">
        <v>176.57</v>
      </c>
      <c r="D663" s="3">
        <v>228.71</v>
      </c>
      <c r="E663" s="3">
        <v>228.94</v>
      </c>
      <c r="F663" s="3">
        <v>185.92</v>
      </c>
      <c r="G663" s="3">
        <v>85.61</v>
      </c>
      <c r="H663" s="3">
        <v>90.15</v>
      </c>
      <c r="I663" s="3">
        <v>90.79</v>
      </c>
      <c r="J663" s="3">
        <v>99.19</v>
      </c>
      <c r="K663" s="3">
        <v>23.85</v>
      </c>
      <c r="L663" s="3">
        <v>64271.360000000001</v>
      </c>
      <c r="M663" s="3">
        <v>45453.23</v>
      </c>
      <c r="N663" s="3">
        <v>34.779000000000003</v>
      </c>
      <c r="O663" s="3">
        <v>5.4440000000000002E-2</v>
      </c>
      <c r="P663" s="3">
        <v>6.4530000000000003</v>
      </c>
      <c r="Q663" s="3">
        <v>90.15</v>
      </c>
      <c r="R663" s="3">
        <v>141.995</v>
      </c>
      <c r="S663" s="3">
        <v>139.94999999999999</v>
      </c>
    </row>
    <row r="664" spans="1:19" ht="14.4" x14ac:dyDescent="0.3">
      <c r="A664" s="4">
        <v>44851</v>
      </c>
      <c r="B664" s="3">
        <v>124.23</v>
      </c>
      <c r="C664" s="3">
        <v>176.57</v>
      </c>
      <c r="D664" s="3">
        <v>228.71</v>
      </c>
      <c r="E664" s="3">
        <v>228.94</v>
      </c>
      <c r="F664" s="3">
        <v>185.92</v>
      </c>
      <c r="G664" s="3">
        <v>85.46</v>
      </c>
      <c r="H664" s="3">
        <v>90.18</v>
      </c>
      <c r="I664" s="3">
        <v>90.71</v>
      </c>
      <c r="J664" s="3">
        <v>100.62</v>
      </c>
      <c r="K664" s="3">
        <v>23.75</v>
      </c>
      <c r="L664" s="3">
        <v>66190.75</v>
      </c>
      <c r="M664" s="3">
        <v>47122.38</v>
      </c>
      <c r="N664" s="3">
        <v>30.92</v>
      </c>
      <c r="O664" s="3">
        <v>5.5289999999999999E-2</v>
      </c>
      <c r="P664" s="3">
        <v>5.9989999999999997</v>
      </c>
      <c r="Q664" s="3">
        <v>91.78</v>
      </c>
      <c r="R664" s="3">
        <v>127.98</v>
      </c>
      <c r="S664" s="3">
        <v>139.05000000000001</v>
      </c>
    </row>
    <row r="665" spans="1:19" ht="14.4" x14ac:dyDescent="0.3">
      <c r="A665" s="4">
        <v>44852</v>
      </c>
      <c r="B665" s="3">
        <v>124.23</v>
      </c>
      <c r="C665" s="3">
        <v>176.57</v>
      </c>
      <c r="D665" s="3">
        <v>228.71</v>
      </c>
      <c r="E665" s="3">
        <v>228.94</v>
      </c>
      <c r="F665" s="3">
        <v>185.92</v>
      </c>
      <c r="G665" s="3">
        <v>82.82</v>
      </c>
      <c r="H665" s="3">
        <v>88.6</v>
      </c>
      <c r="I665" s="3">
        <v>89.92</v>
      </c>
      <c r="J665" s="3">
        <v>100.8</v>
      </c>
      <c r="K665" s="3">
        <v>23.85</v>
      </c>
      <c r="L665" s="3">
        <v>66350.98</v>
      </c>
      <c r="M665" s="3">
        <v>46559.87</v>
      </c>
      <c r="N665" s="3">
        <v>29.69</v>
      </c>
      <c r="O665" s="3">
        <v>5.5190000000000003E-2</v>
      </c>
      <c r="P665" s="3">
        <v>5.7450000000000001</v>
      </c>
      <c r="Q665" s="3">
        <v>92.71</v>
      </c>
      <c r="R665" s="3">
        <v>113.22</v>
      </c>
      <c r="S665" s="3">
        <v>139.69999999999999</v>
      </c>
    </row>
    <row r="666" spans="1:19" ht="14.4" x14ac:dyDescent="0.3">
      <c r="A666" s="4">
        <v>44853</v>
      </c>
      <c r="B666" s="3">
        <v>124.23</v>
      </c>
      <c r="C666" s="3">
        <v>176.57</v>
      </c>
      <c r="D666" s="3">
        <v>228.71</v>
      </c>
      <c r="E666" s="3">
        <v>228.94</v>
      </c>
      <c r="F666" s="3">
        <v>185.92</v>
      </c>
      <c r="G666" s="3">
        <v>85.55</v>
      </c>
      <c r="H666" s="3">
        <v>90.56</v>
      </c>
      <c r="I666" s="3">
        <v>90.53</v>
      </c>
      <c r="J666" s="3">
        <v>103.79</v>
      </c>
      <c r="K666" s="3">
        <v>23.95</v>
      </c>
      <c r="L666" s="3">
        <v>65652.5</v>
      </c>
      <c r="M666" s="3">
        <v>45309.86</v>
      </c>
      <c r="N666" s="3">
        <v>30.315000000000001</v>
      </c>
      <c r="O666" s="3">
        <v>5.4640000000000001E-2</v>
      </c>
      <c r="P666" s="3">
        <v>5.4619999999999997</v>
      </c>
      <c r="Q666" s="3">
        <v>91.63</v>
      </c>
      <c r="R666" s="3">
        <v>112.51</v>
      </c>
      <c r="S666" s="3">
        <v>140.94999999999999</v>
      </c>
    </row>
    <row r="667" spans="1:19" ht="14.4" x14ac:dyDescent="0.3">
      <c r="A667" s="4">
        <v>44854</v>
      </c>
      <c r="B667" s="3">
        <v>124.23</v>
      </c>
      <c r="C667" s="3">
        <v>176.57</v>
      </c>
      <c r="D667" s="3">
        <v>228.71</v>
      </c>
      <c r="E667" s="3">
        <v>228.94</v>
      </c>
      <c r="F667" s="3">
        <v>185.92</v>
      </c>
      <c r="G667" s="3">
        <v>85.98</v>
      </c>
      <c r="H667" s="3">
        <v>90.45</v>
      </c>
      <c r="I667" s="3">
        <v>90.54</v>
      </c>
      <c r="J667" s="3">
        <v>103.93</v>
      </c>
      <c r="K667" s="3">
        <v>23.65</v>
      </c>
      <c r="L667" s="3">
        <v>65794.28</v>
      </c>
      <c r="M667" s="3">
        <v>45810.45</v>
      </c>
      <c r="N667" s="3">
        <v>32.35</v>
      </c>
      <c r="O667" s="3">
        <v>5.466E-2</v>
      </c>
      <c r="P667" s="3">
        <v>5.3579999999999997</v>
      </c>
      <c r="Q667" s="3">
        <v>90.33</v>
      </c>
      <c r="R667" s="3">
        <v>127.145</v>
      </c>
      <c r="S667" s="3">
        <v>140.69999999999999</v>
      </c>
    </row>
    <row r="668" spans="1:19" ht="14.4" x14ac:dyDescent="0.3">
      <c r="A668" s="4">
        <v>44855</v>
      </c>
      <c r="B668" s="3">
        <v>115.27</v>
      </c>
      <c r="C668" s="3">
        <v>165.67</v>
      </c>
      <c r="D668" s="3">
        <v>216.02</v>
      </c>
      <c r="E668" s="3">
        <v>229.33</v>
      </c>
      <c r="F668" s="3">
        <v>176.76</v>
      </c>
      <c r="G668" s="3">
        <v>85.05</v>
      </c>
      <c r="H668" s="3">
        <v>91.34</v>
      </c>
      <c r="I668" s="3">
        <v>90.95</v>
      </c>
      <c r="J668" s="3">
        <v>105.86</v>
      </c>
      <c r="K668" s="3">
        <v>23.8</v>
      </c>
      <c r="L668" s="3">
        <v>65539.240000000005</v>
      </c>
      <c r="M668" s="3">
        <v>46418.32</v>
      </c>
      <c r="N668" s="3">
        <v>32.47</v>
      </c>
      <c r="O668" s="3">
        <v>5.5169999999999997E-2</v>
      </c>
      <c r="P668" s="3">
        <v>4.9589999999999996</v>
      </c>
      <c r="Q668" s="3">
        <v>93.05</v>
      </c>
      <c r="R668" s="3">
        <v>113.575</v>
      </c>
      <c r="S668" s="3">
        <v>134.5</v>
      </c>
    </row>
    <row r="669" spans="1:19" ht="14.4" x14ac:dyDescent="0.3">
      <c r="A669" s="4">
        <v>44858</v>
      </c>
      <c r="B669" s="3">
        <v>115.27</v>
      </c>
      <c r="C669" s="3">
        <v>165.67</v>
      </c>
      <c r="D669" s="3">
        <v>216.02</v>
      </c>
      <c r="E669" s="3">
        <v>229.33</v>
      </c>
      <c r="F669" s="3">
        <v>176.76</v>
      </c>
      <c r="G669" s="3">
        <v>84.58</v>
      </c>
      <c r="H669" s="3">
        <v>91.21</v>
      </c>
      <c r="I669" s="3">
        <v>90.88</v>
      </c>
      <c r="J669" s="3">
        <v>106.6</v>
      </c>
      <c r="K669" s="3">
        <v>22.35</v>
      </c>
      <c r="L669" s="3">
        <v>64975.95</v>
      </c>
      <c r="M669" s="3">
        <v>46602.85</v>
      </c>
      <c r="N669" s="3">
        <v>31.29</v>
      </c>
      <c r="O669" s="3">
        <v>5.432E-2</v>
      </c>
      <c r="P669" s="3">
        <v>5.1989999999999998</v>
      </c>
      <c r="Q669" s="3">
        <v>93.24</v>
      </c>
      <c r="R669" s="3">
        <v>99.17</v>
      </c>
      <c r="S669" s="3">
        <v>136.44999999999999</v>
      </c>
    </row>
    <row r="670" spans="1:19" ht="14.4" x14ac:dyDescent="0.3">
      <c r="A670" s="4">
        <v>44859</v>
      </c>
      <c r="B670" s="3">
        <v>115.27</v>
      </c>
      <c r="C670" s="3">
        <v>165.67</v>
      </c>
      <c r="D670" s="3">
        <v>216.02</v>
      </c>
      <c r="E670" s="3">
        <v>229.33</v>
      </c>
      <c r="F670" s="3">
        <v>176.76</v>
      </c>
      <c r="G670" s="3">
        <v>85.32</v>
      </c>
      <c r="H670" s="3">
        <v>91.74</v>
      </c>
      <c r="I670" s="3">
        <v>90.84</v>
      </c>
      <c r="J670" s="3">
        <v>105.88</v>
      </c>
      <c r="K670" s="3">
        <v>22.9</v>
      </c>
      <c r="L670" s="3">
        <v>65850.84</v>
      </c>
      <c r="M670" s="3">
        <v>46449.97</v>
      </c>
      <c r="N670" s="3">
        <v>31.02</v>
      </c>
      <c r="O670" s="3">
        <v>5.491E-2</v>
      </c>
      <c r="P670" s="3">
        <v>5.6130000000000004</v>
      </c>
      <c r="Q670" s="3">
        <v>95.16</v>
      </c>
      <c r="R670" s="3">
        <v>99.795000000000002</v>
      </c>
      <c r="S670" s="3">
        <v>139.19999999999999</v>
      </c>
    </row>
    <row r="671" spans="1:19" ht="14.4" x14ac:dyDescent="0.3">
      <c r="A671" s="4">
        <v>44860</v>
      </c>
      <c r="B671" s="3">
        <v>115.27</v>
      </c>
      <c r="C671" s="3">
        <v>165.67</v>
      </c>
      <c r="D671" s="3">
        <v>216.02</v>
      </c>
      <c r="E671" s="3">
        <v>229.33</v>
      </c>
      <c r="F671" s="3">
        <v>176.76</v>
      </c>
      <c r="G671" s="3">
        <v>87.91</v>
      </c>
      <c r="H671" s="3">
        <v>95.69</v>
      </c>
      <c r="I671" s="3">
        <v>91.16</v>
      </c>
      <c r="J671" s="3">
        <v>107.14</v>
      </c>
      <c r="K671" s="3">
        <v>22.6</v>
      </c>
      <c r="L671" s="3">
        <v>67103.09</v>
      </c>
      <c r="M671" s="3">
        <v>48305.03</v>
      </c>
      <c r="N671" s="3">
        <v>30.45</v>
      </c>
      <c r="O671" s="3">
        <v>5.5710000000000003E-2</v>
      </c>
      <c r="P671" s="3">
        <v>5.6059999999999999</v>
      </c>
      <c r="Q671" s="3">
        <v>93.89</v>
      </c>
      <c r="R671" s="3">
        <v>104.32</v>
      </c>
      <c r="S671" s="1">
        <f>S672</f>
        <v>139.30000000000001</v>
      </c>
    </row>
    <row r="672" spans="1:19" ht="14.4" x14ac:dyDescent="0.3">
      <c r="A672" s="4">
        <v>44861</v>
      </c>
      <c r="B672" s="3">
        <v>115.27</v>
      </c>
      <c r="C672" s="3">
        <v>165.67</v>
      </c>
      <c r="D672" s="3">
        <v>216.02</v>
      </c>
      <c r="E672" s="3">
        <v>229.33</v>
      </c>
      <c r="F672" s="3">
        <v>176.76</v>
      </c>
      <c r="G672" s="3">
        <v>89.08</v>
      </c>
      <c r="H672" s="3">
        <v>96.96</v>
      </c>
      <c r="I672" s="3">
        <v>91.26</v>
      </c>
      <c r="J672" s="3">
        <v>107.55</v>
      </c>
      <c r="K672" s="3">
        <v>22.5</v>
      </c>
      <c r="L672" s="3">
        <v>67123.41</v>
      </c>
      <c r="M672" s="3">
        <v>48509.440000000002</v>
      </c>
      <c r="N672" s="3">
        <v>30.49</v>
      </c>
      <c r="O672" s="3">
        <v>5.5579999999999997E-2</v>
      </c>
      <c r="P672" s="3">
        <v>5.1859999999999999</v>
      </c>
      <c r="Q672" s="3">
        <v>95.63</v>
      </c>
      <c r="R672" s="3">
        <v>107.38500000000001</v>
      </c>
      <c r="S672" s="3">
        <v>139.30000000000001</v>
      </c>
    </row>
    <row r="673" spans="1:19" ht="14.4" x14ac:dyDescent="0.3">
      <c r="A673" s="4">
        <v>44862</v>
      </c>
      <c r="B673" s="3">
        <v>112.79</v>
      </c>
      <c r="C673" s="3">
        <v>156.97999999999999</v>
      </c>
      <c r="D673" s="3">
        <v>203.85</v>
      </c>
      <c r="E673" s="3">
        <v>219.3</v>
      </c>
      <c r="F673" s="3">
        <v>176.32</v>
      </c>
      <c r="G673" s="3">
        <v>87.9</v>
      </c>
      <c r="H673" s="3">
        <v>95.77</v>
      </c>
      <c r="I673" s="3">
        <v>91.11</v>
      </c>
      <c r="J673" s="3">
        <v>110.7</v>
      </c>
      <c r="K673" s="3">
        <v>21.9</v>
      </c>
      <c r="L673" s="3">
        <v>66385.58</v>
      </c>
      <c r="M673" s="3">
        <v>48001.77</v>
      </c>
      <c r="N673" s="3">
        <v>30.16</v>
      </c>
      <c r="O673" s="3">
        <v>5.5289999999999999E-2</v>
      </c>
      <c r="P673" s="3">
        <v>5.6840000000000002</v>
      </c>
      <c r="Q673" s="3">
        <v>96.68</v>
      </c>
      <c r="R673" s="3">
        <v>112.244</v>
      </c>
      <c r="S673" s="3">
        <v>138.35</v>
      </c>
    </row>
    <row r="674" spans="1:19" ht="14.4" x14ac:dyDescent="0.3">
      <c r="A674" s="4">
        <v>44865</v>
      </c>
      <c r="B674" s="3">
        <v>112.79</v>
      </c>
      <c r="C674" s="3">
        <v>156.97999999999999</v>
      </c>
      <c r="D674" s="3">
        <v>203.85</v>
      </c>
      <c r="E674" s="3">
        <v>219.3</v>
      </c>
      <c r="F674" s="3">
        <v>176.32</v>
      </c>
      <c r="G674" s="3">
        <v>86.53</v>
      </c>
      <c r="H674" s="3">
        <v>94.83</v>
      </c>
      <c r="I674" s="3">
        <v>91.13</v>
      </c>
      <c r="J674" s="3">
        <v>110.81</v>
      </c>
      <c r="K674" s="3">
        <v>20.65</v>
      </c>
      <c r="L674" s="3">
        <v>66671.649999999994</v>
      </c>
      <c r="M674" s="3">
        <v>47999.24</v>
      </c>
      <c r="N674" s="3">
        <v>27.535</v>
      </c>
      <c r="O674" s="3">
        <v>5.4629999999999998E-2</v>
      </c>
      <c r="P674" s="3">
        <v>6.3550000000000004</v>
      </c>
      <c r="Q674" s="3">
        <v>95.57</v>
      </c>
      <c r="R674" s="3">
        <v>123.35</v>
      </c>
      <c r="S674" s="3">
        <v>139.9</v>
      </c>
    </row>
    <row r="675" spans="1:19" ht="14.4" x14ac:dyDescent="0.3">
      <c r="A675" s="2">
        <v>44866</v>
      </c>
      <c r="B675" s="3">
        <v>112.79</v>
      </c>
      <c r="C675" s="3">
        <v>156.97999999999999</v>
      </c>
      <c r="D675" s="3">
        <v>203.85</v>
      </c>
      <c r="E675" s="3">
        <v>219.3</v>
      </c>
      <c r="F675" s="3">
        <v>176.32</v>
      </c>
      <c r="G675" s="3">
        <v>88.37</v>
      </c>
      <c r="H675" s="3">
        <v>94.65</v>
      </c>
      <c r="I675" s="3">
        <v>91.22</v>
      </c>
      <c r="J675" s="3">
        <v>111.91</v>
      </c>
      <c r="K675" s="3">
        <v>21.15</v>
      </c>
      <c r="L675" s="3">
        <v>67414.27</v>
      </c>
      <c r="M675" s="3">
        <v>48205.09</v>
      </c>
      <c r="N675" s="3">
        <v>27.54</v>
      </c>
      <c r="O675" s="3">
        <v>5.493E-2</v>
      </c>
      <c r="P675" s="3">
        <v>5.7140000000000004</v>
      </c>
      <c r="Q675" s="3">
        <v>94.02</v>
      </c>
      <c r="R675" s="3">
        <v>116.19499999999999</v>
      </c>
      <c r="S675" s="3">
        <v>140.55000000000001</v>
      </c>
    </row>
    <row r="676" spans="1:19" ht="14.4" x14ac:dyDescent="0.3">
      <c r="A676" s="2">
        <v>44867</v>
      </c>
      <c r="B676" s="3">
        <v>112.79</v>
      </c>
      <c r="C676" s="3">
        <v>156.97999999999999</v>
      </c>
      <c r="D676" s="3">
        <v>203.85</v>
      </c>
      <c r="E676" s="3">
        <v>219.3</v>
      </c>
      <c r="F676" s="3">
        <v>176.32</v>
      </c>
      <c r="G676" s="3">
        <v>90</v>
      </c>
      <c r="H676" s="3">
        <v>96.16</v>
      </c>
      <c r="I676" s="3">
        <v>91.87</v>
      </c>
      <c r="J676" s="3">
        <v>109.61</v>
      </c>
      <c r="K676" s="3">
        <v>21.3</v>
      </c>
      <c r="L676" s="3">
        <v>67123.100000000006</v>
      </c>
      <c r="M676" s="3">
        <v>48804.480000000003</v>
      </c>
      <c r="N676" s="3">
        <v>29.105</v>
      </c>
      <c r="O676" s="3">
        <v>5.4739999999999997E-2</v>
      </c>
      <c r="P676" s="3">
        <v>6.2679999999999998</v>
      </c>
      <c r="Q676" s="3">
        <v>92.63</v>
      </c>
      <c r="R676" s="3">
        <v>125.86499999999999</v>
      </c>
      <c r="S676" s="3">
        <v>143.25</v>
      </c>
    </row>
    <row r="677" spans="1:19" ht="14.4" x14ac:dyDescent="0.3">
      <c r="A677" s="2">
        <v>44868</v>
      </c>
      <c r="B677" s="3">
        <v>112.79</v>
      </c>
      <c r="C677" s="3">
        <v>156.97999999999999</v>
      </c>
      <c r="D677" s="3">
        <v>203.85</v>
      </c>
      <c r="E677" s="3">
        <v>219.3</v>
      </c>
      <c r="F677" s="3">
        <v>176.32</v>
      </c>
      <c r="G677" s="3">
        <v>88.17</v>
      </c>
      <c r="H677" s="3">
        <v>94.67</v>
      </c>
      <c r="I677" s="3">
        <v>89.5</v>
      </c>
      <c r="J677" s="3">
        <v>111.1</v>
      </c>
      <c r="K677" s="3">
        <v>21.3</v>
      </c>
      <c r="L677" s="3">
        <v>66046.649999999994</v>
      </c>
      <c r="M677" s="3">
        <v>46662.75</v>
      </c>
      <c r="N677" s="3">
        <v>27.815000000000001</v>
      </c>
      <c r="O677" s="3">
        <v>5.4289999999999998E-2</v>
      </c>
      <c r="P677" s="3">
        <v>5.9749999999999996</v>
      </c>
      <c r="Q677" s="3">
        <v>95.47</v>
      </c>
      <c r="R677" s="3">
        <v>125.44499999999999</v>
      </c>
      <c r="S677" s="3">
        <v>143.94999999999999</v>
      </c>
    </row>
    <row r="678" spans="1:19" ht="14.4" x14ac:dyDescent="0.3">
      <c r="A678" s="2">
        <v>44869</v>
      </c>
      <c r="B678" s="3">
        <v>125.47</v>
      </c>
      <c r="C678" s="3">
        <v>147</v>
      </c>
      <c r="D678" s="3">
        <v>191.34</v>
      </c>
      <c r="E678" s="3">
        <v>205.64</v>
      </c>
      <c r="F678" s="3">
        <v>171.86</v>
      </c>
      <c r="G678" s="3">
        <v>92.61</v>
      </c>
      <c r="H678" s="3">
        <v>98.57</v>
      </c>
      <c r="I678" s="3">
        <v>93.63</v>
      </c>
      <c r="J678" s="3">
        <v>112.31</v>
      </c>
      <c r="K678" s="3">
        <v>22.15</v>
      </c>
      <c r="L678" s="3">
        <v>69305.19</v>
      </c>
      <c r="M678" s="3">
        <v>50410.2</v>
      </c>
      <c r="N678" s="3">
        <v>28.925000000000001</v>
      </c>
      <c r="O678" s="3">
        <v>5.5809999999999998E-2</v>
      </c>
      <c r="P678" s="3">
        <v>6.4</v>
      </c>
      <c r="Q678" s="3">
        <v>96.62</v>
      </c>
      <c r="R678" s="3">
        <v>114.785</v>
      </c>
      <c r="S678" s="3">
        <v>141.85</v>
      </c>
    </row>
    <row r="679" spans="1:19" ht="14.4" x14ac:dyDescent="0.3">
      <c r="A679" s="2">
        <v>44872</v>
      </c>
      <c r="B679" s="3">
        <v>125.47</v>
      </c>
      <c r="C679" s="3">
        <v>147</v>
      </c>
      <c r="D679" s="3">
        <v>191.34</v>
      </c>
      <c r="E679" s="3">
        <v>205.64</v>
      </c>
      <c r="F679" s="3">
        <v>171.86</v>
      </c>
      <c r="G679" s="3">
        <v>91.79</v>
      </c>
      <c r="H679" s="3">
        <v>97.92</v>
      </c>
      <c r="I679" s="3">
        <v>92.68</v>
      </c>
      <c r="J679" s="3">
        <v>113.64</v>
      </c>
      <c r="K679" s="3">
        <v>22.55</v>
      </c>
      <c r="L679" s="3">
        <v>69439.320000000007</v>
      </c>
      <c r="M679" s="3">
        <v>50900.92</v>
      </c>
      <c r="N679" s="3">
        <v>27.195</v>
      </c>
      <c r="O679" s="3">
        <v>5.6349999999999997E-2</v>
      </c>
      <c r="P679" s="3">
        <v>6.944</v>
      </c>
      <c r="Q679" s="3">
        <v>97.5</v>
      </c>
      <c r="R679" s="3">
        <v>109.685</v>
      </c>
      <c r="S679" s="3">
        <v>144.05000000000001</v>
      </c>
    </row>
    <row r="680" spans="1:19" ht="14.4" x14ac:dyDescent="0.3">
      <c r="A680" s="2">
        <v>44873</v>
      </c>
      <c r="B680" s="3">
        <v>125.47</v>
      </c>
      <c r="C680" s="3">
        <v>147</v>
      </c>
      <c r="D680" s="3">
        <v>191.34</v>
      </c>
      <c r="E680" s="3">
        <v>205.64</v>
      </c>
      <c r="F680" s="3">
        <v>171.86</v>
      </c>
      <c r="G680" s="3">
        <v>88.91</v>
      </c>
      <c r="H680" s="3">
        <v>95.36</v>
      </c>
      <c r="I680" s="3">
        <v>90.62</v>
      </c>
      <c r="J680" s="3">
        <v>114</v>
      </c>
      <c r="K680" s="3">
        <v>22.65</v>
      </c>
      <c r="L680" s="3">
        <v>69011.45</v>
      </c>
      <c r="M680" s="3">
        <v>50658.47</v>
      </c>
      <c r="N680" s="3">
        <v>27.88</v>
      </c>
      <c r="O680" s="3">
        <v>5.6439999999999997E-2</v>
      </c>
      <c r="P680" s="3">
        <v>6.1379999999999999</v>
      </c>
      <c r="Q680" s="3">
        <v>99.43</v>
      </c>
      <c r="R680" s="3">
        <v>118.145</v>
      </c>
      <c r="S680" s="1">
        <f>S681</f>
        <v>142.6</v>
      </c>
    </row>
    <row r="681" spans="1:19" ht="14.4" x14ac:dyDescent="0.3">
      <c r="A681" s="2">
        <v>44874</v>
      </c>
      <c r="B681" s="3">
        <v>125.47</v>
      </c>
      <c r="C681" s="3">
        <v>147</v>
      </c>
      <c r="D681" s="3">
        <v>191.34</v>
      </c>
      <c r="E681" s="3">
        <v>205.64</v>
      </c>
      <c r="F681" s="3">
        <v>171.86</v>
      </c>
      <c r="G681" s="3">
        <v>85.83</v>
      </c>
      <c r="H681" s="3">
        <v>92.65</v>
      </c>
      <c r="I681" s="3">
        <v>88.8</v>
      </c>
      <c r="J681" s="3">
        <v>108.9</v>
      </c>
      <c r="K681" s="3">
        <v>22.45</v>
      </c>
      <c r="L681" s="3">
        <v>69640.23</v>
      </c>
      <c r="M681" s="3">
        <v>53873.72</v>
      </c>
      <c r="N681" s="3">
        <v>27.73</v>
      </c>
      <c r="O681" s="3">
        <v>5.629E-2</v>
      </c>
      <c r="P681" s="3">
        <v>5.8650000000000002</v>
      </c>
      <c r="Q681" s="3">
        <v>97.26</v>
      </c>
      <c r="R681" s="3">
        <v>113.145</v>
      </c>
      <c r="S681" s="3">
        <v>142.6</v>
      </c>
    </row>
    <row r="682" spans="1:19" ht="14.4" x14ac:dyDescent="0.3">
      <c r="A682" s="4">
        <v>44875</v>
      </c>
      <c r="B682" s="3">
        <v>125.47</v>
      </c>
      <c r="C682" s="3">
        <v>147</v>
      </c>
      <c r="D682" s="3">
        <v>191.34</v>
      </c>
      <c r="E682" s="3">
        <v>205.64</v>
      </c>
      <c r="F682" s="3">
        <v>171.86</v>
      </c>
      <c r="G682" s="3">
        <v>86.47</v>
      </c>
      <c r="H682" s="3">
        <v>93.67</v>
      </c>
      <c r="I682" s="3">
        <v>89.36</v>
      </c>
      <c r="J682" s="3">
        <v>110.5</v>
      </c>
      <c r="K682" s="3">
        <v>22.85</v>
      </c>
      <c r="L682" s="3">
        <v>70710.27</v>
      </c>
      <c r="M682" s="3">
        <v>55066.61</v>
      </c>
      <c r="N682" s="3">
        <v>27.545000000000002</v>
      </c>
      <c r="O682" s="3">
        <v>5.7520000000000002E-2</v>
      </c>
      <c r="P682" s="3">
        <v>6.2389999999999999</v>
      </c>
      <c r="Q682" s="3">
        <v>102.54</v>
      </c>
      <c r="R682" s="3">
        <v>113.45</v>
      </c>
      <c r="S682" s="3">
        <v>140.19999999999999</v>
      </c>
    </row>
    <row r="683" spans="1:19" ht="14.4" x14ac:dyDescent="0.3">
      <c r="A683" s="4">
        <v>44876</v>
      </c>
      <c r="B683" s="3">
        <v>125.18</v>
      </c>
      <c r="C683" s="3">
        <v>143.85</v>
      </c>
      <c r="D683" s="3">
        <v>164.24</v>
      </c>
      <c r="E683" s="3">
        <v>172.55</v>
      </c>
      <c r="F683" s="3">
        <v>158.44999999999999</v>
      </c>
      <c r="G683" s="3">
        <v>88.96</v>
      </c>
      <c r="H683" s="3">
        <v>95.99</v>
      </c>
      <c r="I683" s="3">
        <v>91.11</v>
      </c>
      <c r="J683" s="3">
        <v>113.95</v>
      </c>
      <c r="K683" s="3">
        <v>22.85</v>
      </c>
      <c r="L683" s="3">
        <v>72982.8</v>
      </c>
      <c r="M683" s="3">
        <v>55838.47</v>
      </c>
      <c r="N683" s="3">
        <v>27.225000000000001</v>
      </c>
      <c r="O683" s="3">
        <v>5.7910000000000003E-2</v>
      </c>
      <c r="P683" s="3">
        <v>5.8789999999999996</v>
      </c>
      <c r="Q683" s="3">
        <v>104.32</v>
      </c>
      <c r="R683" s="3">
        <v>97.855000000000004</v>
      </c>
      <c r="S683" s="3">
        <v>144.69999999999999</v>
      </c>
    </row>
    <row r="684" spans="1:19" ht="14.4" x14ac:dyDescent="0.3">
      <c r="A684" s="4">
        <v>44879</v>
      </c>
      <c r="B684" s="3">
        <v>125.18</v>
      </c>
      <c r="C684" s="3">
        <v>143.85</v>
      </c>
      <c r="D684" s="3">
        <v>164.24</v>
      </c>
      <c r="E684" s="3">
        <v>172.55</v>
      </c>
      <c r="F684" s="3">
        <v>158.44999999999999</v>
      </c>
      <c r="G684" s="3">
        <v>85.87</v>
      </c>
      <c r="H684" s="3">
        <v>93.14</v>
      </c>
      <c r="I684" s="3">
        <v>89.5</v>
      </c>
      <c r="J684" s="3">
        <v>113.37</v>
      </c>
      <c r="K684" s="3">
        <v>22.4</v>
      </c>
      <c r="L684" s="3">
        <v>72822.47</v>
      </c>
      <c r="M684" s="3">
        <v>55614.25</v>
      </c>
      <c r="N684" s="3">
        <v>27.23</v>
      </c>
      <c r="O684" s="3">
        <v>5.7750000000000003E-2</v>
      </c>
      <c r="P684" s="3">
        <v>5.9329999999999998</v>
      </c>
      <c r="Q684" s="3">
        <v>104.1</v>
      </c>
      <c r="R684" s="3">
        <v>113.705</v>
      </c>
      <c r="S684" s="3">
        <v>145.85</v>
      </c>
    </row>
    <row r="685" spans="1:19" ht="14.4" x14ac:dyDescent="0.3">
      <c r="A685" s="4">
        <v>44880</v>
      </c>
      <c r="B685" s="3">
        <v>125.18</v>
      </c>
      <c r="C685" s="3">
        <v>143.85</v>
      </c>
      <c r="D685" s="3">
        <v>164.24</v>
      </c>
      <c r="E685" s="3">
        <v>172.55</v>
      </c>
      <c r="F685" s="3">
        <v>158.44999999999999</v>
      </c>
      <c r="G685" s="3">
        <v>86.92</v>
      </c>
      <c r="H685" s="3">
        <v>93.86</v>
      </c>
      <c r="I685" s="3">
        <v>89.44</v>
      </c>
      <c r="J685" s="3">
        <v>114.13</v>
      </c>
      <c r="K685" s="3">
        <v>22.45</v>
      </c>
      <c r="L685" s="3">
        <v>72998.69</v>
      </c>
      <c r="M685" s="3">
        <v>55855.61</v>
      </c>
      <c r="N685" s="3">
        <v>27.396999999999998</v>
      </c>
      <c r="O685" s="3">
        <v>5.7700000000000001E-2</v>
      </c>
      <c r="P685" s="3">
        <v>6.0339999999999998</v>
      </c>
      <c r="Q685" s="3">
        <v>105.05</v>
      </c>
      <c r="R685" s="3">
        <v>124.105</v>
      </c>
      <c r="S685" s="3">
        <v>145.35</v>
      </c>
    </row>
    <row r="686" spans="1:19" ht="14.4" x14ac:dyDescent="0.3">
      <c r="A686" s="4">
        <v>44881</v>
      </c>
      <c r="B686" s="3">
        <v>125.18</v>
      </c>
      <c r="C686" s="3">
        <v>143.85</v>
      </c>
      <c r="D686" s="3">
        <v>164.24</v>
      </c>
      <c r="E686" s="3">
        <v>172.55</v>
      </c>
      <c r="F686" s="3">
        <v>158.44999999999999</v>
      </c>
      <c r="G686" s="3">
        <v>85.59</v>
      </c>
      <c r="H686" s="3">
        <v>92.86</v>
      </c>
      <c r="I686" s="3">
        <v>88.94</v>
      </c>
      <c r="J686" s="3">
        <v>112.91</v>
      </c>
      <c r="K686" s="3">
        <v>22.55</v>
      </c>
      <c r="L686" s="3">
        <v>72607.460000000006</v>
      </c>
      <c r="M686" s="3">
        <v>54596.800000000003</v>
      </c>
      <c r="N686" s="3">
        <v>25.885000000000002</v>
      </c>
      <c r="O686" s="3">
        <v>5.79E-2</v>
      </c>
      <c r="P686" s="3">
        <v>6.2</v>
      </c>
      <c r="Q686" s="3">
        <v>104.02</v>
      </c>
      <c r="R686" s="3">
        <v>113.9</v>
      </c>
      <c r="S686" s="3">
        <v>141.55000000000001</v>
      </c>
    </row>
    <row r="687" spans="1:19" ht="14.4" x14ac:dyDescent="0.3">
      <c r="A687" s="4">
        <v>44882</v>
      </c>
      <c r="B687" s="3">
        <v>125.18</v>
      </c>
      <c r="C687" s="3">
        <v>143.85</v>
      </c>
      <c r="D687" s="3">
        <v>164.24</v>
      </c>
      <c r="E687" s="3">
        <v>172.55</v>
      </c>
      <c r="F687" s="3">
        <v>158.44999999999999</v>
      </c>
      <c r="G687" s="3">
        <v>81.64</v>
      </c>
      <c r="H687" s="3">
        <v>89.78</v>
      </c>
      <c r="I687" s="3">
        <v>87.59</v>
      </c>
      <c r="J687" s="3">
        <v>113.06</v>
      </c>
      <c r="K687" s="3">
        <v>22</v>
      </c>
      <c r="L687" s="3">
        <v>72155.289999999994</v>
      </c>
      <c r="M687" s="3">
        <v>53974.37</v>
      </c>
      <c r="N687" s="3">
        <v>26.315000000000001</v>
      </c>
      <c r="O687" s="3">
        <v>5.7480000000000003E-2</v>
      </c>
      <c r="P687" s="3">
        <v>6.3689999999999998</v>
      </c>
      <c r="Q687" s="3">
        <v>104.1</v>
      </c>
      <c r="R687" s="3">
        <v>112.55500000000001</v>
      </c>
      <c r="S687" s="3">
        <v>139</v>
      </c>
    </row>
    <row r="688" spans="1:19" ht="14.4" x14ac:dyDescent="0.3">
      <c r="A688" s="4">
        <v>44883</v>
      </c>
      <c r="B688" s="3">
        <v>119.49</v>
      </c>
      <c r="C688" s="3">
        <v>147.03</v>
      </c>
      <c r="D688" s="3">
        <v>173.52</v>
      </c>
      <c r="E688" s="3">
        <v>181.7</v>
      </c>
      <c r="F688" s="3">
        <v>154.97999999999999</v>
      </c>
      <c r="G688" s="3">
        <v>80.08</v>
      </c>
      <c r="H688" s="3">
        <v>87.62</v>
      </c>
      <c r="I688" s="3">
        <v>86.86</v>
      </c>
      <c r="J688" s="3">
        <v>112.08</v>
      </c>
      <c r="K688" s="3">
        <v>22.1</v>
      </c>
      <c r="L688" s="3">
        <v>72576.86</v>
      </c>
      <c r="M688" s="3">
        <v>53972.24</v>
      </c>
      <c r="N688" s="3">
        <v>26.385000000000002</v>
      </c>
      <c r="O688" s="3">
        <v>5.7950000000000002E-2</v>
      </c>
      <c r="P688" s="3">
        <v>6.3029999999999999</v>
      </c>
      <c r="Q688" s="3">
        <v>104.21</v>
      </c>
      <c r="R688" s="3">
        <v>115.51</v>
      </c>
      <c r="S688" s="3">
        <v>138.44999999999999</v>
      </c>
    </row>
    <row r="689" spans="1:19" ht="14.4" x14ac:dyDescent="0.3">
      <c r="A689" s="4">
        <v>44886</v>
      </c>
      <c r="B689" s="3">
        <v>119.49</v>
      </c>
      <c r="C689" s="3">
        <v>147.03</v>
      </c>
      <c r="D689" s="3">
        <v>173.52</v>
      </c>
      <c r="E689" s="3">
        <v>181.7</v>
      </c>
      <c r="F689" s="3">
        <v>154.97999999999999</v>
      </c>
      <c r="G689" s="3">
        <v>79.73</v>
      </c>
      <c r="H689" s="3">
        <v>87.45</v>
      </c>
      <c r="I689" s="3">
        <v>86.62</v>
      </c>
      <c r="J689" s="3">
        <v>110.97</v>
      </c>
      <c r="K689" s="3">
        <v>21.95</v>
      </c>
      <c r="L689" s="3">
        <v>71938.009999999995</v>
      </c>
      <c r="M689" s="3">
        <v>53284.42</v>
      </c>
      <c r="N689" s="3">
        <v>27.3</v>
      </c>
      <c r="O689" s="3">
        <v>5.7630000000000001E-2</v>
      </c>
      <c r="P689" s="3">
        <v>6.7759999999999998</v>
      </c>
      <c r="Q689" s="3">
        <v>105.35</v>
      </c>
      <c r="R689" s="3">
        <v>116.13</v>
      </c>
      <c r="S689" s="3">
        <v>145.25</v>
      </c>
    </row>
    <row r="690" spans="1:19" ht="14.4" x14ac:dyDescent="0.3">
      <c r="A690" s="4">
        <v>44887</v>
      </c>
      <c r="B690" s="3">
        <v>119.49</v>
      </c>
      <c r="C690" s="3">
        <v>147.03</v>
      </c>
      <c r="D690" s="3">
        <v>173.52</v>
      </c>
      <c r="E690" s="3">
        <v>181.7</v>
      </c>
      <c r="F690" s="3">
        <v>154.97999999999999</v>
      </c>
      <c r="G690" s="3">
        <v>80.95</v>
      </c>
      <c r="H690" s="3">
        <v>88.36</v>
      </c>
      <c r="I690" s="3">
        <v>86.6</v>
      </c>
      <c r="J690" s="3">
        <v>114.18</v>
      </c>
      <c r="K690" s="3">
        <v>22.25</v>
      </c>
      <c r="L690" s="3">
        <v>72242.33</v>
      </c>
      <c r="M690" s="3">
        <v>53950.1</v>
      </c>
      <c r="N690" s="3">
        <v>29.215</v>
      </c>
      <c r="O690" s="3">
        <v>5.799E-2</v>
      </c>
      <c r="P690" s="3">
        <v>6.7789999999999999</v>
      </c>
      <c r="Q690" s="3">
        <v>106.03</v>
      </c>
      <c r="R690" s="3">
        <v>119.64</v>
      </c>
      <c r="S690" s="3">
        <v>141.65</v>
      </c>
    </row>
    <row r="691" spans="1:19" ht="14.4" x14ac:dyDescent="0.3">
      <c r="A691" s="4">
        <v>44888</v>
      </c>
      <c r="B691" s="3">
        <v>119.49</v>
      </c>
      <c r="C691" s="3">
        <v>147.03</v>
      </c>
      <c r="D691" s="3">
        <v>173.52</v>
      </c>
      <c r="E691" s="3">
        <v>181.7</v>
      </c>
      <c r="F691" s="3">
        <v>154.97999999999999</v>
      </c>
      <c r="G691" s="3">
        <v>77.94</v>
      </c>
      <c r="H691" s="3">
        <v>85.41</v>
      </c>
      <c r="I691" s="3">
        <v>85.88</v>
      </c>
      <c r="J691" s="3">
        <v>113.61</v>
      </c>
      <c r="K691" s="3">
        <v>22.65</v>
      </c>
      <c r="L691" s="3">
        <v>72891.45</v>
      </c>
      <c r="M691" s="3">
        <v>54883.33</v>
      </c>
      <c r="N691" s="3">
        <v>31.114999999999998</v>
      </c>
      <c r="O691" s="3">
        <v>5.8749999999999997E-2</v>
      </c>
      <c r="P691" s="3">
        <v>7.3079999999999998</v>
      </c>
      <c r="Q691" s="3">
        <v>106.94</v>
      </c>
      <c r="R691" s="3">
        <v>129.62</v>
      </c>
      <c r="S691" s="3">
        <v>141.9</v>
      </c>
    </row>
    <row r="692" spans="1:19" ht="14.4" x14ac:dyDescent="0.3">
      <c r="A692" s="4">
        <v>44889</v>
      </c>
      <c r="B692" s="3">
        <v>119.49</v>
      </c>
      <c r="C692" s="3">
        <v>147.03</v>
      </c>
      <c r="D692" s="3">
        <v>173.52</v>
      </c>
      <c r="E692" s="3">
        <v>181.7</v>
      </c>
      <c r="F692" s="3">
        <v>154.97999999999999</v>
      </c>
      <c r="G692" s="3">
        <v>77.95</v>
      </c>
      <c r="H692" s="3">
        <v>85.34</v>
      </c>
      <c r="I692" s="1">
        <f>(I691+I693)/2</f>
        <v>85.835000000000008</v>
      </c>
      <c r="J692" s="1">
        <f>(J691+J693)/2</f>
        <v>113.41</v>
      </c>
      <c r="K692" s="3">
        <v>22.7</v>
      </c>
      <c r="L692" s="3">
        <v>73127.34</v>
      </c>
      <c r="M692" s="3">
        <v>55736.59</v>
      </c>
      <c r="N692" s="5">
        <f>FORECAST(A692,N686:N691,A686:A691)</f>
        <v>30.622349397592188</v>
      </c>
      <c r="O692" s="3">
        <v>5.8749999999999997E-2</v>
      </c>
      <c r="P692" s="3">
        <v>7.1769999999999996</v>
      </c>
      <c r="Q692" s="1">
        <f>AVERAGE(Q691,Q693)</f>
        <v>107.03</v>
      </c>
      <c r="R692" s="5">
        <f>AVERAGE(R691,R693)</f>
        <v>126.995</v>
      </c>
      <c r="S692" s="3">
        <v>146.94999999999999</v>
      </c>
    </row>
    <row r="693" spans="1:19" ht="14.4" x14ac:dyDescent="0.3">
      <c r="A693" s="4">
        <v>44890</v>
      </c>
      <c r="B693" s="3">
        <v>130.77000000000001</v>
      </c>
      <c r="C693" s="3">
        <v>162.80000000000001</v>
      </c>
      <c r="D693" s="3">
        <v>191.17</v>
      </c>
      <c r="E693" s="3">
        <v>217.08</v>
      </c>
      <c r="F693" s="3">
        <v>157.55000000000001</v>
      </c>
      <c r="G693" s="3">
        <v>76.28</v>
      </c>
      <c r="H693" s="3">
        <v>83.63</v>
      </c>
      <c r="I693" s="3">
        <v>85.79</v>
      </c>
      <c r="J693" s="3">
        <v>113.21</v>
      </c>
      <c r="K693" s="3">
        <v>23.6</v>
      </c>
      <c r="L693" s="3">
        <v>73151.38</v>
      </c>
      <c r="M693" s="3">
        <v>55279.43</v>
      </c>
      <c r="N693" s="3">
        <v>29.96</v>
      </c>
      <c r="O693" s="3">
        <v>5.851E-2</v>
      </c>
      <c r="P693" s="3">
        <v>7.024</v>
      </c>
      <c r="Q693" s="3">
        <v>107.12</v>
      </c>
      <c r="R693" s="3">
        <v>124.37</v>
      </c>
      <c r="S693" s="3">
        <v>150.35</v>
      </c>
    </row>
    <row r="694" spans="1:19" ht="14.4" x14ac:dyDescent="0.3">
      <c r="A694" s="4">
        <v>44893</v>
      </c>
      <c r="B694" s="3">
        <v>130.77000000000001</v>
      </c>
      <c r="C694" s="3">
        <v>162.80000000000001</v>
      </c>
      <c r="D694" s="3">
        <v>191.17</v>
      </c>
      <c r="E694" s="3">
        <v>217.08</v>
      </c>
      <c r="F694" s="3">
        <v>157.55000000000001</v>
      </c>
      <c r="G694" s="3">
        <v>77.239999999999995</v>
      </c>
      <c r="H694" s="3">
        <v>83.19</v>
      </c>
      <c r="I694" s="3">
        <v>85.97</v>
      </c>
      <c r="J694" s="3">
        <v>109.81</v>
      </c>
      <c r="K694" s="3">
        <v>22.95</v>
      </c>
      <c r="L694" s="3">
        <v>73368.25</v>
      </c>
      <c r="M694" s="3">
        <v>55164.28</v>
      </c>
      <c r="N694" s="3">
        <v>30.28</v>
      </c>
      <c r="O694" s="3">
        <v>5.8270000000000002E-2</v>
      </c>
      <c r="P694" s="3">
        <v>6.7119999999999997</v>
      </c>
      <c r="Q694" s="3">
        <v>105.08</v>
      </c>
      <c r="R694" s="3">
        <v>123.28</v>
      </c>
      <c r="S694" s="3">
        <v>148.05000000000001</v>
      </c>
    </row>
    <row r="695" spans="1:19" ht="14.4" x14ac:dyDescent="0.3">
      <c r="A695" s="4">
        <v>44894</v>
      </c>
      <c r="B695" s="3">
        <v>130.77000000000001</v>
      </c>
      <c r="C695" s="3">
        <v>162.80000000000001</v>
      </c>
      <c r="D695" s="3">
        <v>191.17</v>
      </c>
      <c r="E695" s="3">
        <v>217.08</v>
      </c>
      <c r="F695" s="3">
        <v>157.55000000000001</v>
      </c>
      <c r="G695" s="3">
        <v>78.2</v>
      </c>
      <c r="H695" s="3">
        <v>83.03</v>
      </c>
      <c r="I695" s="3">
        <v>86.19</v>
      </c>
      <c r="J695" s="3">
        <v>110.54</v>
      </c>
      <c r="K695" s="3">
        <v>23.1</v>
      </c>
      <c r="L695" s="3">
        <v>73127.92</v>
      </c>
      <c r="M695" s="3">
        <v>54561.69</v>
      </c>
      <c r="N695" s="3">
        <v>30.504999999999999</v>
      </c>
      <c r="O695" s="3">
        <v>5.8790000000000002E-2</v>
      </c>
      <c r="P695" s="3">
        <v>7.2350000000000003</v>
      </c>
      <c r="Q695" s="3">
        <v>105.34</v>
      </c>
      <c r="R695" s="3">
        <v>132.286</v>
      </c>
      <c r="S695" s="3">
        <v>148.4</v>
      </c>
    </row>
    <row r="696" spans="1:19" ht="14.4" x14ac:dyDescent="0.3">
      <c r="A696" s="4">
        <v>44895</v>
      </c>
      <c r="B696" s="3">
        <v>130.77000000000001</v>
      </c>
      <c r="C696" s="3">
        <v>162.80000000000001</v>
      </c>
      <c r="D696" s="3">
        <v>191.17</v>
      </c>
      <c r="E696" s="3">
        <v>217.08</v>
      </c>
      <c r="F696" s="3">
        <v>157.55000000000001</v>
      </c>
      <c r="G696" s="3">
        <v>80.56</v>
      </c>
      <c r="H696" s="3">
        <v>85.43</v>
      </c>
      <c r="I696" s="3">
        <v>86.22</v>
      </c>
      <c r="J696" s="3">
        <v>111.34</v>
      </c>
      <c r="K696" s="3">
        <v>24</v>
      </c>
      <c r="L696" s="3">
        <v>74828</v>
      </c>
      <c r="M696" s="3">
        <v>56340.88</v>
      </c>
      <c r="N696" s="3">
        <v>33.31</v>
      </c>
      <c r="O696" s="3">
        <v>5.8189999999999999E-2</v>
      </c>
      <c r="P696" s="3">
        <v>6.93</v>
      </c>
      <c r="Q696" s="3">
        <v>108.31</v>
      </c>
      <c r="R696" s="3">
        <v>146.39500000000001</v>
      </c>
      <c r="S696" s="3">
        <v>147.85</v>
      </c>
    </row>
    <row r="697" spans="1:19" ht="14.4" x14ac:dyDescent="0.3">
      <c r="A697" s="2">
        <v>44896</v>
      </c>
      <c r="B697" s="3">
        <v>130.77000000000001</v>
      </c>
      <c r="C697" s="3">
        <v>162.80000000000001</v>
      </c>
      <c r="D697" s="3">
        <v>191.17</v>
      </c>
      <c r="E697" s="3">
        <v>217.08</v>
      </c>
      <c r="F697" s="3">
        <v>157.55000000000001</v>
      </c>
      <c r="G697" s="3">
        <v>81.33</v>
      </c>
      <c r="H697" s="3">
        <v>86.88</v>
      </c>
      <c r="I697" s="3">
        <v>80.94</v>
      </c>
      <c r="J697" s="3">
        <v>110.8</v>
      </c>
      <c r="K697" s="3">
        <v>23.4</v>
      </c>
      <c r="L697" s="3">
        <v>75020.009999999995</v>
      </c>
      <c r="M697" s="3">
        <v>58475.56</v>
      </c>
      <c r="N697" s="3">
        <v>33.78</v>
      </c>
      <c r="O697" s="3">
        <v>5.6590000000000001E-2</v>
      </c>
      <c r="P697" s="3">
        <v>6.7380000000000004</v>
      </c>
      <c r="Q697" s="3">
        <v>109.53</v>
      </c>
      <c r="R697" s="3">
        <v>139.26</v>
      </c>
      <c r="S697" s="3">
        <v>148</v>
      </c>
    </row>
    <row r="698" spans="1:19" ht="14.4" x14ac:dyDescent="0.3">
      <c r="A698" s="2">
        <v>44897</v>
      </c>
      <c r="B698" s="3">
        <v>145.30000000000001</v>
      </c>
      <c r="C698" s="3">
        <v>175.18</v>
      </c>
      <c r="D698" s="3">
        <v>210.88</v>
      </c>
      <c r="E698" s="3">
        <v>236.32</v>
      </c>
      <c r="F698" s="3">
        <v>165.72</v>
      </c>
      <c r="G698" s="3">
        <v>80.3</v>
      </c>
      <c r="H698" s="3">
        <v>85.55</v>
      </c>
      <c r="I698" s="3">
        <v>80.099999999999994</v>
      </c>
      <c r="J698" s="3">
        <v>109.86</v>
      </c>
      <c r="K698" s="3">
        <v>22.55</v>
      </c>
      <c r="L698" s="3">
        <v>74322.91</v>
      </c>
      <c r="M698" s="3">
        <v>56628.5</v>
      </c>
      <c r="N698" s="3">
        <v>31.76</v>
      </c>
      <c r="O698" s="3">
        <v>5.706E-2</v>
      </c>
      <c r="P698" s="3">
        <v>6.1689999999999996</v>
      </c>
      <c r="Q698" s="3">
        <v>109.25</v>
      </c>
      <c r="R698" s="3">
        <v>135.56</v>
      </c>
      <c r="S698" s="3">
        <v>150.19999999999999</v>
      </c>
    </row>
    <row r="699" spans="1:19" ht="14.4" x14ac:dyDescent="0.3">
      <c r="A699" s="2">
        <v>44900</v>
      </c>
      <c r="B699" s="3">
        <v>145.30000000000001</v>
      </c>
      <c r="C699" s="3">
        <v>175.18</v>
      </c>
      <c r="D699" s="3">
        <v>210.88</v>
      </c>
      <c r="E699" s="3">
        <v>236.32</v>
      </c>
      <c r="F699" s="3">
        <v>165.72</v>
      </c>
      <c r="G699" s="3">
        <v>77.400000000000006</v>
      </c>
      <c r="H699" s="3">
        <v>82.66</v>
      </c>
      <c r="I699" s="3">
        <v>77.52</v>
      </c>
      <c r="J699" s="3">
        <v>106.85</v>
      </c>
      <c r="K699" s="3">
        <v>23.15</v>
      </c>
      <c r="L699" s="3">
        <v>74693.42</v>
      </c>
      <c r="M699" s="3">
        <v>56449.14</v>
      </c>
      <c r="N699" s="3">
        <v>33.185000000000002</v>
      </c>
      <c r="O699" s="3">
        <v>5.7340000000000002E-2</v>
      </c>
      <c r="P699" s="3">
        <v>5.484</v>
      </c>
      <c r="Q699" s="3">
        <v>107.09</v>
      </c>
      <c r="R699" s="3">
        <v>134.69999999999999</v>
      </c>
      <c r="S699" s="3">
        <v>151</v>
      </c>
    </row>
    <row r="700" spans="1:19" ht="14.4" x14ac:dyDescent="0.3">
      <c r="A700" s="2">
        <v>44901</v>
      </c>
      <c r="B700" s="3">
        <v>145.30000000000001</v>
      </c>
      <c r="C700" s="3">
        <v>175.18</v>
      </c>
      <c r="D700" s="3">
        <v>210.88</v>
      </c>
      <c r="E700" s="3">
        <v>236.32</v>
      </c>
      <c r="F700" s="3">
        <v>165.72</v>
      </c>
      <c r="G700" s="3">
        <v>74.47</v>
      </c>
      <c r="H700" s="3">
        <v>79.67</v>
      </c>
      <c r="I700" s="3">
        <v>75.12</v>
      </c>
      <c r="J700" s="3">
        <v>103.88</v>
      </c>
      <c r="K700" s="3">
        <v>23.2</v>
      </c>
      <c r="L700" s="3">
        <v>74557.31</v>
      </c>
      <c r="M700" s="3">
        <v>56585.4</v>
      </c>
      <c r="N700" s="3">
        <v>32.844999999999999</v>
      </c>
      <c r="O700" s="3">
        <v>5.765E-2</v>
      </c>
      <c r="P700" s="3">
        <v>5.3780000000000001</v>
      </c>
      <c r="Q700" s="3">
        <v>105.74</v>
      </c>
      <c r="R700" s="3">
        <v>138.49</v>
      </c>
      <c r="S700" s="3">
        <v>148.35</v>
      </c>
    </row>
    <row r="701" spans="1:19" ht="14.4" x14ac:dyDescent="0.3">
      <c r="A701" s="2">
        <v>44902</v>
      </c>
      <c r="B701" s="3">
        <v>145.30000000000001</v>
      </c>
      <c r="C701" s="3">
        <v>175.18</v>
      </c>
      <c r="D701" s="3">
        <v>210.88</v>
      </c>
      <c r="E701" s="3">
        <v>236.32</v>
      </c>
      <c r="F701" s="3">
        <v>165.72</v>
      </c>
      <c r="G701" s="3">
        <v>72.58</v>
      </c>
      <c r="H701" s="3">
        <v>77.59</v>
      </c>
      <c r="I701" s="3">
        <v>73.88</v>
      </c>
      <c r="J701" s="3">
        <v>103.65</v>
      </c>
      <c r="K701" s="3">
        <v>22.6</v>
      </c>
      <c r="L701" s="3">
        <v>74011.12</v>
      </c>
      <c r="M701" s="3">
        <v>56770.81</v>
      </c>
      <c r="N701" s="3">
        <v>33.35</v>
      </c>
      <c r="O701" s="3">
        <v>5.8180000000000003E-2</v>
      </c>
      <c r="P701" s="3">
        <v>5.617</v>
      </c>
      <c r="Q701" s="3">
        <v>103.53</v>
      </c>
      <c r="R701" s="3">
        <v>149.245</v>
      </c>
      <c r="S701" s="3">
        <v>146.19999999999999</v>
      </c>
    </row>
    <row r="702" spans="1:19" ht="14.4" x14ac:dyDescent="0.3">
      <c r="A702" s="2">
        <v>44903</v>
      </c>
      <c r="B702" s="3">
        <v>145.30000000000001</v>
      </c>
      <c r="C702" s="3">
        <v>175.18</v>
      </c>
      <c r="D702" s="3">
        <v>210.88</v>
      </c>
      <c r="E702" s="3">
        <v>236.32</v>
      </c>
      <c r="F702" s="3">
        <v>165.72</v>
      </c>
      <c r="G702" s="3">
        <v>72.06</v>
      </c>
      <c r="H702" s="3">
        <v>76.59</v>
      </c>
      <c r="I702" s="3">
        <v>73.45</v>
      </c>
      <c r="J702" s="3">
        <v>104.42</v>
      </c>
      <c r="K702" s="3">
        <v>22.35</v>
      </c>
      <c r="L702" s="3">
        <v>74467.259999999995</v>
      </c>
      <c r="M702" s="3">
        <v>57205.8</v>
      </c>
      <c r="N702" s="3">
        <v>34.295000000000002</v>
      </c>
      <c r="O702" s="3">
        <v>5.8189999999999999E-2</v>
      </c>
      <c r="P702" s="3">
        <v>5.82</v>
      </c>
      <c r="Q702" s="3">
        <v>104.44</v>
      </c>
      <c r="R702" s="3">
        <v>138.89500000000001</v>
      </c>
      <c r="S702" s="3">
        <v>148.25</v>
      </c>
    </row>
    <row r="703" spans="1:19" ht="14.4" x14ac:dyDescent="0.3">
      <c r="A703" s="2">
        <v>44904</v>
      </c>
      <c r="B703" s="3">
        <v>138.18</v>
      </c>
      <c r="C703" s="3">
        <v>172.46</v>
      </c>
      <c r="D703" s="3">
        <v>211.75</v>
      </c>
      <c r="E703" s="3">
        <v>235.9</v>
      </c>
      <c r="F703" s="3">
        <v>164.13</v>
      </c>
      <c r="G703" s="3">
        <v>71.5</v>
      </c>
      <c r="H703" s="3">
        <v>76.599999999999994</v>
      </c>
      <c r="I703" s="3">
        <v>73.709999999999994</v>
      </c>
      <c r="J703" s="3">
        <v>103.54</v>
      </c>
      <c r="K703" s="3">
        <v>22.7</v>
      </c>
      <c r="L703" s="3">
        <v>74548.14</v>
      </c>
      <c r="M703" s="3">
        <v>57261.55</v>
      </c>
      <c r="N703" s="3">
        <v>33.365000000000002</v>
      </c>
      <c r="O703" s="3">
        <v>5.765E-2</v>
      </c>
      <c r="P703" s="3">
        <v>6.0819999999999999</v>
      </c>
      <c r="Q703" s="3">
        <v>103.33</v>
      </c>
      <c r="R703" s="3">
        <v>139.11500000000001</v>
      </c>
      <c r="S703" s="3">
        <v>145.1</v>
      </c>
    </row>
    <row r="704" spans="1:19" ht="14.4" x14ac:dyDescent="0.3">
      <c r="A704" s="4">
        <v>44907</v>
      </c>
      <c r="B704" s="3">
        <v>138.18</v>
      </c>
      <c r="C704" s="3">
        <v>172.46</v>
      </c>
      <c r="D704" s="3">
        <v>211.75</v>
      </c>
      <c r="E704" s="3">
        <v>235.9</v>
      </c>
      <c r="F704" s="3">
        <v>164.13</v>
      </c>
      <c r="G704" s="3">
        <v>73.44</v>
      </c>
      <c r="H704" s="3">
        <v>78.34</v>
      </c>
      <c r="I704" s="3">
        <v>75.13</v>
      </c>
      <c r="J704" s="3">
        <v>106.09</v>
      </c>
      <c r="K704" s="3">
        <v>22.5</v>
      </c>
      <c r="L704" s="3">
        <v>74422.179999999993</v>
      </c>
      <c r="M704" s="3">
        <v>56409.98</v>
      </c>
      <c r="N704" s="3">
        <v>32.924999999999997</v>
      </c>
      <c r="O704" s="3">
        <v>5.688E-2</v>
      </c>
      <c r="P704" s="3">
        <v>6.4160000000000004</v>
      </c>
      <c r="Q704" s="3">
        <v>105.26</v>
      </c>
      <c r="R704" s="3">
        <v>136.59</v>
      </c>
      <c r="S704" s="3">
        <v>144.30000000000001</v>
      </c>
    </row>
    <row r="705" spans="1:19" ht="14.4" x14ac:dyDescent="0.3">
      <c r="A705" s="4">
        <v>44908</v>
      </c>
      <c r="B705" s="3">
        <v>138.18</v>
      </c>
      <c r="C705" s="3">
        <v>172.46</v>
      </c>
      <c r="D705" s="3">
        <v>211.75</v>
      </c>
      <c r="E705" s="3">
        <v>235.9</v>
      </c>
      <c r="F705" s="3">
        <v>164.13</v>
      </c>
      <c r="G705" s="3">
        <v>75.19</v>
      </c>
      <c r="H705" s="3">
        <v>80.86</v>
      </c>
      <c r="I705" s="3">
        <v>76.62</v>
      </c>
      <c r="J705" s="3">
        <v>107.25</v>
      </c>
      <c r="K705" s="3">
        <v>22.45</v>
      </c>
      <c r="L705" s="3">
        <v>75835.45</v>
      </c>
      <c r="M705" s="3">
        <v>58028.02</v>
      </c>
      <c r="N705" s="3">
        <v>33.344999999999999</v>
      </c>
      <c r="O705" s="3">
        <v>5.7880000000000001E-2</v>
      </c>
      <c r="P705" s="3">
        <v>6.7329999999999997</v>
      </c>
      <c r="Q705" s="3">
        <v>106.38</v>
      </c>
      <c r="R705" s="3">
        <v>137.53</v>
      </c>
      <c r="S705" s="3">
        <v>146.9</v>
      </c>
    </row>
    <row r="706" spans="1:19" ht="14.4" x14ac:dyDescent="0.3">
      <c r="A706" s="4">
        <v>44909</v>
      </c>
      <c r="B706" s="3">
        <v>138.18</v>
      </c>
      <c r="C706" s="3">
        <v>172.46</v>
      </c>
      <c r="D706" s="3">
        <v>211.75</v>
      </c>
      <c r="E706" s="3">
        <v>235.9</v>
      </c>
      <c r="F706" s="3">
        <v>164.13</v>
      </c>
      <c r="G706" s="3">
        <v>77.27</v>
      </c>
      <c r="H706" s="3">
        <v>82.75</v>
      </c>
      <c r="I706" s="3">
        <v>77.67</v>
      </c>
      <c r="J706" s="3">
        <v>106.46</v>
      </c>
      <c r="K706" s="3">
        <v>22.7</v>
      </c>
      <c r="L706" s="3">
        <v>74294.67</v>
      </c>
      <c r="M706" s="3">
        <v>55724.32</v>
      </c>
      <c r="N706" s="3">
        <v>33.384999999999998</v>
      </c>
      <c r="O706" s="3">
        <v>5.8189999999999999E-2</v>
      </c>
      <c r="P706" s="3">
        <v>6.22</v>
      </c>
      <c r="Q706" s="3">
        <v>103.93</v>
      </c>
      <c r="R706" s="3">
        <v>131.51</v>
      </c>
      <c r="S706" s="3">
        <v>148.19999999999999</v>
      </c>
    </row>
    <row r="707" spans="1:19" ht="14.4" x14ac:dyDescent="0.3">
      <c r="A707" s="4">
        <v>44910</v>
      </c>
      <c r="B707" s="3">
        <v>138.18</v>
      </c>
      <c r="C707" s="3">
        <v>172.46</v>
      </c>
      <c r="D707" s="3">
        <v>211.75</v>
      </c>
      <c r="E707" s="3">
        <v>235.9</v>
      </c>
      <c r="F707" s="3">
        <v>164.13</v>
      </c>
      <c r="G707" s="3">
        <v>76.25</v>
      </c>
      <c r="H707" s="3">
        <v>81.319999999999993</v>
      </c>
      <c r="I707" s="3">
        <v>76.900000000000006</v>
      </c>
      <c r="J707" s="3">
        <v>105.44</v>
      </c>
      <c r="K707" s="3">
        <v>22.6</v>
      </c>
      <c r="L707" s="3">
        <v>72989.34</v>
      </c>
      <c r="M707" s="3">
        <v>54425.72</v>
      </c>
      <c r="N707" s="3">
        <v>33.442999999999998</v>
      </c>
      <c r="O707" s="3">
        <v>5.713E-2</v>
      </c>
      <c r="P707" s="3">
        <v>6.5890000000000004</v>
      </c>
      <c r="Q707" s="3">
        <v>102.22</v>
      </c>
      <c r="R707" s="3">
        <v>134.76499999999999</v>
      </c>
      <c r="S707" s="3">
        <v>147.94999999999999</v>
      </c>
    </row>
    <row r="708" spans="1:19" ht="14.4" x14ac:dyDescent="0.3">
      <c r="A708" s="4">
        <v>44911</v>
      </c>
      <c r="B708" s="3">
        <v>119.43</v>
      </c>
      <c r="C708" s="3">
        <v>147.96</v>
      </c>
      <c r="D708" s="3">
        <v>186.2</v>
      </c>
      <c r="E708" s="3">
        <v>206.01</v>
      </c>
      <c r="F708" s="3">
        <v>160.66</v>
      </c>
      <c r="G708" s="3">
        <v>74.45</v>
      </c>
      <c r="H708" s="3">
        <v>79.489999999999995</v>
      </c>
      <c r="I708" s="3">
        <v>75.89</v>
      </c>
      <c r="J708" s="3">
        <v>104.7</v>
      </c>
      <c r="K708" s="3">
        <v>22.7</v>
      </c>
      <c r="L708" s="5">
        <f>FORECAST(A708,L702:L707,A702:A707)</f>
        <v>74029.770257510245</v>
      </c>
      <c r="M708" s="5">
        <f>FORECAST(A708,M702:M707,A702:A707)</f>
        <v>55291.978626610711</v>
      </c>
      <c r="N708" s="3">
        <v>35.575000000000003</v>
      </c>
      <c r="O708" s="3">
        <v>5.6649999999999999E-2</v>
      </c>
      <c r="P708" s="3">
        <v>6.3029999999999999</v>
      </c>
      <c r="Q708" s="3">
        <v>100.76</v>
      </c>
      <c r="R708" s="3">
        <v>115.45</v>
      </c>
      <c r="S708" s="3">
        <v>144.85</v>
      </c>
    </row>
    <row r="709" spans="1:19" ht="14.4" x14ac:dyDescent="0.3">
      <c r="A709" s="4">
        <v>44914</v>
      </c>
      <c r="B709" s="3">
        <v>119.43</v>
      </c>
      <c r="C709" s="3">
        <v>147.96</v>
      </c>
      <c r="D709" s="3">
        <v>186.2</v>
      </c>
      <c r="E709" s="3">
        <v>206.01</v>
      </c>
      <c r="F709" s="3">
        <v>160.66</v>
      </c>
      <c r="G709" s="3">
        <v>75.89</v>
      </c>
      <c r="H709" s="3">
        <v>80.14</v>
      </c>
      <c r="I709" s="3">
        <v>76.31</v>
      </c>
      <c r="J709" s="3">
        <v>105.17</v>
      </c>
      <c r="K709" s="3">
        <v>22.45</v>
      </c>
      <c r="L709" s="3">
        <v>73359.600000000006</v>
      </c>
      <c r="M709" s="3">
        <v>54621.94</v>
      </c>
      <c r="N709" s="3">
        <v>36.49</v>
      </c>
      <c r="O709" s="3">
        <v>5.7709999999999997E-2</v>
      </c>
      <c r="P709" s="3">
        <v>5.71</v>
      </c>
      <c r="Q709" s="3">
        <v>100.28</v>
      </c>
      <c r="R709" s="3">
        <v>108.545</v>
      </c>
      <c r="S709" s="3">
        <v>144.80000000000001</v>
      </c>
    </row>
    <row r="710" spans="1:19" ht="14.4" x14ac:dyDescent="0.3">
      <c r="A710" s="4">
        <v>44915</v>
      </c>
      <c r="B710" s="3">
        <v>119.43</v>
      </c>
      <c r="C710" s="3">
        <v>147.96</v>
      </c>
      <c r="D710" s="3">
        <v>186.2</v>
      </c>
      <c r="E710" s="3">
        <v>206.01</v>
      </c>
      <c r="F710" s="3">
        <v>160.66</v>
      </c>
      <c r="G710" s="3">
        <v>76.23</v>
      </c>
      <c r="H710" s="3">
        <v>80.53</v>
      </c>
      <c r="I710" s="3">
        <v>76.400000000000006</v>
      </c>
      <c r="J710" s="3">
        <v>106.69</v>
      </c>
      <c r="K710" s="3">
        <v>22.3</v>
      </c>
      <c r="L710" s="3">
        <v>73040.509999999995</v>
      </c>
      <c r="M710" s="3">
        <v>54645.77</v>
      </c>
      <c r="N710" s="3">
        <v>34.914999999999999</v>
      </c>
      <c r="O710" s="3">
        <v>5.7770000000000002E-2</v>
      </c>
      <c r="P710" s="3">
        <v>5.2160000000000002</v>
      </c>
      <c r="Q710" s="3">
        <v>100.39</v>
      </c>
      <c r="R710" s="3">
        <v>105.69</v>
      </c>
      <c r="S710" s="3">
        <v>143.9</v>
      </c>
    </row>
    <row r="711" spans="1:19" ht="14.4" x14ac:dyDescent="0.3">
      <c r="A711" s="4">
        <v>44916</v>
      </c>
      <c r="B711" s="3">
        <v>119.43</v>
      </c>
      <c r="C711" s="3">
        <v>147.96</v>
      </c>
      <c r="D711" s="3">
        <v>186.2</v>
      </c>
      <c r="E711" s="3">
        <v>206.01</v>
      </c>
      <c r="F711" s="3">
        <v>160.66</v>
      </c>
      <c r="G711" s="3">
        <v>78.239999999999995</v>
      </c>
      <c r="H711" s="3">
        <v>82.58</v>
      </c>
      <c r="I711" s="3">
        <v>77.099999999999994</v>
      </c>
      <c r="J711" s="3">
        <v>108.06</v>
      </c>
      <c r="K711" s="3">
        <v>22.45</v>
      </c>
      <c r="L711" s="3">
        <v>73836.91</v>
      </c>
      <c r="M711" s="3">
        <v>55927.48</v>
      </c>
      <c r="N711" s="3">
        <v>31.68</v>
      </c>
      <c r="O711" s="3">
        <v>5.8099999999999999E-2</v>
      </c>
      <c r="P711" s="3">
        <v>5.2380000000000004</v>
      </c>
      <c r="Q711" s="3">
        <v>102.55</v>
      </c>
      <c r="R711" s="3">
        <v>97.75</v>
      </c>
      <c r="S711" s="3">
        <v>141.1</v>
      </c>
    </row>
    <row r="712" spans="1:19" ht="14.4" x14ac:dyDescent="0.3">
      <c r="A712" s="4">
        <v>44917</v>
      </c>
      <c r="B712" s="3">
        <v>119.43</v>
      </c>
      <c r="C712" s="3">
        <v>147.96</v>
      </c>
      <c r="D712" s="3">
        <v>186.2</v>
      </c>
      <c r="E712" s="3">
        <v>206.01</v>
      </c>
      <c r="F712" s="3">
        <v>160.66</v>
      </c>
      <c r="G712" s="3">
        <v>78.45</v>
      </c>
      <c r="H712" s="3">
        <v>81.67</v>
      </c>
      <c r="I712" s="3">
        <v>76.87</v>
      </c>
      <c r="J712" s="3">
        <v>105.88</v>
      </c>
      <c r="K712" s="3">
        <v>22.5</v>
      </c>
      <c r="L712" s="3">
        <v>73225.13</v>
      </c>
      <c r="M712" s="3">
        <v>54997.87</v>
      </c>
      <c r="N712" s="3">
        <v>31.635000000000002</v>
      </c>
      <c r="O712" s="3">
        <v>5.8279999999999998E-2</v>
      </c>
      <c r="P712" s="3">
        <v>4.9279999999999999</v>
      </c>
      <c r="Q712" s="3">
        <v>102.46</v>
      </c>
      <c r="R712" s="3">
        <v>91.94</v>
      </c>
      <c r="S712" s="3">
        <v>138.4</v>
      </c>
    </row>
    <row r="713" spans="1:19" ht="14.4" x14ac:dyDescent="0.3">
      <c r="A713" s="4">
        <v>44918</v>
      </c>
      <c r="B713" s="3">
        <v>116.49</v>
      </c>
      <c r="C713" s="3">
        <v>140.33000000000001</v>
      </c>
      <c r="D713" s="3">
        <v>173.37</v>
      </c>
      <c r="E713" s="3">
        <v>177.92</v>
      </c>
      <c r="F713" s="3">
        <v>162.07</v>
      </c>
      <c r="G713" s="3">
        <v>79.34</v>
      </c>
      <c r="H713" s="3">
        <v>84.5</v>
      </c>
      <c r="I713" s="3">
        <v>77.48</v>
      </c>
      <c r="J713" s="3">
        <v>108.68</v>
      </c>
      <c r="K713" s="3">
        <v>22.5</v>
      </c>
      <c r="L713" s="3">
        <v>73493.47</v>
      </c>
      <c r="M713" s="3">
        <v>55801.1</v>
      </c>
      <c r="N713" s="3">
        <v>28.12</v>
      </c>
      <c r="O713" s="3">
        <v>5.8659999999999997E-2</v>
      </c>
      <c r="P713" s="3">
        <v>4.9800000000000004</v>
      </c>
      <c r="Q713" s="3">
        <v>102.81</v>
      </c>
      <c r="R713" s="3">
        <v>82.974999999999994</v>
      </c>
      <c r="S713" s="3">
        <v>130.19999999999999</v>
      </c>
    </row>
    <row r="714" spans="1:19" ht="14.4" x14ac:dyDescent="0.3">
      <c r="A714" s="4">
        <v>44921</v>
      </c>
      <c r="B714" s="1">
        <f t="shared" ref="B714:E714" si="42">B713</f>
        <v>116.49</v>
      </c>
      <c r="C714" s="1">
        <f t="shared" si="42"/>
        <v>140.33000000000001</v>
      </c>
      <c r="D714" s="1">
        <f t="shared" si="42"/>
        <v>173.37</v>
      </c>
      <c r="E714" s="1">
        <f t="shared" si="42"/>
        <v>177.92</v>
      </c>
      <c r="F714" s="1">
        <f t="shared" ref="F714:F715" si="43">F713</f>
        <v>162.07</v>
      </c>
      <c r="G714" s="3">
        <v>80.97</v>
      </c>
      <c r="H714" s="1">
        <f>(H713+H715)/2</f>
        <v>84.59</v>
      </c>
      <c r="I714" s="1">
        <f>(I713+I715)/2</f>
        <v>77.5</v>
      </c>
      <c r="J714" s="1">
        <f>(J713+J715)/2</f>
        <v>109.435</v>
      </c>
      <c r="K714" s="5">
        <f t="shared" ref="K714:K715" si="44">FORECAST(A714,K708:K713,A708:A713)</f>
        <v>22.335135135135033</v>
      </c>
      <c r="L714" s="5">
        <f t="shared" ref="L714:L715" si="45">FORECAST(A714,L708:L713,A708:A713)</f>
        <v>73079.709299385082</v>
      </c>
      <c r="M714" s="5">
        <f t="shared" ref="M714:M715" si="46">FORECAST(A714,M708:M713,A708:A713)</f>
        <v>55653.712205080315</v>
      </c>
      <c r="N714" s="5">
        <f>FORECAST(A714,N708:N713,A708:A713)</f>
        <v>26.911216216212779</v>
      </c>
      <c r="O714" s="3">
        <v>5.8689999999999999E-2</v>
      </c>
      <c r="P714" s="3">
        <v>5.1440000000000001</v>
      </c>
      <c r="Q714" s="1">
        <f>AVERAGE(Q713,Q715)</f>
        <v>102.46000000000001</v>
      </c>
      <c r="R714" s="5">
        <f>AVERAGE(R713,R715)</f>
        <v>81.509999999999991</v>
      </c>
      <c r="S714" s="3">
        <v>136.6</v>
      </c>
    </row>
    <row r="715" spans="1:19" ht="14.4" x14ac:dyDescent="0.3">
      <c r="A715" s="4">
        <v>44922</v>
      </c>
      <c r="B715" s="1">
        <f t="shared" ref="B715:D715" si="47">B714</f>
        <v>116.49</v>
      </c>
      <c r="C715" s="1">
        <f t="shared" si="47"/>
        <v>140.33000000000001</v>
      </c>
      <c r="D715" s="1">
        <f t="shared" si="47"/>
        <v>173.37</v>
      </c>
      <c r="E715" s="3">
        <v>177.92</v>
      </c>
      <c r="F715" s="1">
        <f t="shared" si="43"/>
        <v>162.07</v>
      </c>
      <c r="G715" s="3">
        <v>79.77</v>
      </c>
      <c r="H715" s="3">
        <v>84.68</v>
      </c>
      <c r="I715" s="3">
        <v>77.52</v>
      </c>
      <c r="J715" s="3">
        <v>110.19</v>
      </c>
      <c r="K715" s="5">
        <f t="shared" si="44"/>
        <v>22.399576333089783</v>
      </c>
      <c r="L715" s="5">
        <f t="shared" si="45"/>
        <v>73197.593231900595</v>
      </c>
      <c r="M715" s="5">
        <f t="shared" si="46"/>
        <v>56046.420393582433</v>
      </c>
      <c r="N715" s="3">
        <v>28.184999999999999</v>
      </c>
      <c r="O715" s="3">
        <v>5.8119999999999998E-2</v>
      </c>
      <c r="P715" s="3">
        <v>5.282</v>
      </c>
      <c r="Q715" s="3">
        <v>102.11</v>
      </c>
      <c r="R715" s="3">
        <v>80.045000000000002</v>
      </c>
      <c r="S715" s="3">
        <v>138.5</v>
      </c>
    </row>
    <row r="716" spans="1:19" ht="14.4" x14ac:dyDescent="0.3">
      <c r="A716" s="4">
        <v>44923</v>
      </c>
      <c r="B716" s="3">
        <v>116.49</v>
      </c>
      <c r="C716" s="3">
        <v>140.33000000000001</v>
      </c>
      <c r="D716" s="3">
        <v>173.37</v>
      </c>
      <c r="E716" s="3">
        <v>177.92</v>
      </c>
      <c r="F716" s="3">
        <v>162.07</v>
      </c>
      <c r="G716" s="3">
        <v>78.599999999999994</v>
      </c>
      <c r="H716" s="3">
        <v>83.26</v>
      </c>
      <c r="I716" s="3">
        <v>77.39</v>
      </c>
      <c r="J716" s="3">
        <v>108.38</v>
      </c>
      <c r="K716" s="3">
        <v>22.9</v>
      </c>
      <c r="L716" s="3">
        <v>74277.56</v>
      </c>
      <c r="M716" s="3">
        <v>56464.78</v>
      </c>
      <c r="N716" s="3">
        <v>28.51</v>
      </c>
      <c r="O716" s="3">
        <v>5.8400000000000001E-2</v>
      </c>
      <c r="P716" s="3">
        <v>4.7089999999999996</v>
      </c>
      <c r="Q716" s="3">
        <v>102.27</v>
      </c>
      <c r="R716" s="3">
        <v>81.349999999999994</v>
      </c>
      <c r="S716" s="3">
        <v>139.6</v>
      </c>
    </row>
    <row r="717" spans="1:19" ht="14.4" x14ac:dyDescent="0.3">
      <c r="A717" s="4">
        <v>44924</v>
      </c>
      <c r="B717" s="3">
        <v>116.49</v>
      </c>
      <c r="C717" s="3">
        <v>140.33000000000001</v>
      </c>
      <c r="D717" s="3">
        <v>173.37</v>
      </c>
      <c r="E717" s="3">
        <v>177.92</v>
      </c>
      <c r="F717" s="3">
        <v>162.07</v>
      </c>
      <c r="G717" s="3">
        <v>78.61</v>
      </c>
      <c r="H717" s="3">
        <v>82.26</v>
      </c>
      <c r="I717" s="3">
        <v>77.239999999999995</v>
      </c>
      <c r="J717" s="3">
        <v>109.2</v>
      </c>
      <c r="K717" s="3">
        <v>22.5</v>
      </c>
      <c r="L717" s="3">
        <v>73597.14</v>
      </c>
      <c r="M717" s="3">
        <v>56026.2</v>
      </c>
      <c r="N717" s="3">
        <v>28.83</v>
      </c>
      <c r="O717" s="3">
        <v>5.8900000000000001E-2</v>
      </c>
      <c r="P717" s="3">
        <v>4.5590000000000002</v>
      </c>
      <c r="Q717" s="3">
        <v>104.1</v>
      </c>
      <c r="R717" s="3">
        <v>83.83</v>
      </c>
      <c r="S717" s="3">
        <v>139.6</v>
      </c>
    </row>
    <row r="718" spans="1:19" ht="14.4" x14ac:dyDescent="0.3">
      <c r="A718" s="4">
        <v>44925</v>
      </c>
      <c r="B718" s="3">
        <v>98.55</v>
      </c>
      <c r="C718" s="3">
        <v>126.43</v>
      </c>
      <c r="D718" s="3">
        <v>160.44</v>
      </c>
      <c r="E718" s="3">
        <v>186.25</v>
      </c>
      <c r="F718" s="3">
        <v>156.63</v>
      </c>
      <c r="G718" s="3">
        <v>80.47</v>
      </c>
      <c r="H718" s="3">
        <v>85.91</v>
      </c>
      <c r="I718" s="3">
        <v>77.2</v>
      </c>
      <c r="J718" s="3">
        <v>110.3</v>
      </c>
      <c r="K718" s="3">
        <v>22.55</v>
      </c>
      <c r="L718" s="3">
        <v>73048.570000000007</v>
      </c>
      <c r="M718" s="3">
        <v>54581.02</v>
      </c>
      <c r="N718" s="3">
        <v>29.515000000000001</v>
      </c>
      <c r="O718" s="3">
        <v>5.876E-2</v>
      </c>
      <c r="P718" s="3">
        <v>4.4749999999999996</v>
      </c>
      <c r="Q718" s="3">
        <v>102.59</v>
      </c>
      <c r="R718" s="3">
        <v>76.314999999999998</v>
      </c>
      <c r="S718" s="3">
        <v>140</v>
      </c>
    </row>
    <row r="719" spans="1:19" ht="14.4" x14ac:dyDescent="0.3">
      <c r="A719" s="2">
        <v>44928</v>
      </c>
      <c r="B719" s="1">
        <f t="shared" ref="B719:F719" si="48">B718</f>
        <v>98.55</v>
      </c>
      <c r="C719" s="1">
        <f t="shared" si="48"/>
        <v>126.43</v>
      </c>
      <c r="D719" s="1">
        <f t="shared" si="48"/>
        <v>160.44</v>
      </c>
      <c r="E719" s="1">
        <f t="shared" si="48"/>
        <v>186.25</v>
      </c>
      <c r="F719" s="1">
        <f t="shared" si="48"/>
        <v>156.63</v>
      </c>
      <c r="G719" s="3">
        <v>80.47</v>
      </c>
      <c r="H719" s="1">
        <f>(H718+H720)/2</f>
        <v>84.004999999999995</v>
      </c>
      <c r="I719" s="1">
        <f>(I718+I720)/2</f>
        <v>77.555000000000007</v>
      </c>
      <c r="J719" s="1">
        <f>(J718+J720)/2</f>
        <v>108.405</v>
      </c>
      <c r="K719" s="5">
        <f>FORECAST(A719,K713:K718,A713:A718)</f>
        <v>22.66020571338322</v>
      </c>
      <c r="L719" s="5">
        <f>FORECAST(A719,L713:L718,A713:A718)</f>
        <v>73470.755069209015</v>
      </c>
      <c r="M719" s="5">
        <f>FORECAST(A719,M713:M718,A713:A718)</f>
        <v>55315.704258317128</v>
      </c>
      <c r="N719" s="5">
        <f>FORECAST(A719,N713:N718,A713:A718)</f>
        <v>29.665474799123331</v>
      </c>
      <c r="O719" s="3">
        <v>5.8860000000000003E-2</v>
      </c>
      <c r="P719" s="3">
        <v>4.1429999999999998</v>
      </c>
      <c r="Q719" s="1">
        <f>AVERAGE(Q718,Q720)</f>
        <v>102.91</v>
      </c>
      <c r="R719" s="5">
        <f>AVERAGE(R718,R720)</f>
        <v>74.314999999999998</v>
      </c>
      <c r="S719" s="3">
        <v>142.25</v>
      </c>
    </row>
    <row r="720" spans="1:19" ht="14.4" x14ac:dyDescent="0.3">
      <c r="A720" s="2">
        <v>44929</v>
      </c>
      <c r="B720" s="3">
        <v>98.55</v>
      </c>
      <c r="C720" s="3">
        <v>126.43</v>
      </c>
      <c r="D720" s="3">
        <v>160.44</v>
      </c>
      <c r="E720" s="3">
        <v>186.25</v>
      </c>
      <c r="F720" s="3">
        <v>156.63</v>
      </c>
      <c r="G720" s="3">
        <v>77.12</v>
      </c>
      <c r="H720" s="3">
        <v>82.1</v>
      </c>
      <c r="I720" s="3">
        <v>77.91</v>
      </c>
      <c r="J720" s="3">
        <v>106.51</v>
      </c>
      <c r="K720" s="3">
        <v>23.05</v>
      </c>
      <c r="L720" s="3">
        <v>74436.479999999996</v>
      </c>
      <c r="M720" s="3">
        <v>56530.97</v>
      </c>
      <c r="N720" s="3">
        <v>29.344999999999999</v>
      </c>
      <c r="O720" s="3">
        <v>5.8770000000000003E-2</v>
      </c>
      <c r="P720" s="3">
        <v>3.988</v>
      </c>
      <c r="Q720" s="3">
        <v>103.23</v>
      </c>
      <c r="R720" s="3">
        <v>72.314999999999998</v>
      </c>
      <c r="S720" s="3">
        <v>142.65</v>
      </c>
    </row>
    <row r="721" spans="1:19" ht="14.4" x14ac:dyDescent="0.3">
      <c r="A721" s="2">
        <v>44930</v>
      </c>
      <c r="B721" s="3">
        <v>98.55</v>
      </c>
      <c r="C721" s="3">
        <v>126.43</v>
      </c>
      <c r="D721" s="3">
        <v>160.44</v>
      </c>
      <c r="E721" s="3">
        <v>186.25</v>
      </c>
      <c r="F721" s="3">
        <v>156.63</v>
      </c>
      <c r="G721" s="3">
        <v>73.099999999999994</v>
      </c>
      <c r="H721" s="3">
        <v>77.84</v>
      </c>
      <c r="I721" s="3">
        <v>74.69</v>
      </c>
      <c r="J721" s="3">
        <v>106.82</v>
      </c>
      <c r="K721" s="3">
        <v>22.8</v>
      </c>
      <c r="L721" s="3">
        <v>74567.61</v>
      </c>
      <c r="M721" s="3">
        <v>56831.91</v>
      </c>
      <c r="N721" s="3">
        <v>29.5</v>
      </c>
      <c r="O721" s="3">
        <v>5.9229999999999998E-2</v>
      </c>
      <c r="P721" s="3">
        <v>4.1719999999999997</v>
      </c>
      <c r="Q721" s="3">
        <v>103.93</v>
      </c>
      <c r="R721" s="3">
        <v>65.02</v>
      </c>
      <c r="S721" s="3">
        <v>140.5</v>
      </c>
    </row>
    <row r="722" spans="1:19" ht="14.4" x14ac:dyDescent="0.3">
      <c r="A722" s="2">
        <v>44931</v>
      </c>
      <c r="B722" s="3">
        <v>98.55</v>
      </c>
      <c r="C722" s="3">
        <v>126.43</v>
      </c>
      <c r="D722" s="3">
        <v>160.44</v>
      </c>
      <c r="E722" s="3">
        <v>186.25</v>
      </c>
      <c r="F722" s="3">
        <v>156.63</v>
      </c>
      <c r="G722" s="3">
        <v>73.92</v>
      </c>
      <c r="H722" s="3">
        <v>78.69</v>
      </c>
      <c r="I722" s="3">
        <v>75.459999999999994</v>
      </c>
      <c r="J722" s="3">
        <v>109.21</v>
      </c>
      <c r="K722" s="3">
        <v>22.9</v>
      </c>
      <c r="L722" s="3">
        <v>75439.3</v>
      </c>
      <c r="M722" s="3">
        <v>57891.73</v>
      </c>
      <c r="N722" s="3">
        <v>28.85</v>
      </c>
      <c r="O722" s="3">
        <v>5.8229999999999997E-2</v>
      </c>
      <c r="P722" s="3">
        <v>3.72</v>
      </c>
      <c r="Q722" s="3">
        <v>102.58</v>
      </c>
      <c r="R722" s="3">
        <v>72.42</v>
      </c>
      <c r="S722" s="3">
        <v>140.44999999999999</v>
      </c>
    </row>
    <row r="723" spans="1:19" ht="14.4" x14ac:dyDescent="0.3">
      <c r="A723" s="2">
        <v>44932</v>
      </c>
      <c r="B723" s="3">
        <v>112.23</v>
      </c>
      <c r="C723" s="3">
        <v>126.64</v>
      </c>
      <c r="D723" s="3">
        <v>159.49</v>
      </c>
      <c r="E723" s="3">
        <v>179.05</v>
      </c>
      <c r="F723" s="3">
        <v>150.04</v>
      </c>
      <c r="G723" s="3">
        <v>74.040000000000006</v>
      </c>
      <c r="H723" s="3">
        <v>78.569999999999993</v>
      </c>
      <c r="I723" s="3">
        <v>75.400000000000006</v>
      </c>
      <c r="J723" s="3">
        <v>110.53</v>
      </c>
      <c r="K723" s="3">
        <v>22.85</v>
      </c>
      <c r="L723" s="3">
        <v>76858.94</v>
      </c>
      <c r="M723" s="3">
        <v>60287.57</v>
      </c>
      <c r="N723" s="3">
        <v>28.45</v>
      </c>
      <c r="O723" s="3">
        <v>5.8299999999999998E-2</v>
      </c>
      <c r="P723" s="3">
        <v>3.71</v>
      </c>
      <c r="Q723" s="3">
        <v>104.9</v>
      </c>
      <c r="R723" s="3">
        <v>69.534999999999997</v>
      </c>
      <c r="S723" s="3">
        <v>139.15</v>
      </c>
    </row>
    <row r="724" spans="1:19" ht="14.4" x14ac:dyDescent="0.3">
      <c r="A724" s="2">
        <v>44935</v>
      </c>
      <c r="B724" s="3">
        <v>112.23</v>
      </c>
      <c r="C724" s="3">
        <v>126.64</v>
      </c>
      <c r="D724" s="3">
        <v>159.49</v>
      </c>
      <c r="E724" s="3">
        <v>179.05</v>
      </c>
      <c r="F724" s="3">
        <v>150.04</v>
      </c>
      <c r="G724" s="3">
        <v>74.92</v>
      </c>
      <c r="H724" s="3">
        <v>79.650000000000006</v>
      </c>
      <c r="I724" s="3">
        <v>76.430000000000007</v>
      </c>
      <c r="J724" s="3">
        <v>108.47</v>
      </c>
      <c r="K724" s="3">
        <v>23</v>
      </c>
      <c r="L724" s="3">
        <v>78342.7</v>
      </c>
      <c r="M724" s="3">
        <v>61074.51</v>
      </c>
      <c r="N724" s="3">
        <v>27.114999999999998</v>
      </c>
      <c r="O724" s="3">
        <v>5.9080000000000001E-2</v>
      </c>
      <c r="P724" s="3">
        <v>3.91</v>
      </c>
      <c r="Q724" s="3">
        <v>105.24</v>
      </c>
      <c r="R724" s="3">
        <v>74.3</v>
      </c>
      <c r="S724" s="3">
        <v>141.4</v>
      </c>
    </row>
    <row r="725" spans="1:19" ht="14.4" x14ac:dyDescent="0.3">
      <c r="A725" s="2">
        <v>44936</v>
      </c>
      <c r="B725" s="3">
        <v>112.23</v>
      </c>
      <c r="C725" s="3">
        <v>126.64</v>
      </c>
      <c r="D725" s="3">
        <v>159.49</v>
      </c>
      <c r="E725" s="3">
        <v>179.05</v>
      </c>
      <c r="F725" s="3">
        <v>150.04</v>
      </c>
      <c r="G725" s="3">
        <v>75.37</v>
      </c>
      <c r="H725" s="3">
        <v>80.099999999999994</v>
      </c>
      <c r="I725" s="3">
        <v>77.06</v>
      </c>
      <c r="J725" s="3">
        <v>110.09</v>
      </c>
      <c r="K725" s="3">
        <v>23.25</v>
      </c>
      <c r="L725" s="3">
        <v>78000.31</v>
      </c>
      <c r="M725" s="3">
        <v>61012.74</v>
      </c>
      <c r="N725" s="3">
        <v>27.06</v>
      </c>
      <c r="O725" s="3">
        <v>5.8700000000000002E-2</v>
      </c>
      <c r="P725" s="3">
        <v>3.6389999999999998</v>
      </c>
      <c r="Q725" s="3">
        <v>106.65</v>
      </c>
      <c r="R725" s="3">
        <v>70.069999999999993</v>
      </c>
      <c r="S725" s="3">
        <v>141.69999999999999</v>
      </c>
    </row>
    <row r="726" spans="1:19" ht="14.4" x14ac:dyDescent="0.3">
      <c r="A726" s="2">
        <v>44937</v>
      </c>
      <c r="B726" s="3">
        <v>112.23</v>
      </c>
      <c r="C726" s="3">
        <v>126.64</v>
      </c>
      <c r="D726" s="3">
        <v>159.49</v>
      </c>
      <c r="E726" s="3">
        <v>179.05</v>
      </c>
      <c r="F726" s="3">
        <v>150.04</v>
      </c>
      <c r="G726" s="3">
        <v>77.680000000000007</v>
      </c>
      <c r="H726" s="3">
        <v>82.67</v>
      </c>
      <c r="I726" s="3">
        <v>78.680000000000007</v>
      </c>
      <c r="J726" s="3">
        <v>111.37</v>
      </c>
      <c r="K726" s="3">
        <v>24.35</v>
      </c>
      <c r="L726" s="3">
        <v>78522.100000000006</v>
      </c>
      <c r="M726" s="3">
        <v>61364.32</v>
      </c>
      <c r="N726" s="3">
        <v>26.87</v>
      </c>
      <c r="O726" s="3">
        <v>5.9119999999999999E-2</v>
      </c>
      <c r="P726" s="3">
        <v>3.6709999999999998</v>
      </c>
      <c r="Q726" s="3">
        <v>108.69</v>
      </c>
      <c r="R726" s="3">
        <v>65.344999999999999</v>
      </c>
      <c r="S726" s="3">
        <v>141.85</v>
      </c>
    </row>
    <row r="727" spans="1:19" ht="14.4" x14ac:dyDescent="0.3">
      <c r="A727" s="2">
        <v>44938</v>
      </c>
      <c r="B727" s="3">
        <v>112.23</v>
      </c>
      <c r="C727" s="3">
        <v>126.64</v>
      </c>
      <c r="D727" s="3">
        <v>159.49</v>
      </c>
      <c r="E727" s="3">
        <v>179.05</v>
      </c>
      <c r="F727" s="3">
        <v>150.04</v>
      </c>
      <c r="G727" s="3">
        <v>78.650000000000006</v>
      </c>
      <c r="H727" s="3">
        <v>84.03</v>
      </c>
      <c r="I727" s="3">
        <v>79.39</v>
      </c>
      <c r="J727" s="3">
        <v>113.22</v>
      </c>
      <c r="K727" s="3">
        <v>24.5</v>
      </c>
      <c r="L727" s="3">
        <v>78627.55</v>
      </c>
      <c r="M727" s="3">
        <v>61211.58</v>
      </c>
      <c r="N727" s="3">
        <v>26.76</v>
      </c>
      <c r="O727" s="3">
        <v>5.9659999999999998E-2</v>
      </c>
      <c r="P727" s="3">
        <v>3.6949999999999998</v>
      </c>
      <c r="Q727" s="3">
        <v>109.03</v>
      </c>
      <c r="R727" s="3">
        <v>66.81</v>
      </c>
      <c r="S727" s="3">
        <v>141.4</v>
      </c>
    </row>
    <row r="728" spans="1:19" ht="14.4" x14ac:dyDescent="0.3">
      <c r="A728" s="2">
        <v>44939</v>
      </c>
      <c r="B728" s="3">
        <v>97.04</v>
      </c>
      <c r="C728" s="3">
        <v>119.51</v>
      </c>
      <c r="D728" s="3">
        <v>147.63</v>
      </c>
      <c r="E728" s="3">
        <v>163.95</v>
      </c>
      <c r="F728" s="3">
        <v>146.19999999999999</v>
      </c>
      <c r="G728" s="3">
        <v>80.11</v>
      </c>
      <c r="H728" s="3">
        <v>85.28</v>
      </c>
      <c r="I728" s="3">
        <v>80.02</v>
      </c>
      <c r="J728" s="3">
        <v>113.15</v>
      </c>
      <c r="K728" s="3">
        <v>24.7</v>
      </c>
      <c r="L728" s="3">
        <v>79333.72</v>
      </c>
      <c r="M728" s="3">
        <v>62404.58</v>
      </c>
      <c r="N728" s="3">
        <v>26.806999999999999</v>
      </c>
      <c r="O728" s="3">
        <v>5.951E-2</v>
      </c>
      <c r="P728" s="3">
        <v>3.419</v>
      </c>
      <c r="Q728" s="3">
        <v>107.63</v>
      </c>
      <c r="R728" s="3">
        <v>64.81</v>
      </c>
      <c r="S728" s="3">
        <v>141.65</v>
      </c>
    </row>
    <row r="729" spans="1:19" ht="14.4" x14ac:dyDescent="0.3">
      <c r="A729" s="2">
        <v>44942</v>
      </c>
      <c r="B729" s="3">
        <v>97.04</v>
      </c>
      <c r="C729" s="3">
        <v>119.51</v>
      </c>
      <c r="D729" s="3">
        <v>147.63</v>
      </c>
      <c r="E729" s="3">
        <v>163.95</v>
      </c>
      <c r="F729" s="3">
        <v>146.19999999999999</v>
      </c>
      <c r="G729" s="3">
        <v>79.040000000000006</v>
      </c>
      <c r="H729" s="3">
        <v>84.46</v>
      </c>
      <c r="I729" s="1">
        <f>(I728+I730)/2</f>
        <v>80.34</v>
      </c>
      <c r="J729" s="1">
        <f>(J728+J730)/2</f>
        <v>113.04</v>
      </c>
      <c r="K729" s="3">
        <v>24.8</v>
      </c>
      <c r="L729" s="3">
        <v>79167.8</v>
      </c>
      <c r="M729" s="3">
        <v>61106.73</v>
      </c>
      <c r="N729" s="5">
        <f>FORECAST(A729,N723:N728,A723:A728)</f>
        <v>25.799513513513375</v>
      </c>
      <c r="O729" s="3">
        <v>5.8720000000000001E-2</v>
      </c>
      <c r="P729" s="3">
        <v>3.6749999999999998</v>
      </c>
      <c r="Q729" s="1">
        <f>AVERAGE(Q728,Q730)</f>
        <v>107.52</v>
      </c>
      <c r="R729" s="5">
        <f>AVERAGE(R728,R730)</f>
        <v>62.435000000000002</v>
      </c>
      <c r="S729" s="3">
        <v>140.75</v>
      </c>
    </row>
    <row r="730" spans="1:19" ht="14.4" x14ac:dyDescent="0.3">
      <c r="A730" s="2">
        <v>44943</v>
      </c>
      <c r="B730" s="3">
        <v>97.04</v>
      </c>
      <c r="C730" s="3">
        <v>119.51</v>
      </c>
      <c r="D730" s="3">
        <v>147.63</v>
      </c>
      <c r="E730" s="3">
        <v>163.95</v>
      </c>
      <c r="F730" s="3">
        <v>146.19999999999999</v>
      </c>
      <c r="G730" s="3">
        <v>80.45</v>
      </c>
      <c r="H730" s="3">
        <v>85.92</v>
      </c>
      <c r="I730" s="3">
        <v>80.66</v>
      </c>
      <c r="J730" s="3">
        <v>112.93</v>
      </c>
      <c r="K730" s="3">
        <v>24.85</v>
      </c>
      <c r="L730" s="3">
        <v>79385.11</v>
      </c>
      <c r="M730" s="3">
        <v>60155.8</v>
      </c>
      <c r="N730" s="3">
        <v>22.725000000000001</v>
      </c>
      <c r="O730" s="3">
        <v>5.8650000000000001E-2</v>
      </c>
      <c r="P730" s="3">
        <v>3.5859999999999999</v>
      </c>
      <c r="Q730" s="3">
        <v>107.41</v>
      </c>
      <c r="R730" s="3">
        <v>60.06</v>
      </c>
      <c r="S730" s="3">
        <v>139.9</v>
      </c>
    </row>
    <row r="731" spans="1:19" ht="14.4" x14ac:dyDescent="0.3">
      <c r="A731" s="2">
        <v>44944</v>
      </c>
      <c r="B731" s="3">
        <v>97.04</v>
      </c>
      <c r="C731" s="3">
        <v>119.51</v>
      </c>
      <c r="D731" s="3">
        <v>147.63</v>
      </c>
      <c r="E731" s="3">
        <v>163.95</v>
      </c>
      <c r="F731" s="3">
        <v>146.19999999999999</v>
      </c>
      <c r="G731" s="3">
        <v>79.8</v>
      </c>
      <c r="H731" s="3">
        <v>84.98</v>
      </c>
      <c r="I731" s="3">
        <v>80.19</v>
      </c>
      <c r="J731" s="3">
        <v>110.61</v>
      </c>
      <c r="K731" s="3">
        <v>24.75</v>
      </c>
      <c r="L731" s="3">
        <v>79865.48</v>
      </c>
      <c r="M731" s="3">
        <v>60191.53</v>
      </c>
      <c r="N731" s="3">
        <v>23.09</v>
      </c>
      <c r="O731" s="3">
        <v>5.8340000000000003E-2</v>
      </c>
      <c r="P731" s="3">
        <v>3.3109999999999999</v>
      </c>
      <c r="Q731" s="3">
        <v>107.67</v>
      </c>
      <c r="R731" s="3">
        <v>61.71</v>
      </c>
      <c r="S731" s="3">
        <v>139.5</v>
      </c>
    </row>
    <row r="732" spans="1:19" ht="14.4" x14ac:dyDescent="0.3">
      <c r="A732" s="2">
        <v>44945</v>
      </c>
      <c r="B732" s="3">
        <v>97.04</v>
      </c>
      <c r="C732" s="3">
        <v>119.51</v>
      </c>
      <c r="D732" s="3">
        <v>147.63</v>
      </c>
      <c r="E732" s="3">
        <v>163.95</v>
      </c>
      <c r="F732" s="3">
        <v>146.19999999999999</v>
      </c>
      <c r="G732" s="3">
        <v>80.61</v>
      </c>
      <c r="H732" s="3">
        <v>86.16</v>
      </c>
      <c r="I732" s="3">
        <v>80.489999999999995</v>
      </c>
      <c r="J732" s="3">
        <v>111.32</v>
      </c>
      <c r="K732" s="3">
        <v>24.5</v>
      </c>
      <c r="L732" s="3">
        <v>79505.06</v>
      </c>
      <c r="M732" s="3">
        <v>59189.3</v>
      </c>
      <c r="N732" s="3">
        <v>22.95</v>
      </c>
      <c r="O732" s="3">
        <v>5.7869999999999998E-2</v>
      </c>
      <c r="P732" s="3">
        <v>3.2749999999999999</v>
      </c>
      <c r="Q732" s="3">
        <v>106.92</v>
      </c>
      <c r="R732" s="3">
        <v>60.715000000000003</v>
      </c>
      <c r="S732" s="3">
        <v>138.5</v>
      </c>
    </row>
    <row r="733" spans="1:19" ht="14.4" x14ac:dyDescent="0.3">
      <c r="A733" s="2">
        <v>44946</v>
      </c>
      <c r="B733" s="3">
        <v>106.55</v>
      </c>
      <c r="C733" s="3">
        <v>124.98</v>
      </c>
      <c r="D733" s="3">
        <v>150.35</v>
      </c>
      <c r="E733" s="3">
        <v>166.49</v>
      </c>
      <c r="F733" s="3">
        <v>146.97999999999999</v>
      </c>
      <c r="G733" s="3">
        <v>81.64</v>
      </c>
      <c r="H733" s="3">
        <v>87.63</v>
      </c>
      <c r="I733" s="3">
        <v>81</v>
      </c>
      <c r="J733" s="3">
        <v>113.35</v>
      </c>
      <c r="K733" s="3">
        <v>25.1</v>
      </c>
      <c r="L733" s="3">
        <v>79269.77</v>
      </c>
      <c r="M733" s="3">
        <v>58686.92</v>
      </c>
      <c r="N733" s="3">
        <v>22.815000000000001</v>
      </c>
      <c r="O733" s="3">
        <v>5.8380000000000001E-2</v>
      </c>
      <c r="P733" s="3">
        <v>3.1739999999999999</v>
      </c>
      <c r="Q733" s="3">
        <v>108.48</v>
      </c>
      <c r="R733" s="3">
        <v>66.900000000000006</v>
      </c>
      <c r="S733" s="3">
        <v>135.69999999999999</v>
      </c>
    </row>
    <row r="734" spans="1:19" ht="14.4" x14ac:dyDescent="0.3">
      <c r="A734" s="2">
        <v>44949</v>
      </c>
      <c r="B734" s="3">
        <v>106.55</v>
      </c>
      <c r="C734" s="3">
        <v>124.98</v>
      </c>
      <c r="D734" s="3">
        <v>150.35</v>
      </c>
      <c r="E734" s="3">
        <v>166.49</v>
      </c>
      <c r="F734" s="3">
        <v>146.97999999999999</v>
      </c>
      <c r="G734" s="3">
        <v>81.62</v>
      </c>
      <c r="H734" s="3">
        <v>88.19</v>
      </c>
      <c r="I734" s="3">
        <v>81.069999999999993</v>
      </c>
      <c r="J734" s="3">
        <v>112.76</v>
      </c>
      <c r="K734" s="5">
        <f t="shared" ref="K734:K736" si="49">FORECAST(A734,K728:K733,A728:A733)</f>
        <v>24.909459459459413</v>
      </c>
      <c r="L734" s="3">
        <v>80128.63</v>
      </c>
      <c r="M734" s="3">
        <v>59035.519999999997</v>
      </c>
      <c r="N734" s="3">
        <v>23.254999999999999</v>
      </c>
      <c r="O734" s="3">
        <v>5.8160000000000003E-2</v>
      </c>
      <c r="P734" s="3">
        <v>3.222</v>
      </c>
      <c r="Q734" s="3">
        <v>108.67</v>
      </c>
      <c r="R734" s="3">
        <v>66</v>
      </c>
      <c r="S734" s="3">
        <v>138.69999999999999</v>
      </c>
    </row>
    <row r="735" spans="1:19" ht="14.4" x14ac:dyDescent="0.3">
      <c r="A735" s="2">
        <v>44950</v>
      </c>
      <c r="B735" s="3">
        <v>106.55</v>
      </c>
      <c r="C735" s="3">
        <v>124.98</v>
      </c>
      <c r="D735" s="3">
        <v>150.35</v>
      </c>
      <c r="E735" s="3">
        <v>166.49</v>
      </c>
      <c r="F735" s="3">
        <v>146.97999999999999</v>
      </c>
      <c r="G735" s="3">
        <v>80.13</v>
      </c>
      <c r="H735" s="3">
        <v>86.13</v>
      </c>
      <c r="I735" s="3">
        <v>80.599999999999994</v>
      </c>
      <c r="J735" s="3">
        <v>113.81</v>
      </c>
      <c r="K735" s="5">
        <f t="shared" si="49"/>
        <v>24.936559532505612</v>
      </c>
      <c r="L735" s="3">
        <v>80037.009999999995</v>
      </c>
      <c r="M735" s="3">
        <v>58298.400000000001</v>
      </c>
      <c r="N735" s="3">
        <v>22.114999999999998</v>
      </c>
      <c r="O735" s="3">
        <v>5.8130000000000001E-2</v>
      </c>
      <c r="P735" s="3">
        <v>3.0569999999999999</v>
      </c>
      <c r="Q735" s="3">
        <v>106.25</v>
      </c>
      <c r="R735" s="3">
        <v>58.27</v>
      </c>
      <c r="S735" s="3">
        <v>138.75</v>
      </c>
    </row>
    <row r="736" spans="1:19" ht="14.4" x14ac:dyDescent="0.3">
      <c r="A736" s="2">
        <v>44951</v>
      </c>
      <c r="B736" s="3">
        <v>106.55</v>
      </c>
      <c r="C736" s="3">
        <v>124.98</v>
      </c>
      <c r="D736" s="3">
        <v>150.35</v>
      </c>
      <c r="E736" s="3">
        <v>166.49</v>
      </c>
      <c r="F736" s="3">
        <v>146.97999999999999</v>
      </c>
      <c r="G736" s="3">
        <v>80.150000000000006</v>
      </c>
      <c r="H736" s="3">
        <v>86.12</v>
      </c>
      <c r="I736" s="3">
        <v>80.569999999999993</v>
      </c>
      <c r="J736" s="3">
        <v>113.21</v>
      </c>
      <c r="K736" s="5">
        <f t="shared" si="49"/>
        <v>24.975873495581482</v>
      </c>
      <c r="L736" s="3">
        <v>79725.460000000006</v>
      </c>
      <c r="M736" s="3">
        <v>58145.2</v>
      </c>
      <c r="N736" s="3">
        <v>20.94</v>
      </c>
      <c r="O736" s="3">
        <v>5.842E-2</v>
      </c>
      <c r="P736" s="3">
        <v>2.915</v>
      </c>
      <c r="Q736" s="3">
        <v>106.49</v>
      </c>
      <c r="R736" s="3">
        <v>56.66</v>
      </c>
      <c r="S736" s="3">
        <v>136.9</v>
      </c>
    </row>
    <row r="737" spans="1:19" ht="14.4" x14ac:dyDescent="0.3">
      <c r="A737" s="2">
        <v>44952</v>
      </c>
      <c r="B737" s="3">
        <v>106.55</v>
      </c>
      <c r="C737" s="3">
        <v>124.98</v>
      </c>
      <c r="D737" s="3">
        <v>150.35</v>
      </c>
      <c r="E737" s="3">
        <v>166.49</v>
      </c>
      <c r="F737" s="3">
        <v>146.97999999999999</v>
      </c>
      <c r="G737" s="3">
        <v>81.010000000000005</v>
      </c>
      <c r="H737" s="3">
        <v>87.47</v>
      </c>
      <c r="I737" s="3">
        <v>80.739999999999995</v>
      </c>
      <c r="J737" s="3">
        <v>117.76</v>
      </c>
      <c r="K737" s="3">
        <v>24.8</v>
      </c>
      <c r="L737" s="3">
        <v>80508.97</v>
      </c>
      <c r="M737" s="3">
        <v>57437.26</v>
      </c>
      <c r="N737" s="3">
        <v>20.164999999999999</v>
      </c>
      <c r="O737" s="3">
        <v>5.8160000000000003E-2</v>
      </c>
      <c r="P737" s="3">
        <v>2.8479999999999999</v>
      </c>
      <c r="Q737" s="3">
        <v>108.19</v>
      </c>
      <c r="R737" s="3">
        <v>54.814999999999998</v>
      </c>
      <c r="S737" s="1">
        <f>S738</f>
        <v>134.25</v>
      </c>
    </row>
    <row r="738" spans="1:19" ht="14.4" x14ac:dyDescent="0.3">
      <c r="A738" s="2">
        <v>44953</v>
      </c>
      <c r="B738" s="3">
        <v>100.63</v>
      </c>
      <c r="C738" s="3">
        <v>121.2</v>
      </c>
      <c r="D738" s="3">
        <v>139.81</v>
      </c>
      <c r="E738" s="3">
        <v>150.36000000000001</v>
      </c>
      <c r="F738" s="3">
        <v>141.97</v>
      </c>
      <c r="G738" s="3">
        <v>79.680000000000007</v>
      </c>
      <c r="H738" s="3">
        <v>86.66</v>
      </c>
      <c r="I738" s="3">
        <v>80.58</v>
      </c>
      <c r="J738" s="3">
        <v>115.61</v>
      </c>
      <c r="K738" s="3">
        <v>24.95</v>
      </c>
      <c r="L738" s="3">
        <v>80791.360000000001</v>
      </c>
      <c r="M738" s="3">
        <v>56691.27</v>
      </c>
      <c r="N738" s="3">
        <v>19.5</v>
      </c>
      <c r="O738" s="3">
        <v>5.8119999999999998E-2</v>
      </c>
      <c r="P738" s="3">
        <v>2.8490000000000002</v>
      </c>
      <c r="Q738" s="3">
        <v>107.94</v>
      </c>
      <c r="R738" s="3">
        <v>55.424999999999997</v>
      </c>
      <c r="S738" s="3">
        <v>134.25</v>
      </c>
    </row>
    <row r="739" spans="1:19" ht="14.4" x14ac:dyDescent="0.3">
      <c r="A739" s="2">
        <v>44956</v>
      </c>
      <c r="B739" s="3">
        <v>100.63</v>
      </c>
      <c r="C739" s="3">
        <v>121.2</v>
      </c>
      <c r="D739" s="3">
        <v>139.81</v>
      </c>
      <c r="E739" s="3">
        <v>150.36000000000001</v>
      </c>
      <c r="F739" s="3">
        <v>141.97</v>
      </c>
      <c r="G739" s="3">
        <v>77.900000000000006</v>
      </c>
      <c r="H739" s="3">
        <v>84.9</v>
      </c>
      <c r="I739" s="3">
        <v>80.42</v>
      </c>
      <c r="J739" s="3">
        <v>113.56</v>
      </c>
      <c r="K739" s="3">
        <v>24.25</v>
      </c>
      <c r="L739" s="3">
        <v>80324.86</v>
      </c>
      <c r="M739" s="3">
        <v>56848.62</v>
      </c>
      <c r="N739" s="3">
        <v>19.484999999999999</v>
      </c>
      <c r="O739" s="3">
        <v>5.7459999999999997E-2</v>
      </c>
      <c r="P739" s="3">
        <v>2.7309999999999999</v>
      </c>
      <c r="Q739" s="3">
        <v>106.66</v>
      </c>
      <c r="R739" s="3">
        <v>55.155999999999999</v>
      </c>
      <c r="S739" s="3">
        <v>135.35</v>
      </c>
    </row>
    <row r="740" spans="1:19" ht="14.4" x14ac:dyDescent="0.3">
      <c r="A740" s="2">
        <v>44957</v>
      </c>
      <c r="B740" s="3">
        <v>100.63</v>
      </c>
      <c r="C740" s="3">
        <v>121.2</v>
      </c>
      <c r="D740" s="3">
        <v>139.81</v>
      </c>
      <c r="E740" s="3">
        <v>150.36000000000001</v>
      </c>
      <c r="F740" s="3">
        <v>141.97</v>
      </c>
      <c r="G740" s="3">
        <v>78.87</v>
      </c>
      <c r="H740" s="3">
        <v>84.49</v>
      </c>
      <c r="I740" s="3">
        <v>80.38</v>
      </c>
      <c r="J740" s="3">
        <v>116.01</v>
      </c>
      <c r="K740" s="3">
        <v>24.35</v>
      </c>
      <c r="L740" s="3">
        <v>79476.600000000006</v>
      </c>
      <c r="M740" s="3">
        <v>55475.88</v>
      </c>
      <c r="N740" s="3">
        <v>19.024999999999999</v>
      </c>
      <c r="O740" s="3">
        <v>5.7439999999999998E-2</v>
      </c>
      <c r="P740" s="3">
        <v>2.7410000000000001</v>
      </c>
      <c r="Q740" s="3">
        <v>107.55</v>
      </c>
      <c r="R740" s="3">
        <v>57.35</v>
      </c>
      <c r="S740" s="3">
        <v>138.6</v>
      </c>
    </row>
    <row r="741" spans="1:19" ht="14.4" x14ac:dyDescent="0.3">
      <c r="A741" s="2">
        <v>44958</v>
      </c>
      <c r="B741" s="3">
        <v>100.63</v>
      </c>
      <c r="C741" s="3">
        <v>121.2</v>
      </c>
      <c r="D741" s="3">
        <v>139.81</v>
      </c>
      <c r="E741" s="3">
        <v>150.36000000000001</v>
      </c>
      <c r="F741" s="3">
        <v>141.97</v>
      </c>
      <c r="G741" s="3">
        <v>76.41</v>
      </c>
      <c r="H741" s="3">
        <v>82.84</v>
      </c>
      <c r="I741" s="3">
        <v>80.319999999999993</v>
      </c>
      <c r="J741" s="3">
        <v>114.74</v>
      </c>
      <c r="K741" s="3">
        <v>24.05</v>
      </c>
      <c r="L741" s="3">
        <v>79816.87</v>
      </c>
      <c r="M741" s="3">
        <v>55321.31</v>
      </c>
      <c r="N741" s="3">
        <v>18.97</v>
      </c>
      <c r="O741" s="3">
        <v>5.8619999999999998E-2</v>
      </c>
      <c r="P741" s="3">
        <v>2.536</v>
      </c>
      <c r="Q741" s="3">
        <v>109.01</v>
      </c>
      <c r="R741" s="3">
        <v>59.524999999999999</v>
      </c>
      <c r="S741" s="3">
        <v>136.75</v>
      </c>
    </row>
    <row r="742" spans="1:19" ht="14.4" x14ac:dyDescent="0.3">
      <c r="A742" s="2">
        <v>44959</v>
      </c>
      <c r="B742" s="3">
        <v>100.63</v>
      </c>
      <c r="C742" s="3">
        <v>121.2</v>
      </c>
      <c r="D742" s="3">
        <v>139.81</v>
      </c>
      <c r="E742" s="3">
        <v>150.36000000000001</v>
      </c>
      <c r="F742" s="3">
        <v>141.97</v>
      </c>
      <c r="G742" s="3">
        <v>75.88</v>
      </c>
      <c r="H742" s="3">
        <v>82.17</v>
      </c>
      <c r="I742" s="3">
        <v>80.069999999999993</v>
      </c>
      <c r="J742" s="3">
        <v>111.15</v>
      </c>
      <c r="K742" s="3">
        <v>24.3</v>
      </c>
      <c r="L742" s="3">
        <v>79802.09</v>
      </c>
      <c r="M742" s="3">
        <v>55967.59</v>
      </c>
      <c r="N742" s="3">
        <v>18.37</v>
      </c>
      <c r="O742" s="3">
        <v>5.8560000000000001E-2</v>
      </c>
      <c r="P742" s="3">
        <v>2.5219999999999998</v>
      </c>
      <c r="Q742" s="3">
        <v>108.33</v>
      </c>
      <c r="R742" s="3">
        <v>57.04</v>
      </c>
      <c r="S742" s="3">
        <v>138.75</v>
      </c>
    </row>
    <row r="743" spans="1:19" ht="14.4" x14ac:dyDescent="0.3">
      <c r="A743" s="2">
        <v>44960</v>
      </c>
      <c r="B743" s="3">
        <v>98.3</v>
      </c>
      <c r="C743" s="3">
        <v>116.85</v>
      </c>
      <c r="D743" s="3">
        <v>133.1</v>
      </c>
      <c r="E743" s="3">
        <v>145.78</v>
      </c>
      <c r="F743" s="3">
        <v>136.65</v>
      </c>
      <c r="G743" s="3">
        <v>73.39</v>
      </c>
      <c r="H743" s="3">
        <v>79.94</v>
      </c>
      <c r="I743" s="3">
        <v>78.099999999999994</v>
      </c>
      <c r="J743" s="3">
        <v>111.92</v>
      </c>
      <c r="K743" s="3">
        <v>24</v>
      </c>
      <c r="L743" s="3">
        <v>80240.92</v>
      </c>
      <c r="M743" s="3">
        <v>55977.38</v>
      </c>
      <c r="N743" s="3">
        <v>18.524999999999999</v>
      </c>
      <c r="O743" s="3">
        <v>5.7189999999999998E-2</v>
      </c>
      <c r="P743" s="3">
        <v>2.48</v>
      </c>
      <c r="Q743" s="3">
        <v>107.66</v>
      </c>
      <c r="R743" s="3">
        <v>57.89</v>
      </c>
      <c r="S743" s="3">
        <v>138.25</v>
      </c>
    </row>
    <row r="744" spans="1:19" ht="14.4" x14ac:dyDescent="0.3">
      <c r="A744" s="2">
        <v>44963</v>
      </c>
      <c r="B744" s="3">
        <v>98.3</v>
      </c>
      <c r="C744" s="3">
        <v>116.85</v>
      </c>
      <c r="D744" s="3">
        <v>133.1</v>
      </c>
      <c r="E744" s="3">
        <v>145.78</v>
      </c>
      <c r="F744" s="3">
        <v>136.65</v>
      </c>
      <c r="G744" s="3">
        <v>74.11</v>
      </c>
      <c r="H744" s="3">
        <v>80.989999999999995</v>
      </c>
      <c r="I744" s="3">
        <v>78.97</v>
      </c>
      <c r="J744" s="3">
        <v>111.73</v>
      </c>
      <c r="K744" s="3">
        <v>23.9</v>
      </c>
      <c r="L744" s="3">
        <v>79582.83</v>
      </c>
      <c r="M744" s="3">
        <v>54884.84</v>
      </c>
      <c r="N744" s="3">
        <v>18.495000000000001</v>
      </c>
      <c r="O744" s="3">
        <v>5.6599999999999998E-2</v>
      </c>
      <c r="P744" s="3">
        <v>2.5350000000000001</v>
      </c>
      <c r="Q744" s="3">
        <v>108.32</v>
      </c>
      <c r="R744" s="3">
        <v>58.11</v>
      </c>
      <c r="S744" s="3">
        <v>139.55000000000001</v>
      </c>
    </row>
    <row r="745" spans="1:19" ht="14.4" x14ac:dyDescent="0.3">
      <c r="A745" s="2">
        <v>44964</v>
      </c>
      <c r="B745" s="3">
        <v>98.3</v>
      </c>
      <c r="C745" s="3">
        <v>116.85</v>
      </c>
      <c r="D745" s="3">
        <v>133.1</v>
      </c>
      <c r="E745" s="3">
        <v>145.78</v>
      </c>
      <c r="F745" s="3">
        <v>136.65</v>
      </c>
      <c r="G745" s="3">
        <v>77.14</v>
      </c>
      <c r="H745" s="3">
        <v>83.69</v>
      </c>
      <c r="I745" s="3">
        <v>81.19</v>
      </c>
      <c r="J745" s="3">
        <v>114.92</v>
      </c>
      <c r="K745" s="3">
        <v>23.9</v>
      </c>
      <c r="L745" s="3">
        <v>79534.22</v>
      </c>
      <c r="M745" s="3">
        <v>55902.85</v>
      </c>
      <c r="N745" s="3">
        <v>18.184999999999999</v>
      </c>
      <c r="O745" s="3">
        <v>5.6989999999999999E-2</v>
      </c>
      <c r="P745" s="3">
        <v>2.6640000000000001</v>
      </c>
      <c r="Q745" s="3">
        <v>109.35</v>
      </c>
      <c r="R745" s="3">
        <v>55.405000000000001</v>
      </c>
      <c r="S745" s="3">
        <v>138.05000000000001</v>
      </c>
    </row>
    <row r="746" spans="1:19" ht="14.4" x14ac:dyDescent="0.3">
      <c r="A746" s="2">
        <v>44965</v>
      </c>
      <c r="B746" s="3">
        <v>98.3</v>
      </c>
      <c r="C746" s="3">
        <v>116.85</v>
      </c>
      <c r="D746" s="3">
        <v>133.1</v>
      </c>
      <c r="E746" s="3">
        <v>145.78</v>
      </c>
      <c r="F746" s="3">
        <v>136.65</v>
      </c>
      <c r="G746" s="3">
        <v>78.47</v>
      </c>
      <c r="H746" s="3">
        <v>85.09</v>
      </c>
      <c r="I746" s="3">
        <v>82.17</v>
      </c>
      <c r="J746" s="3">
        <v>113.92</v>
      </c>
      <c r="K746" s="3">
        <v>23.85</v>
      </c>
      <c r="L746" s="3">
        <v>79975.59</v>
      </c>
      <c r="M746" s="3">
        <v>55543.76</v>
      </c>
      <c r="N746" s="3">
        <v>17.93</v>
      </c>
      <c r="O746" s="3">
        <v>5.6239999999999998E-2</v>
      </c>
      <c r="P746" s="3">
        <v>2.4769999999999999</v>
      </c>
      <c r="Q746" s="3">
        <v>109.25</v>
      </c>
      <c r="R746" s="3">
        <v>53.685000000000002</v>
      </c>
      <c r="S746" s="3">
        <v>138.1</v>
      </c>
    </row>
    <row r="747" spans="1:19" ht="14.4" x14ac:dyDescent="0.3">
      <c r="A747" s="2">
        <v>44966</v>
      </c>
      <c r="B747" s="3">
        <v>98.3</v>
      </c>
      <c r="C747" s="3">
        <v>116.85</v>
      </c>
      <c r="D747" s="3">
        <v>133.1</v>
      </c>
      <c r="E747" s="3">
        <v>145.78</v>
      </c>
      <c r="F747" s="3">
        <v>136.65</v>
      </c>
      <c r="G747" s="3">
        <v>78.06</v>
      </c>
      <c r="H747" s="3">
        <v>84.5</v>
      </c>
      <c r="I747" s="3">
        <v>81.86</v>
      </c>
      <c r="J747" s="3">
        <v>114.35</v>
      </c>
      <c r="K747" s="3">
        <v>23.85</v>
      </c>
      <c r="L747" s="3">
        <v>80021.09</v>
      </c>
      <c r="M747" s="3">
        <v>54468.41</v>
      </c>
      <c r="N747" s="3">
        <v>17.914999999999999</v>
      </c>
      <c r="O747" s="3">
        <v>5.6309999999999999E-2</v>
      </c>
      <c r="P747" s="3">
        <v>2.492</v>
      </c>
      <c r="Q747" s="3">
        <v>107.54</v>
      </c>
      <c r="R747" s="3">
        <v>52.734999999999999</v>
      </c>
      <c r="S747" s="3">
        <v>135.65</v>
      </c>
    </row>
    <row r="748" spans="1:19" ht="14.4" x14ac:dyDescent="0.3">
      <c r="A748" s="2">
        <v>44967</v>
      </c>
      <c r="B748" s="3">
        <v>97.55</v>
      </c>
      <c r="C748" s="3">
        <v>116.91</v>
      </c>
      <c r="D748" s="3">
        <v>132.66999999999999</v>
      </c>
      <c r="E748" s="3">
        <v>144.44999999999999</v>
      </c>
      <c r="F748" s="3">
        <v>134.30000000000001</v>
      </c>
      <c r="G748" s="3">
        <v>79.72</v>
      </c>
      <c r="H748" s="3">
        <v>86.39</v>
      </c>
      <c r="I748" s="3">
        <v>83.15</v>
      </c>
      <c r="J748" s="3">
        <v>119.17</v>
      </c>
      <c r="K748" s="3">
        <v>23.55</v>
      </c>
      <c r="L748" s="3">
        <v>78985.350000000006</v>
      </c>
      <c r="M748" s="3">
        <v>53103.02</v>
      </c>
      <c r="N748" s="3">
        <v>17.984999999999999</v>
      </c>
      <c r="O748" s="3">
        <v>5.5800000000000002E-2</v>
      </c>
      <c r="P748" s="3">
        <v>2.6070000000000002</v>
      </c>
      <c r="Q748" s="3">
        <v>108.71</v>
      </c>
      <c r="R748" s="3">
        <v>53.945</v>
      </c>
      <c r="S748" s="3">
        <v>134.94999999999999</v>
      </c>
    </row>
    <row r="749" spans="1:19" ht="14.4" x14ac:dyDescent="0.3">
      <c r="A749" s="2">
        <v>44970</v>
      </c>
      <c r="B749" s="3">
        <v>97.55</v>
      </c>
      <c r="C749" s="3">
        <v>116.91</v>
      </c>
      <c r="D749" s="3">
        <v>132.66999999999999</v>
      </c>
      <c r="E749" s="3">
        <v>144.44999999999999</v>
      </c>
      <c r="F749" s="3">
        <v>134.30000000000001</v>
      </c>
      <c r="G749" s="3">
        <v>80.14</v>
      </c>
      <c r="H749" s="3">
        <v>86.61</v>
      </c>
      <c r="I749" s="3">
        <v>83.52</v>
      </c>
      <c r="J749" s="3">
        <v>117.8</v>
      </c>
      <c r="K749" s="3">
        <v>23.45</v>
      </c>
      <c r="L749" s="3">
        <v>79770.210000000006</v>
      </c>
      <c r="M749" s="3">
        <v>53909.94</v>
      </c>
      <c r="N749" s="3">
        <v>17.895</v>
      </c>
      <c r="O749" s="3">
        <v>5.6000000000000001E-2</v>
      </c>
      <c r="P749" s="3">
        <v>2.4990000000000001</v>
      </c>
      <c r="Q749" s="3">
        <v>109.19</v>
      </c>
      <c r="R749" s="3">
        <v>51.704999999999998</v>
      </c>
      <c r="S749" s="3">
        <v>133.85</v>
      </c>
    </row>
    <row r="750" spans="1:19" ht="14.4" x14ac:dyDescent="0.3">
      <c r="A750" s="2">
        <v>44971</v>
      </c>
      <c r="B750" s="3">
        <v>97.55</v>
      </c>
      <c r="C750" s="3">
        <v>116.91</v>
      </c>
      <c r="D750" s="3">
        <v>132.66999999999999</v>
      </c>
      <c r="E750" s="3">
        <v>144.44999999999999</v>
      </c>
      <c r="F750" s="3">
        <v>134.30000000000001</v>
      </c>
      <c r="G750" s="3">
        <v>79.06</v>
      </c>
      <c r="H750" s="3">
        <v>85.58</v>
      </c>
      <c r="I750" s="3">
        <v>83.05</v>
      </c>
      <c r="J750" s="3">
        <v>116.42</v>
      </c>
      <c r="K750" s="3">
        <v>23.45</v>
      </c>
      <c r="L750" s="3">
        <v>79858.02</v>
      </c>
      <c r="M750" s="3">
        <v>53217.71</v>
      </c>
      <c r="N750" s="3">
        <v>17.89</v>
      </c>
      <c r="O750" s="3">
        <v>5.5820000000000002E-2</v>
      </c>
      <c r="P750" s="3">
        <v>2.6520000000000001</v>
      </c>
      <c r="Q750" s="3">
        <v>108.4</v>
      </c>
      <c r="R750" s="3">
        <v>52.384999999999998</v>
      </c>
      <c r="S750" s="3">
        <v>133.4</v>
      </c>
    </row>
    <row r="751" spans="1:19" ht="14.4" x14ac:dyDescent="0.3">
      <c r="A751" s="2">
        <v>44972</v>
      </c>
      <c r="B751" s="3">
        <v>97.55</v>
      </c>
      <c r="C751" s="3">
        <v>116.91</v>
      </c>
      <c r="D751" s="3">
        <v>132.66999999999999</v>
      </c>
      <c r="E751" s="3">
        <v>144.44999999999999</v>
      </c>
      <c r="F751" s="3">
        <v>134.30000000000001</v>
      </c>
      <c r="G751" s="3">
        <v>78.59</v>
      </c>
      <c r="H751" s="3">
        <v>85.38</v>
      </c>
      <c r="I751" s="3">
        <v>82.95</v>
      </c>
      <c r="J751" s="3">
        <v>116.07</v>
      </c>
      <c r="K751" s="3">
        <v>23.15</v>
      </c>
      <c r="L751" s="3">
        <v>79471.759999999995</v>
      </c>
      <c r="M751" s="3">
        <v>51033.33</v>
      </c>
      <c r="N751" s="3">
        <v>17.882000000000001</v>
      </c>
      <c r="O751" s="3">
        <v>5.543E-2</v>
      </c>
      <c r="P751" s="3">
        <v>2.5550000000000002</v>
      </c>
      <c r="Q751" s="3">
        <v>108.64</v>
      </c>
      <c r="R751" s="3">
        <v>54.715000000000003</v>
      </c>
      <c r="S751" s="3">
        <v>134.35</v>
      </c>
    </row>
    <row r="752" spans="1:19" ht="14.4" x14ac:dyDescent="0.3">
      <c r="A752" s="2">
        <v>44973</v>
      </c>
      <c r="B752" s="3">
        <v>97.55</v>
      </c>
      <c r="C752" s="3">
        <v>116.91</v>
      </c>
      <c r="D752" s="3">
        <v>132.66999999999999</v>
      </c>
      <c r="E752" s="3">
        <v>144.44999999999999</v>
      </c>
      <c r="F752" s="3">
        <v>134.30000000000001</v>
      </c>
      <c r="G752" s="3">
        <v>78.489999999999995</v>
      </c>
      <c r="H752" s="3">
        <v>85.14</v>
      </c>
      <c r="I752" s="3">
        <v>82.83</v>
      </c>
      <c r="J752" s="3">
        <v>115.73</v>
      </c>
      <c r="K752" s="3">
        <v>23.1</v>
      </c>
      <c r="L752" s="3">
        <v>80227.19</v>
      </c>
      <c r="M752" s="3">
        <v>50973.17</v>
      </c>
      <c r="N752" s="3">
        <v>16.295000000000002</v>
      </c>
      <c r="O752" s="3">
        <v>5.5039999999999999E-2</v>
      </c>
      <c r="P752" s="3">
        <v>2.4849999999999999</v>
      </c>
      <c r="Q752" s="3">
        <v>107.13</v>
      </c>
      <c r="R752" s="3">
        <v>52.01</v>
      </c>
      <c r="S752" s="3">
        <v>136.15</v>
      </c>
    </row>
    <row r="753" spans="1:19" ht="14.4" x14ac:dyDescent="0.3">
      <c r="A753" s="2">
        <v>44974</v>
      </c>
      <c r="B753" s="3">
        <v>95.97</v>
      </c>
      <c r="C753" s="3">
        <v>114.69</v>
      </c>
      <c r="D753" s="3">
        <v>130.44</v>
      </c>
      <c r="E753" s="3">
        <v>136.87</v>
      </c>
      <c r="F753" s="3">
        <v>128.91</v>
      </c>
      <c r="G753" s="3">
        <v>76.34</v>
      </c>
      <c r="H753" s="3">
        <v>83</v>
      </c>
      <c r="I753" s="3">
        <v>82.07</v>
      </c>
      <c r="J753" s="3">
        <v>111.28</v>
      </c>
      <c r="K753" s="3">
        <v>23.45</v>
      </c>
      <c r="L753" s="3">
        <v>79271.78</v>
      </c>
      <c r="M753" s="3">
        <v>50460.36</v>
      </c>
      <c r="N753" s="3">
        <v>15.92</v>
      </c>
      <c r="O753" s="3">
        <v>5.5370000000000003E-2</v>
      </c>
      <c r="P753" s="3">
        <v>2.3519999999999999</v>
      </c>
      <c r="Q753" s="3">
        <v>107.11</v>
      </c>
      <c r="R753" s="3">
        <v>49.045000000000002</v>
      </c>
      <c r="S753" s="3">
        <v>135.44999999999999</v>
      </c>
    </row>
    <row r="754" spans="1:19" ht="14.4" x14ac:dyDescent="0.3">
      <c r="A754" s="2">
        <v>44977</v>
      </c>
      <c r="B754" s="3">
        <v>95.97</v>
      </c>
      <c r="C754" s="3">
        <v>114.69</v>
      </c>
      <c r="D754" s="3">
        <v>130.44</v>
      </c>
      <c r="E754" s="3">
        <v>136.87</v>
      </c>
      <c r="F754" s="3">
        <v>128.91</v>
      </c>
      <c r="G754" s="3">
        <v>77.3</v>
      </c>
      <c r="H754" s="3">
        <v>84.07</v>
      </c>
      <c r="I754" s="1">
        <f>(I753+I755)/2</f>
        <v>82.12</v>
      </c>
      <c r="J754" s="1">
        <f>(J753+J755)/2</f>
        <v>111.22499999999999</v>
      </c>
      <c r="K754" s="3">
        <v>23.55</v>
      </c>
      <c r="L754" s="3">
        <v>79829.39</v>
      </c>
      <c r="M754" s="3">
        <v>50803.45</v>
      </c>
      <c r="N754" s="5">
        <f>FORECAST(A754,N748:N753,A748:A753)</f>
        <v>15.624702702702052</v>
      </c>
      <c r="O754" s="3">
        <v>5.5169999999999997E-2</v>
      </c>
      <c r="P754" s="3">
        <v>2.3239999999999998</v>
      </c>
      <c r="Q754" s="1">
        <f>AVERAGE(Q753,Q755)</f>
        <v>105.63499999999999</v>
      </c>
      <c r="R754" s="5">
        <f>AVERAGE(R753,R755)</f>
        <v>48.792500000000004</v>
      </c>
      <c r="S754" s="3">
        <v>138.25</v>
      </c>
    </row>
    <row r="755" spans="1:19" ht="14.4" x14ac:dyDescent="0.3">
      <c r="A755" s="2">
        <v>44978</v>
      </c>
      <c r="B755" s="3">
        <v>95.97</v>
      </c>
      <c r="C755" s="3">
        <v>114.69</v>
      </c>
      <c r="D755" s="3">
        <v>130.44</v>
      </c>
      <c r="E755" s="3">
        <v>136.87</v>
      </c>
      <c r="F755" s="3">
        <v>128.91</v>
      </c>
      <c r="G755" s="3">
        <v>76.16</v>
      </c>
      <c r="H755" s="3">
        <v>83.05</v>
      </c>
      <c r="I755" s="3">
        <v>82.17</v>
      </c>
      <c r="J755" s="3">
        <v>111.17</v>
      </c>
      <c r="K755" s="3">
        <v>23.9</v>
      </c>
      <c r="L755" s="3">
        <v>78811.05</v>
      </c>
      <c r="M755" s="3">
        <v>49721.51</v>
      </c>
      <c r="N755" s="3">
        <v>14.3</v>
      </c>
      <c r="O755" s="3">
        <v>5.475E-2</v>
      </c>
      <c r="P755" s="3">
        <v>2.177</v>
      </c>
      <c r="Q755" s="3">
        <v>104.16</v>
      </c>
      <c r="R755" s="3">
        <v>48.54</v>
      </c>
      <c r="S755" s="3">
        <v>144.05000000000001</v>
      </c>
    </row>
    <row r="756" spans="1:19" ht="14.4" x14ac:dyDescent="0.3">
      <c r="A756" s="2">
        <v>44979</v>
      </c>
      <c r="B756" s="3">
        <v>95.97</v>
      </c>
      <c r="C756" s="3">
        <v>114.69</v>
      </c>
      <c r="D756" s="3">
        <v>130.44</v>
      </c>
      <c r="E756" s="3">
        <v>136.87</v>
      </c>
      <c r="F756" s="3">
        <v>128.91</v>
      </c>
      <c r="G756" s="3">
        <v>73.95</v>
      </c>
      <c r="H756" s="3">
        <v>80.45</v>
      </c>
      <c r="I756" s="3">
        <v>81.69</v>
      </c>
      <c r="J756" s="3">
        <v>109.73</v>
      </c>
      <c r="K756" s="3">
        <v>23.9</v>
      </c>
      <c r="L756" s="3">
        <v>78170.14</v>
      </c>
      <c r="M756" s="3">
        <v>47541.93</v>
      </c>
      <c r="N756" s="3">
        <v>14.84</v>
      </c>
      <c r="O756" s="3">
        <v>5.4820000000000001E-2</v>
      </c>
      <c r="P756" s="3">
        <v>2.1739999999999999</v>
      </c>
      <c r="Q756" s="3">
        <v>104.29</v>
      </c>
      <c r="R756" s="3">
        <v>50.57</v>
      </c>
      <c r="S756" s="3">
        <v>145.5</v>
      </c>
    </row>
    <row r="757" spans="1:19" ht="14.4" x14ac:dyDescent="0.3">
      <c r="A757" s="2">
        <v>44980</v>
      </c>
      <c r="B757" s="3">
        <v>95.97</v>
      </c>
      <c r="C757" s="3">
        <v>114.69</v>
      </c>
      <c r="D757" s="3">
        <v>130.44</v>
      </c>
      <c r="E757" s="3">
        <v>136.87</v>
      </c>
      <c r="F757" s="3">
        <v>128.91</v>
      </c>
      <c r="G757" s="3">
        <v>75.39</v>
      </c>
      <c r="H757" s="3">
        <v>81.95</v>
      </c>
      <c r="I757" s="3">
        <v>81.98</v>
      </c>
      <c r="J757" s="3">
        <v>110.74</v>
      </c>
      <c r="K757" s="3">
        <v>24.15</v>
      </c>
      <c r="L757" s="3">
        <v>79010.83</v>
      </c>
      <c r="M757" s="3">
        <v>48096.46</v>
      </c>
      <c r="N757" s="3">
        <v>14.9</v>
      </c>
      <c r="O757" s="3">
        <v>5.4829999999999997E-2</v>
      </c>
      <c r="P757" s="3">
        <v>2.3140000000000001</v>
      </c>
      <c r="Q757" s="3">
        <v>103.76</v>
      </c>
      <c r="R757" s="3">
        <v>50.78</v>
      </c>
      <c r="S757" s="3">
        <v>142.05000000000001</v>
      </c>
    </row>
    <row r="758" spans="1:19" ht="14.4" x14ac:dyDescent="0.3">
      <c r="A758" s="2">
        <v>44981</v>
      </c>
      <c r="B758" s="3">
        <v>93.81</v>
      </c>
      <c r="C758" s="3">
        <v>112.82</v>
      </c>
      <c r="D758" s="3">
        <v>129.44999999999999</v>
      </c>
      <c r="E758" s="3">
        <v>136.57</v>
      </c>
      <c r="F758" s="3">
        <v>127.6</v>
      </c>
      <c r="G758" s="3">
        <v>76.319999999999993</v>
      </c>
      <c r="H758" s="3">
        <v>82.82</v>
      </c>
      <c r="I758" s="3">
        <v>82.12</v>
      </c>
      <c r="J758" s="3">
        <v>110.75</v>
      </c>
      <c r="K758" s="3">
        <v>24.05</v>
      </c>
      <c r="L758" s="3">
        <v>76937.77</v>
      </c>
      <c r="M758" s="3">
        <v>47112.23</v>
      </c>
      <c r="N758" s="3">
        <v>14.99</v>
      </c>
      <c r="O758" s="3">
        <v>5.432E-2</v>
      </c>
      <c r="P758" s="3">
        <v>2.4510000000000001</v>
      </c>
      <c r="Q758" s="3">
        <v>102.51</v>
      </c>
      <c r="R758" s="3">
        <v>51.015000000000001</v>
      </c>
      <c r="S758" s="3">
        <v>143.85</v>
      </c>
    </row>
    <row r="759" spans="1:19" ht="14.4" x14ac:dyDescent="0.3">
      <c r="A759" s="2">
        <v>44984</v>
      </c>
      <c r="B759" s="3">
        <v>93.81</v>
      </c>
      <c r="C759" s="3">
        <v>112.82</v>
      </c>
      <c r="D759" s="3">
        <v>129.44999999999999</v>
      </c>
      <c r="E759" s="3">
        <v>136.57</v>
      </c>
      <c r="F759" s="3">
        <v>127.6</v>
      </c>
      <c r="G759" s="3">
        <v>75.680000000000007</v>
      </c>
      <c r="H759" s="3">
        <v>82.45</v>
      </c>
      <c r="I759" s="3">
        <v>82.05</v>
      </c>
      <c r="J759" s="3">
        <v>110.55</v>
      </c>
      <c r="K759" s="3">
        <v>23.95</v>
      </c>
      <c r="L759" s="3">
        <v>77513.78</v>
      </c>
      <c r="M759" s="3">
        <v>47183.78</v>
      </c>
      <c r="N759" s="3">
        <v>14.97</v>
      </c>
      <c r="O759" s="3">
        <v>5.4289999999999998E-2</v>
      </c>
      <c r="P759" s="3">
        <v>2.7309999999999999</v>
      </c>
      <c r="Q759" s="3">
        <v>101.51</v>
      </c>
      <c r="R759" s="3">
        <v>47.298999999999999</v>
      </c>
      <c r="S759" s="3">
        <v>143</v>
      </c>
    </row>
    <row r="760" spans="1:19" ht="14.4" x14ac:dyDescent="0.3">
      <c r="A760" s="2">
        <v>44985</v>
      </c>
      <c r="B760" s="3">
        <v>93.81</v>
      </c>
      <c r="C760" s="3">
        <v>112.82</v>
      </c>
      <c r="D760" s="3">
        <v>129.44999999999999</v>
      </c>
      <c r="E760" s="3">
        <v>136.57</v>
      </c>
      <c r="F760" s="3">
        <v>127.6</v>
      </c>
      <c r="G760" s="3">
        <v>77.05</v>
      </c>
      <c r="H760" s="3">
        <v>83.89</v>
      </c>
      <c r="I760" s="3">
        <v>82.08</v>
      </c>
      <c r="J760" s="3">
        <v>109.91</v>
      </c>
      <c r="K760" s="3">
        <v>23.6</v>
      </c>
      <c r="L760" s="3">
        <v>77733.87</v>
      </c>
      <c r="M760" s="3">
        <v>47031.38</v>
      </c>
      <c r="N760" s="3">
        <v>14.36</v>
      </c>
      <c r="O760" s="3">
        <v>5.4429999999999999E-2</v>
      </c>
      <c r="P760" s="3">
        <v>2.7469999999999999</v>
      </c>
      <c r="Q760" s="3">
        <v>101.8</v>
      </c>
      <c r="R760" s="3">
        <v>46.664999999999999</v>
      </c>
      <c r="S760" s="3">
        <v>144.55000000000001</v>
      </c>
    </row>
    <row r="761" spans="1:19" ht="14.4" x14ac:dyDescent="0.3">
      <c r="A761" s="2">
        <v>44986</v>
      </c>
      <c r="B761" s="3">
        <v>93.81</v>
      </c>
      <c r="C761" s="3">
        <v>112.82</v>
      </c>
      <c r="D761" s="3">
        <v>129.44999999999999</v>
      </c>
      <c r="E761" s="3">
        <v>136.57</v>
      </c>
      <c r="F761" s="3">
        <v>127.6</v>
      </c>
      <c r="G761" s="3">
        <v>77.69</v>
      </c>
      <c r="H761" s="3">
        <v>84.31</v>
      </c>
      <c r="I761" s="3">
        <v>82.35</v>
      </c>
      <c r="J761" s="3">
        <v>110.89</v>
      </c>
      <c r="K761" s="3">
        <v>24</v>
      </c>
      <c r="L761" s="3">
        <v>78631.45</v>
      </c>
      <c r="M761" s="3">
        <v>47160.56</v>
      </c>
      <c r="N761" s="3">
        <v>14.58</v>
      </c>
      <c r="O761" s="3">
        <v>5.5160000000000001E-2</v>
      </c>
      <c r="P761" s="3">
        <v>2.8109999999999999</v>
      </c>
      <c r="Q761" s="3">
        <v>100.9</v>
      </c>
      <c r="R761" s="3">
        <v>47.085000000000001</v>
      </c>
      <c r="S761" s="3">
        <v>147.5</v>
      </c>
    </row>
    <row r="762" spans="1:19" ht="14.4" x14ac:dyDescent="0.3">
      <c r="A762" s="2">
        <v>44987</v>
      </c>
      <c r="B762" s="3">
        <v>93.81</v>
      </c>
      <c r="C762" s="3">
        <v>112.82</v>
      </c>
      <c r="D762" s="3">
        <v>129.44999999999999</v>
      </c>
      <c r="E762" s="3">
        <v>136.57</v>
      </c>
      <c r="F762" s="3">
        <v>127.6</v>
      </c>
      <c r="G762" s="3">
        <v>78.16</v>
      </c>
      <c r="H762" s="3">
        <v>84.75</v>
      </c>
      <c r="I762" s="3">
        <v>83.06</v>
      </c>
      <c r="J762" s="3">
        <v>111.4</v>
      </c>
      <c r="K762" s="3">
        <v>24.4</v>
      </c>
      <c r="L762" s="3">
        <v>77547.009999999995</v>
      </c>
      <c r="M762" s="3">
        <v>46493.18</v>
      </c>
      <c r="N762" s="3">
        <v>14.585000000000001</v>
      </c>
      <c r="O762" s="3">
        <v>5.491E-2</v>
      </c>
      <c r="P762" s="3">
        <v>2.7650000000000001</v>
      </c>
      <c r="Q762" s="3">
        <v>102.71</v>
      </c>
      <c r="R762" s="3">
        <v>46.814999999999998</v>
      </c>
      <c r="S762" s="3">
        <v>147.80000000000001</v>
      </c>
    </row>
    <row r="763" spans="1:19" ht="14.4" x14ac:dyDescent="0.3">
      <c r="A763" s="2">
        <v>44988</v>
      </c>
      <c r="B763" s="3">
        <v>96.39</v>
      </c>
      <c r="C763" s="3">
        <v>114.61</v>
      </c>
      <c r="D763" s="3">
        <v>130.18</v>
      </c>
      <c r="E763" s="3">
        <v>140.9</v>
      </c>
      <c r="F763" s="3">
        <v>132</v>
      </c>
      <c r="G763" s="3">
        <v>79.680000000000007</v>
      </c>
      <c r="H763" s="3">
        <v>85.83</v>
      </c>
      <c r="I763" s="3">
        <v>84.31</v>
      </c>
      <c r="J763" s="3">
        <v>112.81</v>
      </c>
      <c r="K763" s="3">
        <v>24.45</v>
      </c>
      <c r="L763" s="3">
        <v>78293.009999999995</v>
      </c>
      <c r="M763" s="3">
        <v>47684.47</v>
      </c>
      <c r="N763" s="3">
        <v>14.324999999999999</v>
      </c>
      <c r="O763" s="3">
        <v>5.5059999999999998E-2</v>
      </c>
      <c r="P763" s="3">
        <v>3.0089999999999999</v>
      </c>
      <c r="Q763" s="3">
        <v>102.48</v>
      </c>
      <c r="R763" s="3">
        <v>44.98</v>
      </c>
      <c r="S763" s="3">
        <v>145.30000000000001</v>
      </c>
    </row>
    <row r="764" spans="1:19" ht="14.4" x14ac:dyDescent="0.3">
      <c r="A764" s="2">
        <v>44991</v>
      </c>
      <c r="B764" s="3">
        <v>96.39</v>
      </c>
      <c r="C764" s="3">
        <v>114.61</v>
      </c>
      <c r="D764" s="3">
        <v>130.18</v>
      </c>
      <c r="E764" s="3">
        <v>140.9</v>
      </c>
      <c r="F764" s="3">
        <v>132</v>
      </c>
      <c r="G764" s="3">
        <v>80.459999999999994</v>
      </c>
      <c r="H764" s="3">
        <v>86.18</v>
      </c>
      <c r="I764" s="3">
        <v>84.4</v>
      </c>
      <c r="J764" s="3">
        <v>113.81</v>
      </c>
      <c r="K764" s="3">
        <v>24.65</v>
      </c>
      <c r="L764" s="3">
        <v>78697.83</v>
      </c>
      <c r="M764" s="3">
        <v>47369.31</v>
      </c>
      <c r="N764" s="3">
        <v>14.285</v>
      </c>
      <c r="O764" s="3">
        <v>5.4769999999999999E-2</v>
      </c>
      <c r="P764" s="3">
        <v>2.5720000000000001</v>
      </c>
      <c r="Q764" s="3">
        <v>103.24</v>
      </c>
      <c r="R764" s="3">
        <v>42.15</v>
      </c>
      <c r="S764" s="3">
        <v>146.69999999999999</v>
      </c>
    </row>
    <row r="765" spans="1:19" ht="14.4" x14ac:dyDescent="0.3">
      <c r="A765" s="2">
        <v>44992</v>
      </c>
      <c r="B765" s="3">
        <v>96.39</v>
      </c>
      <c r="C765" s="3">
        <v>114.61</v>
      </c>
      <c r="D765" s="3">
        <v>130.18</v>
      </c>
      <c r="E765" s="3">
        <v>140.9</v>
      </c>
      <c r="F765" s="3">
        <v>132</v>
      </c>
      <c r="G765" s="3">
        <v>77.58</v>
      </c>
      <c r="H765" s="3">
        <v>83.29</v>
      </c>
      <c r="I765" s="3">
        <v>82.07</v>
      </c>
      <c r="J765" s="3">
        <v>111.61</v>
      </c>
      <c r="K765" s="3">
        <v>25.05</v>
      </c>
      <c r="L765" s="3">
        <v>78556.539999999994</v>
      </c>
      <c r="M765" s="3">
        <v>46829.11</v>
      </c>
      <c r="N765" s="3">
        <v>13.94</v>
      </c>
      <c r="O765" s="3">
        <v>5.3969999999999997E-2</v>
      </c>
      <c r="P765" s="3">
        <v>2.6869999999999998</v>
      </c>
      <c r="Q765" s="3">
        <v>102.96</v>
      </c>
      <c r="R765" s="3">
        <v>43.37</v>
      </c>
      <c r="S765" s="1">
        <f>S766</f>
        <v>148.75</v>
      </c>
    </row>
    <row r="766" spans="1:19" ht="14.4" x14ac:dyDescent="0.3">
      <c r="A766" s="2">
        <v>44993</v>
      </c>
      <c r="B766" s="3">
        <v>96.39</v>
      </c>
      <c r="C766" s="3">
        <v>114.61</v>
      </c>
      <c r="D766" s="3">
        <v>130.18</v>
      </c>
      <c r="E766" s="3">
        <v>140.9</v>
      </c>
      <c r="F766" s="3">
        <v>132</v>
      </c>
      <c r="G766" s="3">
        <v>76.66</v>
      </c>
      <c r="H766" s="3">
        <v>82.66</v>
      </c>
      <c r="I766" s="3">
        <v>81.97</v>
      </c>
      <c r="J766" s="3">
        <v>109.98</v>
      </c>
      <c r="K766" s="3">
        <v>24.5</v>
      </c>
      <c r="L766" s="3">
        <v>77741.83</v>
      </c>
      <c r="M766" s="3">
        <v>47359.72</v>
      </c>
      <c r="N766" s="3">
        <v>13.895</v>
      </c>
      <c r="O766" s="3">
        <v>5.3699999999999998E-2</v>
      </c>
      <c r="P766" s="3">
        <v>2.5510000000000002</v>
      </c>
      <c r="Q766" s="3">
        <v>102.61</v>
      </c>
      <c r="R766" s="3">
        <v>42.34</v>
      </c>
      <c r="S766" s="3">
        <v>148.75</v>
      </c>
    </row>
    <row r="767" spans="1:19" ht="14.4" x14ac:dyDescent="0.3">
      <c r="A767" s="2">
        <v>44994</v>
      </c>
      <c r="B767" s="3">
        <v>96.39</v>
      </c>
      <c r="C767" s="3">
        <v>114.61</v>
      </c>
      <c r="D767" s="3">
        <v>130.18</v>
      </c>
      <c r="E767" s="3">
        <v>140.9</v>
      </c>
      <c r="F767" s="3">
        <v>132</v>
      </c>
      <c r="G767" s="3">
        <v>75.72</v>
      </c>
      <c r="H767" s="3">
        <v>81.59</v>
      </c>
      <c r="I767" s="3">
        <v>81.239999999999995</v>
      </c>
      <c r="J767" s="3">
        <v>109.13</v>
      </c>
      <c r="K767" s="3">
        <v>24.25</v>
      </c>
      <c r="L767" s="3">
        <v>77664.05</v>
      </c>
      <c r="M767" s="3">
        <v>47165.65</v>
      </c>
      <c r="N767" s="3">
        <v>14.31</v>
      </c>
      <c r="O767" s="3">
        <v>5.3830000000000003E-2</v>
      </c>
      <c r="P767" s="3">
        <v>2.5430000000000001</v>
      </c>
      <c r="Q767" s="3">
        <v>100.1</v>
      </c>
      <c r="R767" s="3">
        <v>43.6</v>
      </c>
      <c r="S767" s="3">
        <v>148.15</v>
      </c>
    </row>
    <row r="768" spans="1:19" ht="14.4" x14ac:dyDescent="0.3">
      <c r="A768" s="2">
        <v>44995</v>
      </c>
      <c r="B768" s="3">
        <v>92.09</v>
      </c>
      <c r="C768" s="3">
        <v>107.99</v>
      </c>
      <c r="D768" s="3">
        <v>122.49</v>
      </c>
      <c r="E768" s="3">
        <v>127.13</v>
      </c>
      <c r="F768" s="3">
        <v>129.88</v>
      </c>
      <c r="G768" s="3">
        <v>76.680000000000007</v>
      </c>
      <c r="H768" s="3">
        <v>82.78</v>
      </c>
      <c r="I768" s="3">
        <v>82.16</v>
      </c>
      <c r="J768" s="3">
        <v>107.78</v>
      </c>
      <c r="K768" s="3">
        <v>24.15</v>
      </c>
      <c r="L768" s="3">
        <v>76454.36</v>
      </c>
      <c r="M768" s="3">
        <v>48175.9</v>
      </c>
      <c r="N768" s="3">
        <v>14.154999999999999</v>
      </c>
      <c r="O768" s="3">
        <v>5.459E-2</v>
      </c>
      <c r="P768" s="3">
        <v>2.4300000000000002</v>
      </c>
      <c r="Q768" s="3">
        <v>95.39</v>
      </c>
      <c r="R768" s="3">
        <v>52.854999999999997</v>
      </c>
      <c r="S768" s="3">
        <v>148.9</v>
      </c>
    </row>
    <row r="769" spans="1:19" ht="14.4" x14ac:dyDescent="0.3">
      <c r="A769" s="2">
        <v>44998</v>
      </c>
      <c r="B769" s="3">
        <v>92.09</v>
      </c>
      <c r="C769" s="3">
        <v>107.99</v>
      </c>
      <c r="D769" s="3">
        <v>122.49</v>
      </c>
      <c r="E769" s="3">
        <v>127.13</v>
      </c>
      <c r="F769" s="3">
        <v>129.88</v>
      </c>
      <c r="G769" s="3">
        <v>74.8</v>
      </c>
      <c r="H769" s="3">
        <v>80.77</v>
      </c>
      <c r="I769" s="3">
        <v>81.010000000000005</v>
      </c>
      <c r="J769" s="3">
        <v>106.54</v>
      </c>
      <c r="K769" s="3">
        <v>25.15</v>
      </c>
      <c r="L769" s="3">
        <v>75502.28</v>
      </c>
      <c r="M769" s="3">
        <v>51982.63</v>
      </c>
      <c r="N769" s="3">
        <v>14.244999999999999</v>
      </c>
      <c r="O769" s="3">
        <v>5.4960000000000002E-2</v>
      </c>
      <c r="P769" s="3">
        <v>2.6059999999999999</v>
      </c>
      <c r="Q769" s="3">
        <v>97.67</v>
      </c>
      <c r="R769" s="3">
        <v>49.585000000000001</v>
      </c>
      <c r="S769" s="3">
        <v>143.19999999999999</v>
      </c>
    </row>
    <row r="770" spans="1:19" ht="14.4" x14ac:dyDescent="0.3">
      <c r="A770" s="2">
        <v>44999</v>
      </c>
      <c r="B770" s="3">
        <v>92.09</v>
      </c>
      <c r="C770" s="3">
        <v>107.99</v>
      </c>
      <c r="D770" s="3">
        <v>122.49</v>
      </c>
      <c r="E770" s="3">
        <v>127.13</v>
      </c>
      <c r="F770" s="3">
        <v>129.88</v>
      </c>
      <c r="G770" s="3">
        <v>71.33</v>
      </c>
      <c r="H770" s="3">
        <v>77.45</v>
      </c>
      <c r="I770" s="3">
        <v>79.2</v>
      </c>
      <c r="J770" s="3">
        <v>106.94</v>
      </c>
      <c r="K770" s="3">
        <v>25.05</v>
      </c>
      <c r="L770" s="3">
        <v>75008.679999999993</v>
      </c>
      <c r="M770" s="3">
        <v>50237.06</v>
      </c>
      <c r="N770" s="3">
        <v>14.2</v>
      </c>
      <c r="O770" s="3">
        <v>5.5129999999999998E-2</v>
      </c>
      <c r="P770" s="3">
        <v>2.573</v>
      </c>
      <c r="Q770" s="3">
        <v>98.85</v>
      </c>
      <c r="R770" s="3">
        <v>44.185000000000002</v>
      </c>
      <c r="S770" s="3">
        <v>145.30000000000001</v>
      </c>
    </row>
    <row r="771" spans="1:19" ht="14.4" x14ac:dyDescent="0.3">
      <c r="A771" s="2">
        <v>45000</v>
      </c>
      <c r="B771" s="3">
        <v>92.09</v>
      </c>
      <c r="C771" s="3">
        <v>107.99</v>
      </c>
      <c r="D771" s="3">
        <v>122.49</v>
      </c>
      <c r="E771" s="3">
        <v>127.13</v>
      </c>
      <c r="F771" s="3">
        <v>129.88</v>
      </c>
      <c r="G771" s="3">
        <v>67.61</v>
      </c>
      <c r="H771" s="3">
        <v>73.28</v>
      </c>
      <c r="I771" s="3">
        <v>77.25</v>
      </c>
      <c r="J771" s="3">
        <v>101.62</v>
      </c>
      <c r="K771" s="3">
        <v>25.65</v>
      </c>
      <c r="L771" s="3">
        <v>72895.539999999994</v>
      </c>
      <c r="M771" s="3">
        <v>50265.07</v>
      </c>
      <c r="N771" s="3">
        <v>14.167999999999999</v>
      </c>
      <c r="O771" s="3">
        <v>5.423E-2</v>
      </c>
      <c r="P771" s="3">
        <v>2.5459999999999998</v>
      </c>
      <c r="Q771" s="3">
        <v>97.52</v>
      </c>
      <c r="R771" s="3">
        <v>42.905000000000001</v>
      </c>
      <c r="S771" s="3">
        <v>151.44999999999999</v>
      </c>
    </row>
    <row r="772" spans="1:19" ht="14.4" x14ac:dyDescent="0.3">
      <c r="A772" s="2">
        <v>45001</v>
      </c>
      <c r="B772" s="3">
        <v>92.09</v>
      </c>
      <c r="C772" s="3">
        <v>107.99</v>
      </c>
      <c r="D772" s="3">
        <v>122.49</v>
      </c>
      <c r="E772" s="3">
        <v>127.13</v>
      </c>
      <c r="F772" s="3">
        <v>129.88</v>
      </c>
      <c r="G772" s="3">
        <v>68.349999999999994</v>
      </c>
      <c r="H772" s="3">
        <v>74.290000000000006</v>
      </c>
      <c r="I772" s="3">
        <v>77.849999999999994</v>
      </c>
      <c r="J772" s="3">
        <v>101.03</v>
      </c>
      <c r="K772" s="3">
        <v>24.8</v>
      </c>
      <c r="L772" s="3">
        <v>72905.5</v>
      </c>
      <c r="M772" s="3">
        <v>49602.2</v>
      </c>
      <c r="N772" s="3">
        <v>13.555</v>
      </c>
      <c r="O772" s="3">
        <v>5.4339999999999999E-2</v>
      </c>
      <c r="P772" s="3">
        <v>2.6259999999999999</v>
      </c>
      <c r="Q772" s="3">
        <v>99.23</v>
      </c>
      <c r="R772" s="3">
        <v>44.34</v>
      </c>
      <c r="S772" s="3">
        <v>152.19999999999999</v>
      </c>
    </row>
    <row r="773" spans="1:19" ht="14.4" x14ac:dyDescent="0.3">
      <c r="A773" s="2">
        <v>45002</v>
      </c>
      <c r="B773" s="3">
        <v>93.8</v>
      </c>
      <c r="C773" s="3">
        <v>112.06</v>
      </c>
      <c r="D773" s="3">
        <v>128.5</v>
      </c>
      <c r="E773" s="3">
        <v>134.18</v>
      </c>
      <c r="F773" s="3">
        <v>130.96</v>
      </c>
      <c r="G773" s="3">
        <v>66.739999999999995</v>
      </c>
      <c r="H773" s="3">
        <v>72.77</v>
      </c>
      <c r="I773" s="3">
        <v>77.14</v>
      </c>
      <c r="J773" s="3">
        <v>99.84</v>
      </c>
      <c r="K773" s="3">
        <v>25.3</v>
      </c>
      <c r="L773" s="3">
        <v>72527.92</v>
      </c>
      <c r="M773" s="3">
        <v>51635.86</v>
      </c>
      <c r="N773" s="3">
        <v>13.18</v>
      </c>
      <c r="O773" s="3">
        <v>5.4109999999999998E-2</v>
      </c>
      <c r="P773" s="3">
        <v>2.4460000000000002</v>
      </c>
      <c r="Q773" s="3">
        <v>97</v>
      </c>
      <c r="R773" s="3">
        <v>42.854999999999997</v>
      </c>
      <c r="S773" s="3">
        <v>151.4</v>
      </c>
    </row>
    <row r="774" spans="1:19" ht="14.4" x14ac:dyDescent="0.3">
      <c r="A774" s="2">
        <v>45005</v>
      </c>
      <c r="B774" s="3">
        <v>93.8</v>
      </c>
      <c r="C774" s="3">
        <v>112.06</v>
      </c>
      <c r="D774" s="3">
        <v>128.5</v>
      </c>
      <c r="E774" s="3">
        <v>134.18</v>
      </c>
      <c r="F774" s="3">
        <v>130.96</v>
      </c>
      <c r="G774" s="3">
        <v>67.64</v>
      </c>
      <c r="H774" s="3">
        <v>73.540000000000006</v>
      </c>
      <c r="I774" s="3">
        <v>77.37</v>
      </c>
      <c r="J774" s="3">
        <v>102.45</v>
      </c>
      <c r="K774" s="3">
        <v>25.1</v>
      </c>
      <c r="L774" s="3">
        <v>74271.06</v>
      </c>
      <c r="M774" s="3">
        <v>53506.32</v>
      </c>
      <c r="N774" s="3">
        <v>13.154999999999999</v>
      </c>
      <c r="O774" s="3">
        <v>5.398E-2</v>
      </c>
      <c r="P774" s="3">
        <v>2.331</v>
      </c>
      <c r="Q774" s="3">
        <v>98.04</v>
      </c>
      <c r="R774" s="3">
        <v>39.325000000000003</v>
      </c>
      <c r="S774" s="3">
        <v>150.44999999999999</v>
      </c>
    </row>
    <row r="775" spans="1:19" ht="14.4" x14ac:dyDescent="0.3">
      <c r="A775" s="2">
        <v>45006</v>
      </c>
      <c r="B775" s="3">
        <v>93.8</v>
      </c>
      <c r="C775" s="3">
        <v>112.06</v>
      </c>
      <c r="D775" s="3">
        <v>128.5</v>
      </c>
      <c r="E775" s="3">
        <v>134.18</v>
      </c>
      <c r="F775" s="3">
        <v>130.96</v>
      </c>
      <c r="G775" s="3">
        <v>69.33</v>
      </c>
      <c r="H775" s="3">
        <v>75.03</v>
      </c>
      <c r="I775" s="3">
        <v>77.97</v>
      </c>
      <c r="J775" s="3">
        <v>107.04</v>
      </c>
      <c r="K775" s="3">
        <v>25.25</v>
      </c>
      <c r="L775" s="5">
        <f>FORECAST(A775,L769:L774,A769:A774)</f>
        <v>72853.839459460229</v>
      </c>
      <c r="M775" s="5">
        <f>FORECAST(A775,M769:M774,A769:A774)</f>
        <v>52910.512972973287</v>
      </c>
      <c r="N775" s="3">
        <v>13.645</v>
      </c>
      <c r="O775" s="3">
        <v>5.3870000000000001E-2</v>
      </c>
      <c r="P775" s="3">
        <v>2.4849999999999999</v>
      </c>
      <c r="Q775" s="3">
        <v>99.72</v>
      </c>
      <c r="R775" s="3">
        <v>42.4</v>
      </c>
      <c r="S775" s="3">
        <v>150.15</v>
      </c>
    </row>
    <row r="776" spans="1:19" ht="14.4" x14ac:dyDescent="0.3">
      <c r="A776" s="2">
        <v>45007</v>
      </c>
      <c r="B776" s="3">
        <v>93.8</v>
      </c>
      <c r="C776" s="3">
        <v>112.06</v>
      </c>
      <c r="D776" s="3">
        <v>128.5</v>
      </c>
      <c r="E776" s="3">
        <v>134.18</v>
      </c>
      <c r="F776" s="3">
        <v>130.96</v>
      </c>
      <c r="G776" s="3">
        <v>70.900000000000006</v>
      </c>
      <c r="H776" s="3">
        <v>76.38</v>
      </c>
      <c r="I776" s="3">
        <v>78.349999999999994</v>
      </c>
      <c r="J776" s="3">
        <v>104.59</v>
      </c>
      <c r="K776" s="3">
        <v>25.3</v>
      </c>
      <c r="L776" s="3">
        <v>75243.44</v>
      </c>
      <c r="M776" s="3">
        <v>53902.63</v>
      </c>
      <c r="N776" s="3">
        <v>12.64</v>
      </c>
      <c r="O776" s="3">
        <v>5.4829999999999997E-2</v>
      </c>
      <c r="P776" s="3">
        <v>2.3069999999999999</v>
      </c>
      <c r="Q776" s="3">
        <v>97.4</v>
      </c>
      <c r="R776" s="3">
        <v>39.975000000000001</v>
      </c>
      <c r="S776" s="3">
        <v>149.85</v>
      </c>
    </row>
    <row r="777" spans="1:19" ht="14.4" x14ac:dyDescent="0.3">
      <c r="A777" s="2">
        <v>45008</v>
      </c>
      <c r="B777" s="3">
        <v>93.8</v>
      </c>
      <c r="C777" s="3">
        <v>112.06</v>
      </c>
      <c r="D777" s="3">
        <v>128.5</v>
      </c>
      <c r="E777" s="3">
        <v>134.18</v>
      </c>
      <c r="F777" s="3">
        <v>130.96</v>
      </c>
      <c r="G777" s="3">
        <v>69.959999999999994</v>
      </c>
      <c r="H777" s="3">
        <v>75.91</v>
      </c>
      <c r="I777" s="3">
        <v>78.13</v>
      </c>
      <c r="J777" s="3">
        <v>103.41</v>
      </c>
      <c r="K777" s="3">
        <v>25.75</v>
      </c>
      <c r="L777" s="3">
        <v>75585.23</v>
      </c>
      <c r="M777" s="3">
        <v>53947.82</v>
      </c>
      <c r="N777" s="3">
        <v>13.335000000000001</v>
      </c>
      <c r="O777" s="3">
        <v>5.5219999999999998E-2</v>
      </c>
      <c r="P777" s="3">
        <v>2.2829999999999999</v>
      </c>
      <c r="Q777" s="3">
        <v>96.53</v>
      </c>
      <c r="R777" s="3">
        <v>43.185000000000002</v>
      </c>
      <c r="S777" s="3">
        <v>147.94999999999999</v>
      </c>
    </row>
    <row r="778" spans="1:19" ht="14.4" x14ac:dyDescent="0.3">
      <c r="A778" s="2">
        <v>45009</v>
      </c>
      <c r="B778" s="3">
        <v>92</v>
      </c>
      <c r="C778" s="3">
        <v>108.94</v>
      </c>
      <c r="D778" s="3">
        <v>123.68</v>
      </c>
      <c r="E778" s="3">
        <v>130.07</v>
      </c>
      <c r="F778" s="3">
        <v>130.44</v>
      </c>
      <c r="G778" s="3">
        <v>69.260000000000005</v>
      </c>
      <c r="H778" s="3">
        <v>74.989999999999995</v>
      </c>
      <c r="I778" s="3">
        <v>77.86</v>
      </c>
      <c r="J778" s="3">
        <v>103.53</v>
      </c>
      <c r="K778" s="3">
        <v>25.5</v>
      </c>
      <c r="L778" s="3">
        <v>74695.039999999994</v>
      </c>
      <c r="M778" s="3">
        <v>53880.75</v>
      </c>
      <c r="N778" s="3">
        <v>12.7</v>
      </c>
      <c r="O778" s="3">
        <v>5.5039999999999999E-2</v>
      </c>
      <c r="P778" s="3">
        <v>2.3610000000000002</v>
      </c>
      <c r="Q778" s="3">
        <v>97.49</v>
      </c>
      <c r="R778" s="3">
        <v>41.094999999999999</v>
      </c>
      <c r="S778" s="3">
        <v>142.94999999999999</v>
      </c>
    </row>
    <row r="779" spans="1:19" ht="14.4" x14ac:dyDescent="0.3">
      <c r="A779" s="2">
        <v>45012</v>
      </c>
      <c r="B779" s="3">
        <v>92</v>
      </c>
      <c r="C779" s="3">
        <v>108.94</v>
      </c>
      <c r="D779" s="3">
        <v>123.68</v>
      </c>
      <c r="E779" s="3">
        <v>130.07</v>
      </c>
      <c r="F779" s="3">
        <v>130.44</v>
      </c>
      <c r="G779" s="3">
        <v>72.81</v>
      </c>
      <c r="H779" s="3">
        <v>78.12</v>
      </c>
      <c r="I779" s="3">
        <v>78.400000000000006</v>
      </c>
      <c r="J779" s="3">
        <v>105.8</v>
      </c>
      <c r="K779" s="3">
        <v>24.15</v>
      </c>
      <c r="L779" s="3">
        <v>75283.679999999993</v>
      </c>
      <c r="M779" s="3">
        <v>54084.36</v>
      </c>
      <c r="N779" s="3">
        <v>12.525</v>
      </c>
      <c r="O779" s="3">
        <v>5.457E-2</v>
      </c>
      <c r="P779" s="3">
        <v>2.0880000000000001</v>
      </c>
      <c r="Q779" s="3">
        <v>98.05</v>
      </c>
      <c r="R779" s="3">
        <v>42.53</v>
      </c>
      <c r="S779" s="3">
        <v>134.15</v>
      </c>
    </row>
    <row r="780" spans="1:19" ht="14.4" x14ac:dyDescent="0.3">
      <c r="A780" s="2">
        <v>45013</v>
      </c>
      <c r="B780" s="3">
        <v>92</v>
      </c>
      <c r="C780" s="3">
        <v>108.94</v>
      </c>
      <c r="D780" s="3">
        <v>123.68</v>
      </c>
      <c r="E780" s="3">
        <v>130.07</v>
      </c>
      <c r="F780" s="3">
        <v>130.44</v>
      </c>
      <c r="G780" s="3">
        <v>73.2</v>
      </c>
      <c r="H780" s="3">
        <v>78.650000000000006</v>
      </c>
      <c r="I780" s="3">
        <v>78.45</v>
      </c>
      <c r="J780" s="3">
        <v>107.12</v>
      </c>
      <c r="K780" s="3">
        <v>24.05</v>
      </c>
      <c r="L780" s="3">
        <v>76047.34</v>
      </c>
      <c r="M780" s="3">
        <v>55586.66</v>
      </c>
      <c r="N780" s="3">
        <v>12.505000000000001</v>
      </c>
      <c r="O780" s="3">
        <v>5.5059999999999998E-2</v>
      </c>
      <c r="P780" s="3">
        <v>2.0299999999999998</v>
      </c>
      <c r="Q780" s="3">
        <v>99.1</v>
      </c>
      <c r="R780" s="3">
        <v>42.75</v>
      </c>
      <c r="S780" s="3">
        <v>127.95</v>
      </c>
    </row>
    <row r="781" spans="1:19" ht="14.4" x14ac:dyDescent="0.3">
      <c r="A781" s="2">
        <v>45014</v>
      </c>
      <c r="B781" s="3">
        <v>92</v>
      </c>
      <c r="C781" s="3">
        <v>108.94</v>
      </c>
      <c r="D781" s="3">
        <v>123.68</v>
      </c>
      <c r="E781" s="3">
        <v>130.07</v>
      </c>
      <c r="F781" s="3">
        <v>130.44</v>
      </c>
      <c r="G781" s="3">
        <v>72.97</v>
      </c>
      <c r="H781" s="3">
        <v>78.28</v>
      </c>
      <c r="I781" s="3">
        <v>78.41</v>
      </c>
      <c r="J781" s="3">
        <v>108.96</v>
      </c>
      <c r="K781" s="3">
        <v>24</v>
      </c>
      <c r="L781" s="3">
        <v>76480.11</v>
      </c>
      <c r="M781" s="3">
        <v>55401.51</v>
      </c>
      <c r="N781" s="3">
        <v>12.535</v>
      </c>
      <c r="O781" s="3">
        <v>5.5199999999999999E-2</v>
      </c>
      <c r="P781" s="3">
        <v>1.9910000000000001</v>
      </c>
      <c r="Q781" s="3">
        <v>101.67</v>
      </c>
      <c r="R781" s="3">
        <v>42.805</v>
      </c>
      <c r="S781" s="3">
        <v>128.6</v>
      </c>
    </row>
    <row r="782" spans="1:19" ht="14.4" x14ac:dyDescent="0.3">
      <c r="A782" s="2">
        <v>45015</v>
      </c>
      <c r="B782" s="3">
        <v>92</v>
      </c>
      <c r="C782" s="3">
        <v>108.94</v>
      </c>
      <c r="D782" s="3">
        <v>123.68</v>
      </c>
      <c r="E782" s="3">
        <v>130.07</v>
      </c>
      <c r="F782" s="3">
        <v>130.44</v>
      </c>
      <c r="G782" s="3">
        <v>74.37</v>
      </c>
      <c r="H782" s="3">
        <v>79.27</v>
      </c>
      <c r="I782" s="3">
        <v>78.47</v>
      </c>
      <c r="J782" s="3">
        <v>109.49</v>
      </c>
      <c r="K782" s="3">
        <v>24.55</v>
      </c>
      <c r="L782" s="3">
        <v>76704.63</v>
      </c>
      <c r="M782" s="3">
        <v>55942.49</v>
      </c>
      <c r="N782" s="3">
        <v>12.7</v>
      </c>
      <c r="O782" s="3">
        <v>5.6099999999999997E-2</v>
      </c>
      <c r="P782" s="3">
        <v>2.1040000000000001</v>
      </c>
      <c r="Q782" s="3">
        <v>102.73</v>
      </c>
      <c r="R782" s="3">
        <v>43.609000000000002</v>
      </c>
      <c r="S782" s="1">
        <f>S783</f>
        <v>127.95</v>
      </c>
    </row>
    <row r="783" spans="1:19" ht="14.4" x14ac:dyDescent="0.3">
      <c r="A783" s="2">
        <v>45016</v>
      </c>
      <c r="B783" s="3">
        <v>94.51</v>
      </c>
      <c r="C783" s="3">
        <v>111.41</v>
      </c>
      <c r="D783" s="3">
        <v>128.84</v>
      </c>
      <c r="E783" s="3">
        <v>135.08000000000001</v>
      </c>
      <c r="F783" s="3">
        <v>128.99</v>
      </c>
      <c r="G783" s="3">
        <v>75.67</v>
      </c>
      <c r="H783" s="3">
        <v>79.77</v>
      </c>
      <c r="I783" s="3">
        <v>78.489999999999995</v>
      </c>
      <c r="J783" s="3">
        <v>109.66</v>
      </c>
      <c r="K783" s="3">
        <v>24.7</v>
      </c>
      <c r="L783" s="3">
        <v>76100.17</v>
      </c>
      <c r="M783" s="3">
        <v>54573.22</v>
      </c>
      <c r="N783" s="3">
        <v>13.515000000000001</v>
      </c>
      <c r="O783" s="3">
        <v>5.6160000000000002E-2</v>
      </c>
      <c r="P783" s="3">
        <v>2.2160000000000002</v>
      </c>
      <c r="Q783" s="3">
        <v>104.29</v>
      </c>
      <c r="R783" s="3">
        <v>47.844999999999999</v>
      </c>
      <c r="S783" s="3">
        <v>127.95</v>
      </c>
    </row>
    <row r="784" spans="1:19" ht="14.4" x14ac:dyDescent="0.3">
      <c r="A784" s="2">
        <v>45019</v>
      </c>
      <c r="B784" s="3">
        <v>94.51</v>
      </c>
      <c r="C784" s="3">
        <v>111.41</v>
      </c>
      <c r="D784" s="3">
        <v>128.84</v>
      </c>
      <c r="E784" s="3">
        <v>135.08000000000001</v>
      </c>
      <c r="F784" s="3">
        <v>128.99</v>
      </c>
      <c r="G784" s="3">
        <v>80.42</v>
      </c>
      <c r="H784" s="3">
        <v>84.93</v>
      </c>
      <c r="I784" s="3">
        <v>84.69</v>
      </c>
      <c r="J784" s="3">
        <v>116.13</v>
      </c>
      <c r="K784" s="3">
        <v>24.4</v>
      </c>
      <c r="L784" s="3">
        <v>76614.960000000006</v>
      </c>
      <c r="M784" s="3">
        <v>55046.23</v>
      </c>
      <c r="N784" s="3">
        <v>12.75</v>
      </c>
      <c r="O784" s="3">
        <v>5.6000000000000001E-2</v>
      </c>
      <c r="P784" s="3">
        <v>2.097</v>
      </c>
      <c r="Q784" s="3">
        <v>105.42</v>
      </c>
      <c r="R784" s="3">
        <v>51.365000000000002</v>
      </c>
      <c r="S784" s="3">
        <v>133.85</v>
      </c>
    </row>
    <row r="785" spans="1:19" ht="14.4" x14ac:dyDescent="0.3">
      <c r="A785" s="2">
        <v>45020</v>
      </c>
      <c r="B785" s="3">
        <v>94.51</v>
      </c>
      <c r="C785" s="3">
        <v>111.41</v>
      </c>
      <c r="D785" s="3">
        <v>128.84</v>
      </c>
      <c r="E785" s="3">
        <v>135.08000000000001</v>
      </c>
      <c r="F785" s="3">
        <v>128.99</v>
      </c>
      <c r="G785" s="3">
        <v>80.709999999999994</v>
      </c>
      <c r="H785" s="3">
        <v>84.94</v>
      </c>
      <c r="I785" s="3">
        <v>84.47</v>
      </c>
      <c r="J785" s="3">
        <v>115.02</v>
      </c>
      <c r="K785" s="3">
        <v>24.75</v>
      </c>
      <c r="L785" s="3">
        <v>77458.58</v>
      </c>
      <c r="M785" s="3">
        <v>57274.81</v>
      </c>
      <c r="N785" s="3">
        <v>13.16</v>
      </c>
      <c r="O785" s="3">
        <v>5.5739999999999998E-2</v>
      </c>
      <c r="P785" s="3">
        <v>2.1059999999999999</v>
      </c>
      <c r="Q785" s="3">
        <v>106.04</v>
      </c>
      <c r="R785" s="3">
        <v>46.57</v>
      </c>
      <c r="S785" s="1">
        <f>S786</f>
        <v>136.5</v>
      </c>
    </row>
    <row r="786" spans="1:19" ht="14.4" x14ac:dyDescent="0.3">
      <c r="A786" s="2">
        <v>45021</v>
      </c>
      <c r="B786" s="3">
        <v>94.51</v>
      </c>
      <c r="C786" s="3">
        <v>111.41</v>
      </c>
      <c r="D786" s="3">
        <v>128.84</v>
      </c>
      <c r="E786" s="3">
        <v>135.08000000000001</v>
      </c>
      <c r="F786" s="3">
        <v>128.99</v>
      </c>
      <c r="G786" s="3">
        <v>80.61</v>
      </c>
      <c r="H786" s="3">
        <v>84.99</v>
      </c>
      <c r="I786" s="3">
        <v>84.59</v>
      </c>
      <c r="J786" s="3">
        <v>116.99</v>
      </c>
      <c r="K786" s="5">
        <f>FORECAST(A786,K780:K785,A780:A785)</f>
        <v>24.793133047210176</v>
      </c>
      <c r="L786" s="3">
        <v>76656.42</v>
      </c>
      <c r="M786" s="3">
        <v>57793.43</v>
      </c>
      <c r="N786" s="3">
        <v>12.68</v>
      </c>
      <c r="O786" s="3">
        <v>5.5399999999999998E-2</v>
      </c>
      <c r="P786" s="3">
        <v>2.1549999999999998</v>
      </c>
      <c r="Q786" s="3">
        <v>106.22</v>
      </c>
      <c r="R786" s="3">
        <v>44.575000000000003</v>
      </c>
      <c r="S786" s="3">
        <v>136.5</v>
      </c>
    </row>
    <row r="787" spans="1:19" ht="14.4" x14ac:dyDescent="0.3">
      <c r="A787" s="2">
        <v>45022</v>
      </c>
      <c r="B787" s="3">
        <v>95.97</v>
      </c>
      <c r="C787" s="3">
        <v>113.65</v>
      </c>
      <c r="D787" s="3">
        <v>129.24</v>
      </c>
      <c r="E787" s="3">
        <v>133.76</v>
      </c>
      <c r="F787" s="3">
        <v>127.96</v>
      </c>
      <c r="G787" s="3">
        <v>80.7</v>
      </c>
      <c r="H787" s="3">
        <v>85.12</v>
      </c>
      <c r="I787" s="3">
        <v>84.99</v>
      </c>
      <c r="J787" s="3">
        <v>115.05</v>
      </c>
      <c r="K787" s="3">
        <v>24.4</v>
      </c>
      <c r="L787" s="3">
        <v>77113.7</v>
      </c>
      <c r="M787" s="3">
        <v>58293.51</v>
      </c>
      <c r="N787" s="3">
        <v>12.625</v>
      </c>
      <c r="O787" s="3">
        <v>5.4769999999999999E-2</v>
      </c>
      <c r="P787" s="3">
        <v>2.0110000000000001</v>
      </c>
      <c r="Q787" s="3">
        <v>108.25</v>
      </c>
      <c r="R787" s="3">
        <v>43.125</v>
      </c>
      <c r="S787" s="3">
        <v>150.85</v>
      </c>
    </row>
    <row r="788" spans="1:19" ht="14.4" x14ac:dyDescent="0.3">
      <c r="A788" s="2">
        <v>45023</v>
      </c>
      <c r="B788" s="1">
        <f t="shared" ref="B788:F789" si="50">B787</f>
        <v>95.97</v>
      </c>
      <c r="C788" s="1">
        <f t="shared" si="50"/>
        <v>113.65</v>
      </c>
      <c r="D788" s="1">
        <f t="shared" si="50"/>
        <v>129.24</v>
      </c>
      <c r="E788" s="1">
        <f t="shared" si="50"/>
        <v>133.76</v>
      </c>
      <c r="F788" s="1">
        <f t="shared" si="50"/>
        <v>127.96</v>
      </c>
      <c r="G788" s="5">
        <f>(G787+G789)/2</f>
        <v>80.22</v>
      </c>
      <c r="H788" s="1">
        <f>(H787+H789)/2</f>
        <v>84.65</v>
      </c>
      <c r="I788" s="1">
        <f>(I787+I789)/2</f>
        <v>84.634999999999991</v>
      </c>
      <c r="J788" s="1">
        <f>(J787+J789)/2</f>
        <v>114.795</v>
      </c>
      <c r="K788" s="5">
        <f t="shared" ref="K788:K789" si="51">FORECAST(A788,K782:K787,A782:A787)</f>
        <v>24.581164692663293</v>
      </c>
      <c r="L788" s="5">
        <f t="shared" ref="L788:L789" si="52">FORECAST(A788,L782:L787,A782:A787)</f>
        <v>77179.060214592144</v>
      </c>
      <c r="M788" s="5">
        <f t="shared" ref="M788:M789" si="53">FORECAST(A788,M782:M787,A782:A787)</f>
        <v>58283.40416308865</v>
      </c>
      <c r="N788" s="5">
        <f>FORECAST(A788,N782:N787,A782:A787)</f>
        <v>12.685579399141716</v>
      </c>
      <c r="O788" s="3">
        <v>5.4919999999999997E-2</v>
      </c>
      <c r="P788" s="1">
        <f>AVERAGE(P787,P789)</f>
        <v>2.0914999999999999</v>
      </c>
      <c r="Q788" s="1">
        <f>AVERAGE(Q787,Q789)</f>
        <v>107.315</v>
      </c>
      <c r="R788" s="5">
        <f>AVERAGE(R787,R789)</f>
        <v>43.125</v>
      </c>
      <c r="S788" s="1">
        <f>S789</f>
        <v>152.5</v>
      </c>
    </row>
    <row r="789" spans="1:19" ht="14.4" x14ac:dyDescent="0.3">
      <c r="A789" s="2">
        <v>45026</v>
      </c>
      <c r="B789" s="1">
        <f t="shared" si="50"/>
        <v>95.97</v>
      </c>
      <c r="C789" s="1">
        <f t="shared" si="50"/>
        <v>113.65</v>
      </c>
      <c r="D789" s="1">
        <f t="shared" si="50"/>
        <v>129.24</v>
      </c>
      <c r="E789" s="1">
        <f t="shared" si="50"/>
        <v>133.76</v>
      </c>
      <c r="F789" s="1">
        <f t="shared" si="50"/>
        <v>127.96</v>
      </c>
      <c r="G789" s="3">
        <v>79.739999999999995</v>
      </c>
      <c r="H789" s="3">
        <v>84.18</v>
      </c>
      <c r="I789" s="3">
        <v>84.28</v>
      </c>
      <c r="J789" s="3">
        <v>114.54</v>
      </c>
      <c r="K789" s="5">
        <f t="shared" si="51"/>
        <v>24.515618339885464</v>
      </c>
      <c r="L789" s="5">
        <f t="shared" si="52"/>
        <v>77714.918258902617</v>
      </c>
      <c r="M789" s="5">
        <f t="shared" si="53"/>
        <v>60474.699682168663</v>
      </c>
      <c r="N789" s="3">
        <v>12.625</v>
      </c>
      <c r="O789" s="3">
        <v>5.3999999999999999E-2</v>
      </c>
      <c r="P789" s="3">
        <v>2.1720000000000002</v>
      </c>
      <c r="Q789" s="3">
        <v>106.38</v>
      </c>
      <c r="R789" s="3">
        <v>43.125</v>
      </c>
      <c r="S789" s="3">
        <v>152.5</v>
      </c>
    </row>
    <row r="790" spans="1:19" ht="14.4" x14ac:dyDescent="0.3">
      <c r="A790" s="2">
        <v>45027</v>
      </c>
      <c r="B790" s="3">
        <v>95.97</v>
      </c>
      <c r="C790" s="3">
        <v>113.65</v>
      </c>
      <c r="D790" s="3">
        <v>129.24</v>
      </c>
      <c r="E790" s="3">
        <v>133.76</v>
      </c>
      <c r="F790" s="3">
        <v>127.96</v>
      </c>
      <c r="G790" s="3">
        <v>81.53</v>
      </c>
      <c r="H790" s="3">
        <v>85.61</v>
      </c>
      <c r="I790" s="3">
        <v>85.19</v>
      </c>
      <c r="J790" s="3">
        <v>115.35</v>
      </c>
      <c r="K790" s="3">
        <v>24.2</v>
      </c>
      <c r="L790" s="3">
        <v>77990.539999999994</v>
      </c>
      <c r="M790" s="3">
        <v>60196.480000000003</v>
      </c>
      <c r="N790" s="3">
        <v>12.57</v>
      </c>
      <c r="O790" s="3">
        <v>5.432E-2</v>
      </c>
      <c r="P790" s="3">
        <v>2.1859999999999999</v>
      </c>
      <c r="Q790" s="3">
        <v>106.13</v>
      </c>
      <c r="R790" s="3">
        <v>43.69</v>
      </c>
      <c r="S790" s="3">
        <v>155.94999999999999</v>
      </c>
    </row>
    <row r="791" spans="1:19" ht="14.4" x14ac:dyDescent="0.3">
      <c r="A791" s="2">
        <v>45028</v>
      </c>
      <c r="B791" s="3">
        <v>95.97</v>
      </c>
      <c r="C791" s="3">
        <v>113.65</v>
      </c>
      <c r="D791" s="3">
        <v>129.24</v>
      </c>
      <c r="E791" s="3">
        <v>133.76</v>
      </c>
      <c r="F791" s="3">
        <v>127.96</v>
      </c>
      <c r="G791" s="3">
        <v>83.26</v>
      </c>
      <c r="H791" s="3">
        <v>87.33</v>
      </c>
      <c r="I791" s="3">
        <v>86.35</v>
      </c>
      <c r="J791" s="3">
        <v>115.23</v>
      </c>
      <c r="K791" s="3">
        <v>24.3</v>
      </c>
      <c r="L791" s="3">
        <v>77740.69</v>
      </c>
      <c r="M791" s="3">
        <v>60187.32</v>
      </c>
      <c r="N791" s="3">
        <v>12.625</v>
      </c>
      <c r="O791" s="3">
        <v>5.4339999999999999E-2</v>
      </c>
      <c r="P791" s="3">
        <v>2.093</v>
      </c>
      <c r="Q791" s="3">
        <v>107.09</v>
      </c>
      <c r="R791" s="3">
        <v>42.88</v>
      </c>
      <c r="S791" s="3">
        <v>155.69999999999999</v>
      </c>
    </row>
    <row r="792" spans="1:19" ht="14.4" x14ac:dyDescent="0.3">
      <c r="A792" s="2">
        <v>45029</v>
      </c>
      <c r="B792" s="3">
        <v>95.97</v>
      </c>
      <c r="C792" s="3">
        <v>113.65</v>
      </c>
      <c r="D792" s="3">
        <v>129.24</v>
      </c>
      <c r="E792" s="3">
        <v>133.76</v>
      </c>
      <c r="F792" s="3">
        <v>127.96</v>
      </c>
      <c r="G792" s="3">
        <v>82.16</v>
      </c>
      <c r="H792" s="3">
        <v>86.09</v>
      </c>
      <c r="I792" s="3">
        <v>85.61</v>
      </c>
      <c r="J792" s="3">
        <v>115.77</v>
      </c>
      <c r="K792" s="3">
        <v>24.5</v>
      </c>
      <c r="L792" s="3">
        <v>78462.77</v>
      </c>
      <c r="M792" s="3">
        <v>62052.15</v>
      </c>
      <c r="N792" s="3">
        <v>12.605</v>
      </c>
      <c r="O792" s="3">
        <v>5.5379999999999999E-2</v>
      </c>
      <c r="P792" s="3">
        <v>2.0070000000000001</v>
      </c>
      <c r="Q792" s="3">
        <v>107.51</v>
      </c>
      <c r="R792" s="3">
        <v>42.094999999999999</v>
      </c>
      <c r="S792" s="3">
        <v>154.80000000000001</v>
      </c>
    </row>
    <row r="793" spans="1:19" ht="14.4" x14ac:dyDescent="0.3">
      <c r="A793" s="2">
        <v>45030</v>
      </c>
      <c r="B793" s="3">
        <v>89.92</v>
      </c>
      <c r="C793" s="3">
        <v>105.11</v>
      </c>
      <c r="D793" s="3">
        <v>119.93</v>
      </c>
      <c r="E793" s="3">
        <v>122.4</v>
      </c>
      <c r="F793" s="3">
        <v>126.04</v>
      </c>
      <c r="G793" s="3">
        <v>82.52</v>
      </c>
      <c r="H793" s="3">
        <v>86.31</v>
      </c>
      <c r="I793" s="3">
        <v>85.64</v>
      </c>
      <c r="J793" s="3">
        <v>116.05</v>
      </c>
      <c r="K793" s="3">
        <v>24.8</v>
      </c>
      <c r="L793" s="3">
        <v>78870.36</v>
      </c>
      <c r="M793" s="3">
        <v>60085.69</v>
      </c>
      <c r="N793" s="3">
        <v>12.593</v>
      </c>
      <c r="O793" s="3">
        <v>5.5230000000000001E-2</v>
      </c>
      <c r="P793" s="3">
        <v>2.1139999999999999</v>
      </c>
      <c r="Q793" s="3">
        <v>107.51</v>
      </c>
      <c r="R793" s="3">
        <v>41.15</v>
      </c>
      <c r="S793" s="1">
        <f>S794</f>
        <v>154.1</v>
      </c>
    </row>
    <row r="794" spans="1:19" ht="14.4" x14ac:dyDescent="0.3">
      <c r="A794" s="2">
        <v>45033</v>
      </c>
      <c r="B794" s="3">
        <v>89.92</v>
      </c>
      <c r="C794" s="3">
        <v>105.11</v>
      </c>
      <c r="D794" s="3">
        <v>119.93</v>
      </c>
      <c r="E794" s="3">
        <v>122.4</v>
      </c>
      <c r="F794" s="3">
        <v>126.04</v>
      </c>
      <c r="G794" s="3">
        <v>80.83</v>
      </c>
      <c r="H794" s="3">
        <v>84.76</v>
      </c>
      <c r="I794" s="3">
        <v>84.95</v>
      </c>
      <c r="J794" s="3">
        <v>114.7</v>
      </c>
      <c r="K794" s="3">
        <v>25.55</v>
      </c>
      <c r="L794" s="3">
        <v>78723.7</v>
      </c>
      <c r="M794" s="3">
        <v>60769.72</v>
      </c>
      <c r="N794" s="3">
        <v>12.49</v>
      </c>
      <c r="O794" s="3">
        <v>5.4579999999999997E-2</v>
      </c>
      <c r="P794" s="3">
        <v>2.2749999999999999</v>
      </c>
      <c r="Q794" s="3">
        <v>107.99</v>
      </c>
      <c r="R794" s="3">
        <v>41.125</v>
      </c>
      <c r="S794" s="3">
        <v>154.1</v>
      </c>
    </row>
    <row r="795" spans="1:19" ht="14.4" x14ac:dyDescent="0.3">
      <c r="A795" s="2">
        <v>45034</v>
      </c>
      <c r="B795" s="3">
        <v>89.92</v>
      </c>
      <c r="C795" s="3">
        <v>105.11</v>
      </c>
      <c r="D795" s="3">
        <v>119.93</v>
      </c>
      <c r="E795" s="3">
        <v>122.4</v>
      </c>
      <c r="F795" s="3">
        <v>126.04</v>
      </c>
      <c r="G795" s="3">
        <v>80.86</v>
      </c>
      <c r="H795" s="3">
        <v>84.77</v>
      </c>
      <c r="I795" s="3">
        <v>85</v>
      </c>
      <c r="J795" s="3">
        <v>116.94</v>
      </c>
      <c r="K795" s="3">
        <v>25.7</v>
      </c>
      <c r="L795" s="3">
        <v>79294.759999999995</v>
      </c>
      <c r="M795" s="3">
        <v>64354.04</v>
      </c>
      <c r="N795" s="3">
        <v>12.85</v>
      </c>
      <c r="O795" s="3">
        <v>5.5039999999999999E-2</v>
      </c>
      <c r="P795" s="3">
        <v>2.3660000000000001</v>
      </c>
      <c r="Q795" s="3">
        <v>107.49</v>
      </c>
      <c r="R795" s="3">
        <v>42.72</v>
      </c>
      <c r="S795" s="3">
        <v>153.85</v>
      </c>
    </row>
    <row r="796" spans="1:19" ht="14.4" x14ac:dyDescent="0.3">
      <c r="A796" s="2">
        <v>45035</v>
      </c>
      <c r="B796" s="3">
        <v>89.92</v>
      </c>
      <c r="C796" s="3">
        <v>105.11</v>
      </c>
      <c r="D796" s="3">
        <v>119.93</v>
      </c>
      <c r="E796" s="3">
        <v>122.4</v>
      </c>
      <c r="F796" s="3">
        <v>126.04</v>
      </c>
      <c r="G796" s="3">
        <v>79.16</v>
      </c>
      <c r="H796" s="3">
        <v>83.12</v>
      </c>
      <c r="I796" s="3">
        <v>84.36</v>
      </c>
      <c r="J796" s="3">
        <v>116.57</v>
      </c>
      <c r="K796" s="3">
        <v>25.8</v>
      </c>
      <c r="L796" s="3">
        <v>78796.86</v>
      </c>
      <c r="M796" s="3">
        <v>62274.45</v>
      </c>
      <c r="N796" s="3">
        <v>12.244999999999999</v>
      </c>
      <c r="O796" s="3">
        <v>5.4949999999999999E-2</v>
      </c>
      <c r="P796" s="3">
        <v>2.222</v>
      </c>
      <c r="Q796" s="3">
        <v>108.34</v>
      </c>
      <c r="R796" s="3">
        <v>40.299999999999997</v>
      </c>
      <c r="S796" s="3">
        <v>152.85</v>
      </c>
    </row>
    <row r="797" spans="1:19" ht="14.4" x14ac:dyDescent="0.3">
      <c r="A797" s="2">
        <v>45036</v>
      </c>
      <c r="B797" s="3">
        <v>89.92</v>
      </c>
      <c r="C797" s="3">
        <v>105.11</v>
      </c>
      <c r="D797" s="3">
        <v>119.93</v>
      </c>
      <c r="E797" s="3">
        <v>122.4</v>
      </c>
      <c r="F797" s="3">
        <v>126.04</v>
      </c>
      <c r="G797" s="3">
        <v>77.290000000000006</v>
      </c>
      <c r="H797" s="3">
        <v>81.099999999999994</v>
      </c>
      <c r="I797" s="3">
        <v>83.55</v>
      </c>
      <c r="J797" s="3">
        <v>115.64</v>
      </c>
      <c r="K797" s="3">
        <v>25.45</v>
      </c>
      <c r="L797" s="3">
        <v>78883.259999999995</v>
      </c>
      <c r="M797" s="3">
        <v>62912.97</v>
      </c>
      <c r="N797" s="3">
        <v>12.234999999999999</v>
      </c>
      <c r="O797" s="3">
        <v>5.5410000000000001E-2</v>
      </c>
      <c r="P797" s="3">
        <v>2.2490000000000001</v>
      </c>
      <c r="Q797" s="3">
        <v>107.76</v>
      </c>
      <c r="R797" s="3">
        <v>40.564999999999998</v>
      </c>
      <c r="S797" s="3">
        <v>153.85</v>
      </c>
    </row>
    <row r="798" spans="1:19" ht="14.4" x14ac:dyDescent="0.3">
      <c r="A798" s="2">
        <v>45037</v>
      </c>
      <c r="B798" s="3">
        <v>90.45</v>
      </c>
      <c r="C798" s="3">
        <v>107.23</v>
      </c>
      <c r="D798" s="3">
        <v>120.27</v>
      </c>
      <c r="E798" s="3">
        <v>126.95</v>
      </c>
      <c r="F798" s="3">
        <v>125.23</v>
      </c>
      <c r="G798" s="3">
        <v>77.87</v>
      </c>
      <c r="H798" s="3">
        <v>81.66</v>
      </c>
      <c r="I798" s="3">
        <v>83.71</v>
      </c>
      <c r="J798" s="3">
        <v>116.01</v>
      </c>
      <c r="K798" s="3">
        <v>25.55</v>
      </c>
      <c r="L798" s="3">
        <v>77910.960000000006</v>
      </c>
      <c r="M798" s="3">
        <v>61981.48</v>
      </c>
      <c r="N798" s="3">
        <v>11.88</v>
      </c>
      <c r="O798" s="3">
        <v>5.5199999999999999E-2</v>
      </c>
      <c r="P798" s="3">
        <v>2.2330000000000001</v>
      </c>
      <c r="Q798" s="3">
        <v>108.35</v>
      </c>
      <c r="R798" s="3">
        <v>40.164999999999999</v>
      </c>
      <c r="S798" s="3">
        <v>153.69999999999999</v>
      </c>
    </row>
    <row r="799" spans="1:19" ht="14.4" x14ac:dyDescent="0.3">
      <c r="A799" s="2">
        <v>45040</v>
      </c>
      <c r="B799" s="3">
        <v>90.45</v>
      </c>
      <c r="C799" s="3">
        <v>107.23</v>
      </c>
      <c r="D799" s="3">
        <v>120.27</v>
      </c>
      <c r="E799" s="3">
        <v>126.95</v>
      </c>
      <c r="F799" s="3">
        <v>125.23</v>
      </c>
      <c r="G799" s="3">
        <v>78.760000000000005</v>
      </c>
      <c r="H799" s="3">
        <v>82.73</v>
      </c>
      <c r="I799" s="3">
        <v>83.9</v>
      </c>
      <c r="J799" s="3">
        <v>118.2</v>
      </c>
      <c r="K799" s="3">
        <v>25.25</v>
      </c>
      <c r="L799" s="3">
        <v>78121.37</v>
      </c>
      <c r="M799" s="3">
        <v>62633.33</v>
      </c>
      <c r="N799" s="3">
        <v>11.875</v>
      </c>
      <c r="O799" s="3">
        <v>5.5140000000000002E-2</v>
      </c>
      <c r="P799" s="3">
        <v>2.2730000000000001</v>
      </c>
      <c r="Q799" s="3">
        <v>107.93</v>
      </c>
      <c r="R799" s="3">
        <v>39.924999999999997</v>
      </c>
      <c r="S799" s="3">
        <v>152.85</v>
      </c>
    </row>
    <row r="800" spans="1:19" ht="14.4" x14ac:dyDescent="0.3">
      <c r="A800" s="2">
        <v>45041</v>
      </c>
      <c r="B800" s="3">
        <v>90.45</v>
      </c>
      <c r="C800" s="3">
        <v>107.23</v>
      </c>
      <c r="D800" s="3">
        <v>120.27</v>
      </c>
      <c r="E800" s="3">
        <v>126.95</v>
      </c>
      <c r="F800" s="3">
        <v>125.23</v>
      </c>
      <c r="G800" s="3">
        <v>77.069999999999993</v>
      </c>
      <c r="H800" s="3">
        <v>80.77</v>
      </c>
      <c r="I800" s="3">
        <v>83.62</v>
      </c>
      <c r="J800" s="3">
        <v>116.52</v>
      </c>
      <c r="K800" s="3">
        <v>25.15</v>
      </c>
      <c r="L800" s="3">
        <v>77891.13</v>
      </c>
      <c r="M800" s="3">
        <v>62031.25</v>
      </c>
      <c r="N800" s="3">
        <v>11.845000000000001</v>
      </c>
      <c r="O800" s="3">
        <v>5.4489999999999997E-2</v>
      </c>
      <c r="P800" s="3">
        <v>2.3069999999999999</v>
      </c>
      <c r="Q800" s="3">
        <v>106.34</v>
      </c>
      <c r="R800" s="3">
        <v>39.835000000000001</v>
      </c>
      <c r="S800" s="3">
        <v>152.19999999999999</v>
      </c>
    </row>
    <row r="801" spans="1:19" ht="14.4" x14ac:dyDescent="0.3">
      <c r="A801" s="2">
        <v>45042</v>
      </c>
      <c r="B801" s="3">
        <v>90.45</v>
      </c>
      <c r="C801" s="3">
        <v>107.23</v>
      </c>
      <c r="D801" s="3">
        <v>120.27</v>
      </c>
      <c r="E801" s="3">
        <v>126.95</v>
      </c>
      <c r="F801" s="3">
        <v>125.23</v>
      </c>
      <c r="G801" s="3">
        <v>74.3</v>
      </c>
      <c r="H801" s="3">
        <v>77.69</v>
      </c>
      <c r="I801" s="3">
        <v>83.23</v>
      </c>
      <c r="J801" s="3">
        <v>115.45</v>
      </c>
      <c r="K801" s="3">
        <v>25.35</v>
      </c>
      <c r="L801" s="3">
        <v>78122.12</v>
      </c>
      <c r="M801" s="3">
        <v>62335.59</v>
      </c>
      <c r="N801" s="3">
        <v>11.64</v>
      </c>
      <c r="O801" s="3">
        <v>5.4289999999999998E-2</v>
      </c>
      <c r="P801" s="3">
        <v>2.117</v>
      </c>
      <c r="Q801" s="3">
        <v>104.61</v>
      </c>
      <c r="R801" s="3">
        <v>38.549999999999997</v>
      </c>
      <c r="S801" s="3">
        <v>152.19999999999999</v>
      </c>
    </row>
    <row r="802" spans="1:19" ht="14.4" x14ac:dyDescent="0.3">
      <c r="A802" s="2">
        <v>45043</v>
      </c>
      <c r="B802" s="3">
        <v>90.45</v>
      </c>
      <c r="C802" s="3">
        <v>107.23</v>
      </c>
      <c r="D802" s="3">
        <v>120.27</v>
      </c>
      <c r="E802" s="3">
        <v>126.95</v>
      </c>
      <c r="F802" s="3">
        <v>125.23</v>
      </c>
      <c r="G802" s="3">
        <v>74.760000000000005</v>
      </c>
      <c r="H802" s="3">
        <v>78.37</v>
      </c>
      <c r="I802" s="3">
        <v>83.32</v>
      </c>
      <c r="J802" s="3">
        <v>116.83</v>
      </c>
      <c r="K802" s="3">
        <v>25.4</v>
      </c>
      <c r="L802" s="5">
        <f>FORECAST(A802,L796:L801,A796:A801)</f>
        <v>77796.813052208163</v>
      </c>
      <c r="M802" s="5">
        <f>FORECAST(A802,M796:M801,A796:A801)</f>
        <v>62251.718714859569</v>
      </c>
      <c r="N802" s="3">
        <v>11.595000000000001</v>
      </c>
      <c r="O802" s="3">
        <v>5.4629999999999998E-2</v>
      </c>
      <c r="P802" s="3">
        <v>2.355</v>
      </c>
      <c r="Q802" s="3">
        <v>107.42</v>
      </c>
      <c r="R802" s="3">
        <v>39.039000000000001</v>
      </c>
      <c r="S802" s="3">
        <v>152.19999999999999</v>
      </c>
    </row>
    <row r="803" spans="1:19" ht="14.4" x14ac:dyDescent="0.3">
      <c r="A803" s="2">
        <v>45044</v>
      </c>
      <c r="B803" s="3">
        <v>91.28</v>
      </c>
      <c r="C803" s="3">
        <v>108.09</v>
      </c>
      <c r="D803" s="3">
        <v>122.2</v>
      </c>
      <c r="E803" s="3">
        <v>127.42</v>
      </c>
      <c r="F803" s="3">
        <v>125.82</v>
      </c>
      <c r="G803" s="3">
        <v>76.78</v>
      </c>
      <c r="H803" s="3">
        <v>79.540000000000006</v>
      </c>
      <c r="I803" s="3">
        <v>83.41</v>
      </c>
      <c r="J803" s="3">
        <v>118.34</v>
      </c>
      <c r="K803" s="3">
        <v>26</v>
      </c>
      <c r="L803" s="3">
        <v>78218.37</v>
      </c>
      <c r="M803" s="3">
        <v>62522.73</v>
      </c>
      <c r="N803" s="3">
        <v>11.55</v>
      </c>
      <c r="O803" s="3">
        <v>5.4649999999999997E-2</v>
      </c>
      <c r="P803" s="3">
        <v>2.41</v>
      </c>
      <c r="Q803" s="3">
        <v>108.93</v>
      </c>
      <c r="R803" s="3">
        <v>38.54</v>
      </c>
      <c r="S803" s="3">
        <v>156.55000000000001</v>
      </c>
    </row>
    <row r="804" spans="1:19" ht="14.4" x14ac:dyDescent="0.3">
      <c r="A804" s="2">
        <v>45047</v>
      </c>
      <c r="B804" s="1">
        <f t="shared" ref="B804:F804" si="54">B803</f>
        <v>91.28</v>
      </c>
      <c r="C804" s="1">
        <f t="shared" si="54"/>
        <v>108.09</v>
      </c>
      <c r="D804" s="1">
        <f t="shared" si="54"/>
        <v>122.2</v>
      </c>
      <c r="E804" s="1">
        <f t="shared" si="54"/>
        <v>127.42</v>
      </c>
      <c r="F804" s="1">
        <f t="shared" si="54"/>
        <v>125.82</v>
      </c>
      <c r="G804" s="3">
        <v>75.66</v>
      </c>
      <c r="H804" s="3">
        <v>79.31</v>
      </c>
      <c r="I804" s="3">
        <v>79.239999999999995</v>
      </c>
      <c r="J804" s="3">
        <v>114.67</v>
      </c>
      <c r="K804" s="5">
        <f>FORECAST(A804,K798:K803,A798:A803)</f>
        <v>25.686486486486729</v>
      </c>
      <c r="L804" s="5">
        <f>FORECAST(A804,L798:L803,A798:A803)</f>
        <v>78122.79291870154</v>
      </c>
      <c r="M804" s="5">
        <f>FORECAST(A804,M798:M803,A798:A803)</f>
        <v>62586.926096819807</v>
      </c>
      <c r="N804" s="3">
        <v>11.55</v>
      </c>
      <c r="O804" s="3">
        <v>5.4330000000000003E-2</v>
      </c>
      <c r="P804" s="3">
        <v>2.3180000000000001</v>
      </c>
      <c r="Q804" s="3">
        <v>108.62</v>
      </c>
      <c r="R804" s="3">
        <v>38.835000000000001</v>
      </c>
      <c r="S804" s="1">
        <f>S805</f>
        <v>155.19999999999999</v>
      </c>
    </row>
    <row r="805" spans="1:19" ht="14.4" x14ac:dyDescent="0.3">
      <c r="A805" s="2">
        <v>45048</v>
      </c>
      <c r="B805" s="3">
        <v>91.28</v>
      </c>
      <c r="C805" s="3">
        <v>108.09</v>
      </c>
      <c r="D805" s="3">
        <v>122.2</v>
      </c>
      <c r="E805" s="3">
        <v>127.42</v>
      </c>
      <c r="F805" s="3">
        <v>125.82</v>
      </c>
      <c r="G805" s="3">
        <v>71.66</v>
      </c>
      <c r="H805" s="3">
        <v>75.319999999999993</v>
      </c>
      <c r="I805" s="3">
        <v>75.010000000000005</v>
      </c>
      <c r="J805" s="3">
        <v>110.1</v>
      </c>
      <c r="K805" s="3">
        <v>26.05</v>
      </c>
      <c r="L805" s="3">
        <v>77532.899999999994</v>
      </c>
      <c r="M805" s="3">
        <v>62896.08</v>
      </c>
      <c r="N805" s="3">
        <v>11.494999999999999</v>
      </c>
      <c r="O805" s="3">
        <v>5.4120000000000001E-2</v>
      </c>
      <c r="P805" s="3">
        <v>2.214</v>
      </c>
      <c r="Q805" s="3">
        <v>107.11</v>
      </c>
      <c r="R805" s="3">
        <v>37.53</v>
      </c>
      <c r="S805" s="3">
        <v>155.19999999999999</v>
      </c>
    </row>
    <row r="806" spans="1:19" ht="14.4" x14ac:dyDescent="0.3">
      <c r="A806" s="2">
        <v>45049</v>
      </c>
      <c r="B806" s="3">
        <v>91.28</v>
      </c>
      <c r="C806" s="3">
        <v>108.09</v>
      </c>
      <c r="D806" s="3">
        <v>122.2</v>
      </c>
      <c r="E806" s="3">
        <v>127.42</v>
      </c>
      <c r="F806" s="3">
        <v>125.82</v>
      </c>
      <c r="G806" s="3">
        <v>68.599999999999994</v>
      </c>
      <c r="H806" s="3">
        <v>72.33</v>
      </c>
      <c r="I806" s="3">
        <v>72.28</v>
      </c>
      <c r="J806" s="3">
        <v>107.93</v>
      </c>
      <c r="K806" s="3">
        <v>25.9</v>
      </c>
      <c r="L806" s="3">
        <v>78218.600000000006</v>
      </c>
      <c r="M806" s="3">
        <v>64498.03</v>
      </c>
      <c r="N806" s="3">
        <v>11.5</v>
      </c>
      <c r="O806" s="3">
        <v>5.4679999999999999E-2</v>
      </c>
      <c r="P806" s="3">
        <v>2.17</v>
      </c>
      <c r="Q806" s="3">
        <v>104.83</v>
      </c>
      <c r="R806" s="3">
        <v>36.78</v>
      </c>
      <c r="S806" s="3">
        <v>155.5</v>
      </c>
    </row>
    <row r="807" spans="1:19" ht="14.4" x14ac:dyDescent="0.3">
      <c r="A807" s="2">
        <v>45050</v>
      </c>
      <c r="B807" s="3">
        <v>91.28</v>
      </c>
      <c r="C807" s="3">
        <v>108.09</v>
      </c>
      <c r="D807" s="3">
        <v>122.2</v>
      </c>
      <c r="E807" s="3">
        <v>127.42</v>
      </c>
      <c r="F807" s="3">
        <v>125.82</v>
      </c>
      <c r="G807" s="3">
        <v>68.56</v>
      </c>
      <c r="H807" s="3">
        <v>72.5</v>
      </c>
      <c r="I807" s="3">
        <v>72.5</v>
      </c>
      <c r="J807" s="3">
        <v>106.04</v>
      </c>
      <c r="K807" s="3">
        <v>26.25</v>
      </c>
      <c r="L807" s="3">
        <v>77271.13</v>
      </c>
      <c r="M807" s="3">
        <v>67780.460000000006</v>
      </c>
      <c r="N807" s="3">
        <v>11.31</v>
      </c>
      <c r="O807" s="3">
        <v>5.4640000000000001E-2</v>
      </c>
      <c r="P807" s="3">
        <v>2.101</v>
      </c>
      <c r="Q807" s="3">
        <v>106.75</v>
      </c>
      <c r="R807" s="3">
        <v>35.655000000000001</v>
      </c>
      <c r="S807" s="3">
        <v>155.85</v>
      </c>
    </row>
    <row r="808" spans="1:19" ht="14.4" x14ac:dyDescent="0.3">
      <c r="A808" s="2">
        <v>45051</v>
      </c>
      <c r="B808" s="3">
        <v>87.26</v>
      </c>
      <c r="C808" s="3">
        <v>103.26</v>
      </c>
      <c r="D808" s="3">
        <v>116.71</v>
      </c>
      <c r="E808" s="3">
        <v>122.63</v>
      </c>
      <c r="F808" s="3">
        <v>123.74</v>
      </c>
      <c r="G808" s="3">
        <v>71.34</v>
      </c>
      <c r="H808" s="3">
        <v>75.3</v>
      </c>
      <c r="I808" s="3">
        <v>74.88</v>
      </c>
      <c r="J808" s="3">
        <v>108.68</v>
      </c>
      <c r="K808" s="3">
        <v>26.75</v>
      </c>
      <c r="L808" s="3">
        <v>78132.77</v>
      </c>
      <c r="M808" s="3">
        <v>65925.67</v>
      </c>
      <c r="N808" s="3">
        <v>11.315</v>
      </c>
      <c r="O808" s="3">
        <v>5.4289999999999998E-2</v>
      </c>
      <c r="P808" s="3">
        <v>2.137</v>
      </c>
      <c r="Q808" s="3">
        <v>108.31</v>
      </c>
      <c r="R808" s="3">
        <v>36.575000000000003</v>
      </c>
      <c r="S808" s="3">
        <v>158.25</v>
      </c>
    </row>
    <row r="809" spans="1:19" ht="14.4" x14ac:dyDescent="0.3">
      <c r="A809" s="2">
        <v>45054</v>
      </c>
      <c r="B809" s="1">
        <f t="shared" ref="B809:F809" si="55">B808</f>
        <v>87.26</v>
      </c>
      <c r="C809" s="1">
        <f t="shared" si="55"/>
        <v>103.26</v>
      </c>
      <c r="D809" s="1">
        <f t="shared" si="55"/>
        <v>116.71</v>
      </c>
      <c r="E809" s="1">
        <f t="shared" si="55"/>
        <v>122.63</v>
      </c>
      <c r="F809" s="1">
        <f t="shared" si="55"/>
        <v>123.74</v>
      </c>
      <c r="G809" s="3">
        <v>73.16</v>
      </c>
      <c r="H809" s="3">
        <v>77.010000000000005</v>
      </c>
      <c r="I809" s="3">
        <v>76.25</v>
      </c>
      <c r="J809" s="3">
        <v>109.11</v>
      </c>
      <c r="K809" s="3">
        <v>27.8</v>
      </c>
      <c r="L809" s="3">
        <v>78572.33</v>
      </c>
      <c r="M809" s="3">
        <v>67240.800000000003</v>
      </c>
      <c r="N809" s="3">
        <v>11.315</v>
      </c>
      <c r="O809" s="3">
        <v>5.4510000000000003E-2</v>
      </c>
      <c r="P809" s="3">
        <v>2.238</v>
      </c>
      <c r="Q809" s="3">
        <v>107.22</v>
      </c>
      <c r="R809" s="3">
        <v>36.875</v>
      </c>
      <c r="S809" s="3">
        <v>160.05000000000001</v>
      </c>
    </row>
    <row r="810" spans="1:19" ht="14.4" x14ac:dyDescent="0.3">
      <c r="A810" s="2">
        <v>45055</v>
      </c>
      <c r="B810" s="3">
        <v>87.26</v>
      </c>
      <c r="C810" s="3">
        <v>103.26</v>
      </c>
      <c r="D810" s="3">
        <v>116.71</v>
      </c>
      <c r="E810" s="3">
        <v>122.63</v>
      </c>
      <c r="F810" s="3">
        <v>123.74</v>
      </c>
      <c r="G810" s="3">
        <v>73.709999999999994</v>
      </c>
      <c r="H810" s="3">
        <v>77.44</v>
      </c>
      <c r="I810" s="3">
        <v>76.55</v>
      </c>
      <c r="J810" s="3">
        <v>109.14</v>
      </c>
      <c r="K810" s="3">
        <v>28.35</v>
      </c>
      <c r="L810" s="3">
        <v>77776.87</v>
      </c>
      <c r="M810" s="3">
        <v>65670.33</v>
      </c>
      <c r="N810" s="3">
        <v>11.24</v>
      </c>
      <c r="O810" s="3">
        <v>5.3539999999999997E-2</v>
      </c>
      <c r="P810" s="3">
        <v>2.2669999999999999</v>
      </c>
      <c r="Q810" s="3">
        <v>106.21</v>
      </c>
      <c r="R810" s="3">
        <v>35.950000000000003</v>
      </c>
      <c r="S810" s="3">
        <v>160.4</v>
      </c>
    </row>
    <row r="811" spans="1:19" ht="14.4" x14ac:dyDescent="0.3">
      <c r="A811" s="2">
        <v>45056</v>
      </c>
      <c r="B811" s="3">
        <v>87.26</v>
      </c>
      <c r="C811" s="3">
        <v>103.26</v>
      </c>
      <c r="D811" s="3">
        <v>116.71</v>
      </c>
      <c r="E811" s="3">
        <v>122.63</v>
      </c>
      <c r="F811" s="3">
        <v>123.74</v>
      </c>
      <c r="G811" s="3">
        <v>72.56</v>
      </c>
      <c r="H811" s="3">
        <v>76.41</v>
      </c>
      <c r="I811" s="3">
        <v>75.64</v>
      </c>
      <c r="J811" s="3">
        <v>107.74</v>
      </c>
      <c r="K811" s="3">
        <v>28</v>
      </c>
      <c r="L811" s="3">
        <v>77775.02</v>
      </c>
      <c r="M811" s="3">
        <v>65114.3</v>
      </c>
      <c r="N811" s="3">
        <v>11.21</v>
      </c>
      <c r="O811" s="3">
        <v>5.296E-2</v>
      </c>
      <c r="P811" s="3">
        <v>2.1909999999999998</v>
      </c>
      <c r="Q811" s="3">
        <v>108.49</v>
      </c>
      <c r="R811" s="3">
        <v>34.994999999999997</v>
      </c>
      <c r="S811" s="3">
        <v>161.80000000000001</v>
      </c>
    </row>
    <row r="812" spans="1:19" ht="14.4" x14ac:dyDescent="0.3">
      <c r="A812" s="2">
        <v>45057</v>
      </c>
      <c r="B812" s="3">
        <v>87.26</v>
      </c>
      <c r="C812" s="3">
        <v>103.26</v>
      </c>
      <c r="D812" s="3">
        <v>116.71</v>
      </c>
      <c r="E812" s="3">
        <v>122.63</v>
      </c>
      <c r="F812" s="3">
        <v>123.74</v>
      </c>
      <c r="G812" s="3">
        <v>70.87</v>
      </c>
      <c r="H812" s="3">
        <v>74.98</v>
      </c>
      <c r="I812" s="3">
        <v>74.739999999999995</v>
      </c>
      <c r="J812" s="3">
        <v>105.79</v>
      </c>
      <c r="K812" s="3">
        <v>27.95</v>
      </c>
      <c r="L812" s="3">
        <v>76997.16</v>
      </c>
      <c r="M812" s="3">
        <v>63826.74</v>
      </c>
      <c r="N812" s="3">
        <v>11.16</v>
      </c>
      <c r="O812" s="3">
        <v>5.2049999999999999E-2</v>
      </c>
      <c r="P812" s="3">
        <v>2.3450000000000002</v>
      </c>
      <c r="Q812" s="3">
        <v>108.21</v>
      </c>
      <c r="R812" s="3">
        <v>34.994999999999997</v>
      </c>
      <c r="S812" s="3">
        <v>162.55000000000001</v>
      </c>
    </row>
    <row r="813" spans="1:19" ht="14.4" x14ac:dyDescent="0.3">
      <c r="A813" s="2">
        <v>45058</v>
      </c>
      <c r="B813" s="3">
        <v>78.209999999999994</v>
      </c>
      <c r="C813" s="3">
        <v>97.07</v>
      </c>
      <c r="D813" s="3">
        <v>104.98</v>
      </c>
      <c r="E813" s="3">
        <v>112.03</v>
      </c>
      <c r="F813" s="3">
        <v>116.59</v>
      </c>
      <c r="G813" s="3">
        <v>70.040000000000006</v>
      </c>
      <c r="H813" s="3">
        <v>74.17</v>
      </c>
      <c r="I813" s="3">
        <v>74.010000000000005</v>
      </c>
      <c r="J813" s="3">
        <v>105.78</v>
      </c>
      <c r="K813" s="3">
        <v>27.45</v>
      </c>
      <c r="L813" s="3">
        <v>78330.2</v>
      </c>
      <c r="M813" s="3">
        <v>63964.09</v>
      </c>
      <c r="N813" s="3">
        <v>11.115</v>
      </c>
      <c r="O813" s="3">
        <v>5.1700000000000003E-2</v>
      </c>
      <c r="P813" s="3">
        <v>2.4380000000000002</v>
      </c>
      <c r="Q813" s="3">
        <v>108.59</v>
      </c>
      <c r="R813" s="3">
        <v>32.765000000000001</v>
      </c>
      <c r="S813" s="3">
        <v>158.19999999999999</v>
      </c>
    </row>
    <row r="814" spans="1:19" ht="14.4" x14ac:dyDescent="0.3">
      <c r="A814" s="2">
        <v>45061</v>
      </c>
      <c r="B814" s="3">
        <v>78.209999999999994</v>
      </c>
      <c r="C814" s="3">
        <v>97.07</v>
      </c>
      <c r="D814" s="3">
        <v>104.98</v>
      </c>
      <c r="E814" s="3">
        <v>112.03</v>
      </c>
      <c r="F814" s="3">
        <v>116.59</v>
      </c>
      <c r="G814" s="3">
        <v>71.11</v>
      </c>
      <c r="H814" s="3">
        <v>75.23</v>
      </c>
      <c r="I814" s="3">
        <v>74.540000000000006</v>
      </c>
      <c r="J814" s="3">
        <v>105.07</v>
      </c>
      <c r="K814" s="3">
        <v>27.65</v>
      </c>
      <c r="L814" s="3">
        <v>78261.649999999994</v>
      </c>
      <c r="M814" s="3">
        <v>63510.62</v>
      </c>
      <c r="N814" s="3">
        <v>11.048999999999999</v>
      </c>
      <c r="O814" s="3">
        <v>5.2519999999999997E-2</v>
      </c>
      <c r="P814" s="3">
        <v>2.375</v>
      </c>
      <c r="Q814" s="3">
        <v>109.86</v>
      </c>
      <c r="R814" s="3">
        <v>32.314999999999998</v>
      </c>
      <c r="S814" s="3">
        <v>155.80000000000001</v>
      </c>
    </row>
    <row r="815" spans="1:19" ht="14.4" x14ac:dyDescent="0.3">
      <c r="A815" s="2">
        <v>45062</v>
      </c>
      <c r="B815" s="3">
        <v>78.209999999999994</v>
      </c>
      <c r="C815" s="3">
        <v>97.07</v>
      </c>
      <c r="D815" s="3">
        <v>104.98</v>
      </c>
      <c r="E815" s="3">
        <v>112.03</v>
      </c>
      <c r="F815" s="3">
        <v>116.59</v>
      </c>
      <c r="G815" s="3">
        <v>70.86</v>
      </c>
      <c r="H815" s="3">
        <v>74.91</v>
      </c>
      <c r="I815" s="3">
        <v>74.42</v>
      </c>
      <c r="J815" s="3">
        <v>102.52</v>
      </c>
      <c r="K815" s="3">
        <v>27.85</v>
      </c>
      <c r="L815" s="3">
        <v>77973.02</v>
      </c>
      <c r="M815" s="3">
        <v>62925.15</v>
      </c>
      <c r="N815" s="3">
        <v>9.8550000000000004</v>
      </c>
      <c r="O815" s="3">
        <v>5.2420000000000001E-2</v>
      </c>
      <c r="P815" s="3">
        <v>2.3759999999999999</v>
      </c>
      <c r="Q815" s="3">
        <v>109</v>
      </c>
      <c r="R815" s="3">
        <v>31.82</v>
      </c>
      <c r="S815" s="3">
        <v>159.19999999999999</v>
      </c>
    </row>
    <row r="816" spans="1:19" ht="14.4" x14ac:dyDescent="0.3">
      <c r="A816" s="2">
        <v>45063</v>
      </c>
      <c r="B816" s="3">
        <v>78.209999999999994</v>
      </c>
      <c r="C816" s="3">
        <v>97.07</v>
      </c>
      <c r="D816" s="3">
        <v>104.98</v>
      </c>
      <c r="E816" s="3">
        <v>112.03</v>
      </c>
      <c r="F816" s="3">
        <v>116.59</v>
      </c>
      <c r="G816" s="3">
        <v>72.83</v>
      </c>
      <c r="H816" s="3">
        <v>76.959999999999994</v>
      </c>
      <c r="I816" s="3">
        <v>75.180000000000007</v>
      </c>
      <c r="J816" s="3">
        <v>104.82</v>
      </c>
      <c r="K816" s="3">
        <v>27.3</v>
      </c>
      <c r="L816" s="3">
        <v>78390.740000000005</v>
      </c>
      <c r="M816" s="3">
        <v>63094.6</v>
      </c>
      <c r="N816" s="3">
        <v>9.9450000000000003</v>
      </c>
      <c r="O816" s="3">
        <v>5.1929999999999997E-2</v>
      </c>
      <c r="P816" s="3">
        <v>2.3650000000000002</v>
      </c>
      <c r="Q816" s="3">
        <v>108.6</v>
      </c>
      <c r="R816" s="3">
        <v>31.954999999999998</v>
      </c>
      <c r="S816" s="3">
        <v>159.35</v>
      </c>
    </row>
    <row r="817" spans="1:19" ht="14.4" x14ac:dyDescent="0.3">
      <c r="A817" s="2">
        <v>45064</v>
      </c>
      <c r="B817" s="3">
        <v>78.209999999999994</v>
      </c>
      <c r="C817" s="3">
        <v>97.07</v>
      </c>
      <c r="D817" s="3">
        <v>104.98</v>
      </c>
      <c r="E817" s="3">
        <v>112.03</v>
      </c>
      <c r="F817" s="3">
        <v>116.59</v>
      </c>
      <c r="G817" s="3">
        <v>71.86</v>
      </c>
      <c r="H817" s="3">
        <v>75.86</v>
      </c>
      <c r="I817" s="3">
        <v>74.760000000000005</v>
      </c>
      <c r="J817" s="3">
        <v>105.77</v>
      </c>
      <c r="K817" s="3">
        <v>27.7</v>
      </c>
      <c r="L817" s="3">
        <v>77667.960000000006</v>
      </c>
      <c r="M817" s="3">
        <v>61580.63</v>
      </c>
      <c r="N817" s="3">
        <v>9.7149999999999999</v>
      </c>
      <c r="O817" s="3">
        <v>5.1679999999999997E-2</v>
      </c>
      <c r="P817" s="3">
        <v>2.5920000000000001</v>
      </c>
      <c r="Q817" s="3">
        <v>108.55</v>
      </c>
      <c r="R817" s="3">
        <v>29.785</v>
      </c>
      <c r="S817" s="3">
        <v>159.1</v>
      </c>
    </row>
    <row r="818" spans="1:19" ht="14.4" x14ac:dyDescent="0.3">
      <c r="A818" s="2">
        <v>45065</v>
      </c>
      <c r="B818" s="3">
        <v>71.959999999999994</v>
      </c>
      <c r="C818" s="3">
        <v>87.11</v>
      </c>
      <c r="D818" s="3">
        <v>97.31</v>
      </c>
      <c r="E818" s="3">
        <v>103.98</v>
      </c>
      <c r="F818" s="3">
        <v>108.14</v>
      </c>
      <c r="G818" s="3">
        <v>71.55</v>
      </c>
      <c r="H818" s="3">
        <v>75.58</v>
      </c>
      <c r="I818" s="3">
        <v>74.61</v>
      </c>
      <c r="J818" s="3">
        <v>106.26</v>
      </c>
      <c r="K818" s="3">
        <v>27.6</v>
      </c>
      <c r="L818" s="3">
        <v>78175.820000000007</v>
      </c>
      <c r="M818" s="3">
        <v>61971.360000000001</v>
      </c>
      <c r="N818" s="3">
        <v>9.84</v>
      </c>
      <c r="O818" s="3">
        <v>5.1450000000000003E-2</v>
      </c>
      <c r="P818" s="3">
        <v>2.585</v>
      </c>
      <c r="Q818" s="3">
        <v>108.03</v>
      </c>
      <c r="R818" s="3">
        <v>30.175000000000001</v>
      </c>
      <c r="S818" s="3">
        <v>158.94999999999999</v>
      </c>
    </row>
    <row r="819" spans="1:19" ht="14.4" x14ac:dyDescent="0.3">
      <c r="A819" s="2">
        <v>45068</v>
      </c>
      <c r="B819" s="3">
        <v>71.959999999999994</v>
      </c>
      <c r="C819" s="3">
        <v>87.11</v>
      </c>
      <c r="D819" s="3">
        <v>97.31</v>
      </c>
      <c r="E819" s="3">
        <v>103.98</v>
      </c>
      <c r="F819" s="3">
        <v>108.14</v>
      </c>
      <c r="G819" s="3">
        <v>71.989999999999995</v>
      </c>
      <c r="H819" s="3">
        <v>75.989999999999995</v>
      </c>
      <c r="I819" s="3">
        <v>74.77</v>
      </c>
      <c r="J819" s="3">
        <v>104.97</v>
      </c>
      <c r="K819" s="3">
        <v>27.6</v>
      </c>
      <c r="L819" s="3">
        <v>77962.73</v>
      </c>
      <c r="M819" s="3">
        <v>62173.75</v>
      </c>
      <c r="N819" s="3">
        <v>9.7550000000000008</v>
      </c>
      <c r="O819" s="3">
        <v>5.1990000000000001E-2</v>
      </c>
      <c r="P819" s="3">
        <v>2.4</v>
      </c>
      <c r="Q819" s="3">
        <v>109.18</v>
      </c>
      <c r="R819" s="3">
        <v>29.71</v>
      </c>
      <c r="S819" s="3">
        <v>155.65</v>
      </c>
    </row>
    <row r="820" spans="1:19" ht="14.4" x14ac:dyDescent="0.3">
      <c r="A820" s="2">
        <v>45069</v>
      </c>
      <c r="B820" s="3">
        <v>71.959999999999994</v>
      </c>
      <c r="C820" s="3">
        <v>87.11</v>
      </c>
      <c r="D820" s="3">
        <v>97.31</v>
      </c>
      <c r="E820" s="3">
        <v>103.98</v>
      </c>
      <c r="F820" s="3">
        <v>108.14</v>
      </c>
      <c r="G820" s="3">
        <v>72.91</v>
      </c>
      <c r="H820" s="3">
        <v>76.84</v>
      </c>
      <c r="I820" s="3">
        <v>74.989999999999995</v>
      </c>
      <c r="J820" s="3">
        <v>106.4</v>
      </c>
      <c r="K820" s="3">
        <v>27.6</v>
      </c>
      <c r="L820" s="3">
        <v>76748.27</v>
      </c>
      <c r="M820" s="3">
        <v>60805.46</v>
      </c>
      <c r="N820" s="3">
        <v>9.7349999999999994</v>
      </c>
      <c r="O820" s="3">
        <v>5.2049999999999999E-2</v>
      </c>
      <c r="P820" s="3">
        <v>2.3210000000000002</v>
      </c>
      <c r="Q820" s="3">
        <v>107.89</v>
      </c>
      <c r="R820" s="3">
        <v>29.125</v>
      </c>
      <c r="S820" s="3">
        <v>156.65</v>
      </c>
    </row>
    <row r="821" spans="1:19" ht="14.4" x14ac:dyDescent="0.3">
      <c r="A821" s="2">
        <v>45070</v>
      </c>
      <c r="B821" s="3">
        <v>71.959999999999994</v>
      </c>
      <c r="C821" s="3">
        <v>87.11</v>
      </c>
      <c r="D821" s="3">
        <v>97.31</v>
      </c>
      <c r="E821" s="3">
        <v>103.98</v>
      </c>
      <c r="F821" s="3">
        <v>108.14</v>
      </c>
      <c r="G821" s="3">
        <v>74.34</v>
      </c>
      <c r="H821" s="3">
        <v>78.36</v>
      </c>
      <c r="I821" s="3">
        <v>75.41</v>
      </c>
      <c r="J821" s="3">
        <v>107.59</v>
      </c>
      <c r="K821" s="3">
        <v>27.35</v>
      </c>
      <c r="L821" s="3">
        <v>75621.899999999994</v>
      </c>
      <c r="M821" s="3">
        <v>59997.56</v>
      </c>
      <c r="N821" s="3">
        <v>9.58</v>
      </c>
      <c r="O821" s="3">
        <v>5.194E-2</v>
      </c>
      <c r="P821" s="3">
        <v>2.3980000000000001</v>
      </c>
      <c r="Q821" s="3">
        <v>106.58</v>
      </c>
      <c r="R821" s="3">
        <v>27.785</v>
      </c>
      <c r="S821" s="3">
        <v>155.75</v>
      </c>
    </row>
    <row r="822" spans="1:19" ht="14.4" x14ac:dyDescent="0.3">
      <c r="A822" s="2">
        <v>45071</v>
      </c>
      <c r="B822" s="3">
        <v>71.959999999999994</v>
      </c>
      <c r="C822" s="3">
        <v>87.11</v>
      </c>
      <c r="D822" s="3">
        <v>97.31</v>
      </c>
      <c r="E822" s="3">
        <v>103.98</v>
      </c>
      <c r="F822" s="3">
        <v>108.14</v>
      </c>
      <c r="G822" s="3">
        <v>71.83</v>
      </c>
      <c r="H822" s="3">
        <v>76.260000000000005</v>
      </c>
      <c r="I822" s="3">
        <v>75</v>
      </c>
      <c r="J822" s="3">
        <v>105.66</v>
      </c>
      <c r="K822" s="3">
        <v>26.85</v>
      </c>
      <c r="L822" s="3">
        <v>76174.61</v>
      </c>
      <c r="M822" s="3">
        <v>60139.72</v>
      </c>
      <c r="N822" s="3">
        <v>9.35</v>
      </c>
      <c r="O822" s="3">
        <v>5.0470000000000001E-2</v>
      </c>
      <c r="P822" s="3">
        <v>2.3069999999999999</v>
      </c>
      <c r="Q822" s="3">
        <v>105.11</v>
      </c>
      <c r="R822" s="3">
        <v>25.45</v>
      </c>
      <c r="S822" s="3">
        <v>155.5</v>
      </c>
    </row>
    <row r="823" spans="1:19" ht="14.4" x14ac:dyDescent="0.3">
      <c r="A823" s="2">
        <v>45072</v>
      </c>
      <c r="B823" s="3">
        <v>71.12</v>
      </c>
      <c r="C823" s="3">
        <v>86.39</v>
      </c>
      <c r="D823" s="3">
        <v>98.43</v>
      </c>
      <c r="E823" s="3">
        <v>104.24</v>
      </c>
      <c r="F823" s="3">
        <v>104.4</v>
      </c>
      <c r="G823" s="3">
        <v>72.67</v>
      </c>
      <c r="H823" s="3">
        <v>76.95</v>
      </c>
      <c r="I823" s="3">
        <v>75.14</v>
      </c>
      <c r="J823" s="3">
        <v>104.97</v>
      </c>
      <c r="K823" s="5">
        <f>FORECAST(A823,K817:K822,A817:A822)</f>
        <v>27.095922746781071</v>
      </c>
      <c r="L823" s="3">
        <v>76589.539999999994</v>
      </c>
      <c r="M823" s="3">
        <v>59448.79</v>
      </c>
      <c r="N823" s="3">
        <v>9.2349999999999994</v>
      </c>
      <c r="O823" s="3">
        <v>5.0880000000000002E-2</v>
      </c>
      <c r="P823" s="3">
        <v>2.181</v>
      </c>
      <c r="Q823" s="3">
        <v>105.16</v>
      </c>
      <c r="R823" s="3">
        <v>24.52</v>
      </c>
      <c r="S823" s="3">
        <v>155.80000000000001</v>
      </c>
    </row>
    <row r="824" spans="1:19" ht="14.4" x14ac:dyDescent="0.3">
      <c r="A824" s="2">
        <v>45075</v>
      </c>
      <c r="B824" s="1">
        <f t="shared" ref="B824:F824" si="56">B823</f>
        <v>71.12</v>
      </c>
      <c r="C824" s="1">
        <f t="shared" si="56"/>
        <v>86.39</v>
      </c>
      <c r="D824" s="1">
        <f t="shared" si="56"/>
        <v>98.43</v>
      </c>
      <c r="E824" s="1">
        <f t="shared" si="56"/>
        <v>104.24</v>
      </c>
      <c r="F824" s="1">
        <f t="shared" si="56"/>
        <v>104.4</v>
      </c>
      <c r="G824" s="3">
        <v>72.87</v>
      </c>
      <c r="H824" s="3">
        <v>77.069999999999993</v>
      </c>
      <c r="I824" s="1">
        <f>(I823+I825)/2</f>
        <v>75.045000000000002</v>
      </c>
      <c r="J824" s="1">
        <f>(J823+J825)/2</f>
        <v>104.505</v>
      </c>
      <c r="K824" s="3">
        <v>26.15</v>
      </c>
      <c r="L824" s="3">
        <v>76613.350000000006</v>
      </c>
      <c r="M824" s="3">
        <v>59522.35</v>
      </c>
      <c r="N824" s="5">
        <f>FORECAST(A824,N818:N823,A818:A823)</f>
        <v>9.0693243243240431</v>
      </c>
      <c r="O824" s="3">
        <v>5.0790000000000002E-2</v>
      </c>
      <c r="P824" s="3">
        <v>2.3490000000000002</v>
      </c>
      <c r="Q824" s="1">
        <f>AVERAGE(Q823,Q825)</f>
        <v>104.78</v>
      </c>
      <c r="R824" s="5">
        <f>AVERAGE(R823,R825)</f>
        <v>24.6005</v>
      </c>
      <c r="S824" s="3">
        <v>155.1</v>
      </c>
    </row>
    <row r="825" spans="1:19" ht="14.4" x14ac:dyDescent="0.3">
      <c r="A825" s="2">
        <v>45076</v>
      </c>
      <c r="B825" s="3">
        <v>71.12</v>
      </c>
      <c r="C825" s="3">
        <v>86.39</v>
      </c>
      <c r="D825" s="3">
        <v>98.43</v>
      </c>
      <c r="E825" s="3">
        <v>104.24</v>
      </c>
      <c r="F825" s="3">
        <v>104.4</v>
      </c>
      <c r="G825" s="3">
        <v>69.459999999999994</v>
      </c>
      <c r="H825" s="3">
        <v>73.540000000000006</v>
      </c>
      <c r="I825" s="3">
        <v>74.95</v>
      </c>
      <c r="J825" s="3">
        <v>104.04</v>
      </c>
      <c r="K825" s="3">
        <v>25.9</v>
      </c>
      <c r="L825" s="3">
        <v>75939.460000000006</v>
      </c>
      <c r="M825" s="3">
        <v>59464.24</v>
      </c>
      <c r="N825" s="3">
        <v>9.3650000000000002</v>
      </c>
      <c r="O825" s="3">
        <v>5.074E-2</v>
      </c>
      <c r="P825" s="3">
        <v>2.327</v>
      </c>
      <c r="Q825" s="3">
        <v>104.4</v>
      </c>
      <c r="R825" s="3">
        <v>24.681000000000001</v>
      </c>
      <c r="S825" s="3">
        <v>153.69999999999999</v>
      </c>
    </row>
    <row r="826" spans="1:19" ht="14.4" x14ac:dyDescent="0.3">
      <c r="A826" s="2">
        <v>45077</v>
      </c>
      <c r="B826" s="3">
        <v>71.12</v>
      </c>
      <c r="C826" s="3">
        <v>86.39</v>
      </c>
      <c r="D826" s="3">
        <v>98.43</v>
      </c>
      <c r="E826" s="3">
        <v>104.24</v>
      </c>
      <c r="F826" s="3">
        <v>104.4</v>
      </c>
      <c r="G826" s="3">
        <v>68.09</v>
      </c>
      <c r="H826" s="3">
        <v>72.66</v>
      </c>
      <c r="I826" s="3">
        <v>74.930000000000007</v>
      </c>
      <c r="J826" s="3">
        <v>102.18</v>
      </c>
      <c r="K826" s="3">
        <v>24.75</v>
      </c>
      <c r="L826" s="3">
        <v>75067.47</v>
      </c>
      <c r="M826" s="3">
        <v>61311</v>
      </c>
      <c r="N826" s="3">
        <v>9.2850000000000001</v>
      </c>
      <c r="O826" s="3">
        <v>5.0689999999999999E-2</v>
      </c>
      <c r="P826" s="3">
        <v>2.266</v>
      </c>
      <c r="Q826" s="3">
        <v>105.95</v>
      </c>
      <c r="R826" s="3">
        <v>26.85</v>
      </c>
      <c r="S826" s="3">
        <v>153</v>
      </c>
    </row>
    <row r="827" spans="1:19" ht="14.4" x14ac:dyDescent="0.3">
      <c r="A827" s="2">
        <v>45078</v>
      </c>
      <c r="B827" s="3">
        <v>71.12</v>
      </c>
      <c r="C827" s="3">
        <v>86.39</v>
      </c>
      <c r="D827" s="3">
        <v>98.43</v>
      </c>
      <c r="E827" s="3">
        <v>104.24</v>
      </c>
      <c r="F827" s="3">
        <v>104.4</v>
      </c>
      <c r="G827" s="3">
        <v>70.099999999999994</v>
      </c>
      <c r="H827" s="3">
        <v>74.28</v>
      </c>
      <c r="I827" s="3">
        <v>72.75</v>
      </c>
      <c r="J827" s="3">
        <v>103.36</v>
      </c>
      <c r="K827" s="3">
        <v>24.45</v>
      </c>
      <c r="L827" s="3">
        <v>75783.25</v>
      </c>
      <c r="M827" s="3">
        <v>62112.46</v>
      </c>
      <c r="N827" s="3">
        <v>9.2650000000000006</v>
      </c>
      <c r="O827" s="3">
        <v>5.0909999999999997E-2</v>
      </c>
      <c r="P827" s="3">
        <v>2.1579999999999999</v>
      </c>
      <c r="Q827" s="3">
        <v>106.37</v>
      </c>
      <c r="R827" s="3">
        <v>23.105</v>
      </c>
      <c r="S827" s="3">
        <v>153.44999999999999</v>
      </c>
    </row>
    <row r="828" spans="1:19" ht="14.4" x14ac:dyDescent="0.3">
      <c r="A828" s="2">
        <v>45079</v>
      </c>
      <c r="B828" s="3">
        <v>67.16</v>
      </c>
      <c r="C828" s="3">
        <v>81.5</v>
      </c>
      <c r="D828" s="3">
        <v>92.15</v>
      </c>
      <c r="E828" s="3">
        <v>96.72</v>
      </c>
      <c r="F828" s="3">
        <v>101.01</v>
      </c>
      <c r="G828" s="3">
        <v>71.739999999999995</v>
      </c>
      <c r="H828" s="3">
        <v>76.13</v>
      </c>
      <c r="I828" s="3">
        <v>74.41</v>
      </c>
      <c r="J828" s="3">
        <v>105.76</v>
      </c>
      <c r="K828" s="3">
        <v>25.4</v>
      </c>
      <c r="L828" s="3">
        <v>77126.06</v>
      </c>
      <c r="M828" s="3">
        <v>61928.11</v>
      </c>
      <c r="N828" s="3">
        <v>9.2850000000000001</v>
      </c>
      <c r="O828" s="3">
        <v>5.1220000000000002E-2</v>
      </c>
      <c r="P828" s="3">
        <v>2.1720000000000002</v>
      </c>
      <c r="Q828" s="3">
        <v>107.98</v>
      </c>
      <c r="R828" s="3">
        <v>23.69</v>
      </c>
      <c r="S828" s="3">
        <v>152.75</v>
      </c>
    </row>
    <row r="829" spans="1:19" ht="14.4" x14ac:dyDescent="0.3">
      <c r="A829" s="2">
        <v>45082</v>
      </c>
      <c r="B829" s="3">
        <v>67.16</v>
      </c>
      <c r="C829" s="3">
        <v>81.5</v>
      </c>
      <c r="D829" s="3">
        <v>92.15</v>
      </c>
      <c r="E829" s="3">
        <v>96.72</v>
      </c>
      <c r="F829" s="3">
        <v>101.01</v>
      </c>
      <c r="G829" s="3">
        <v>72.150000000000006</v>
      </c>
      <c r="H829" s="3">
        <v>76.709999999999994</v>
      </c>
      <c r="I829" s="3">
        <v>75.14</v>
      </c>
      <c r="J829" s="3">
        <v>105.29</v>
      </c>
      <c r="K829" s="3">
        <v>25.4</v>
      </c>
      <c r="L829" s="3">
        <v>76602.84</v>
      </c>
      <c r="M829" s="3">
        <v>61209.82</v>
      </c>
      <c r="N829" s="3">
        <v>9.2650000000000006</v>
      </c>
      <c r="O829" s="3">
        <v>5.185E-2</v>
      </c>
      <c r="P829" s="3">
        <v>2.2450000000000001</v>
      </c>
      <c r="Q829" s="3">
        <v>108.32</v>
      </c>
      <c r="R829" s="3">
        <v>28.48</v>
      </c>
      <c r="S829" s="3">
        <v>153.19999999999999</v>
      </c>
    </row>
    <row r="830" spans="1:19" ht="14.4" x14ac:dyDescent="0.3">
      <c r="A830" s="2">
        <v>45083</v>
      </c>
      <c r="B830" s="3">
        <v>67.16</v>
      </c>
      <c r="C830" s="3">
        <v>81.5</v>
      </c>
      <c r="D830" s="3">
        <v>92.15</v>
      </c>
      <c r="E830" s="3">
        <v>96.72</v>
      </c>
      <c r="F830" s="3">
        <v>101.01</v>
      </c>
      <c r="G830" s="3">
        <v>71.739999999999995</v>
      </c>
      <c r="H830" s="3">
        <v>76.290000000000006</v>
      </c>
      <c r="I830" s="3">
        <v>75.5</v>
      </c>
      <c r="J830" s="3">
        <v>106.15</v>
      </c>
      <c r="K830" s="3">
        <v>25.7</v>
      </c>
      <c r="L830" s="3">
        <v>76840.11</v>
      </c>
      <c r="M830" s="3">
        <v>60582.23</v>
      </c>
      <c r="N830" s="3">
        <v>9.2100000000000009</v>
      </c>
      <c r="O830" s="3">
        <v>5.2049999999999999E-2</v>
      </c>
      <c r="P830" s="3">
        <v>2.262</v>
      </c>
      <c r="Q830" s="3">
        <v>108.44</v>
      </c>
      <c r="R830" s="3">
        <v>24.86</v>
      </c>
      <c r="S830" s="3">
        <v>147.19999999999999</v>
      </c>
    </row>
    <row r="831" spans="1:19" ht="14.4" x14ac:dyDescent="0.3">
      <c r="A831" s="2">
        <v>45084</v>
      </c>
      <c r="B831" s="3">
        <v>67.16</v>
      </c>
      <c r="C831" s="3">
        <v>81.5</v>
      </c>
      <c r="D831" s="3">
        <v>92.15</v>
      </c>
      <c r="E831" s="3">
        <v>96.72</v>
      </c>
      <c r="F831" s="3">
        <v>101.01</v>
      </c>
      <c r="G831" s="3">
        <v>72.53</v>
      </c>
      <c r="H831" s="3">
        <v>76.95</v>
      </c>
      <c r="I831" s="3">
        <v>75.83</v>
      </c>
      <c r="J831" s="3">
        <v>108.53</v>
      </c>
      <c r="K831" s="3">
        <v>25.75</v>
      </c>
      <c r="L831" s="3">
        <v>77125.850000000006</v>
      </c>
      <c r="M831" s="3">
        <v>61614.78</v>
      </c>
      <c r="N831" s="3">
        <v>9.2349999999999994</v>
      </c>
      <c r="O831" s="3">
        <v>5.2359999999999997E-2</v>
      </c>
      <c r="P831" s="3">
        <v>2.3290000000000002</v>
      </c>
      <c r="Q831" s="3">
        <v>108.32</v>
      </c>
      <c r="R831" s="3">
        <v>26.33</v>
      </c>
      <c r="S831" s="3">
        <v>148.69999999999999</v>
      </c>
    </row>
    <row r="832" spans="1:19" ht="14.4" x14ac:dyDescent="0.3">
      <c r="A832" s="2">
        <v>45085</v>
      </c>
      <c r="B832" s="3">
        <v>67.16</v>
      </c>
      <c r="C832" s="3">
        <v>81.5</v>
      </c>
      <c r="D832" s="3">
        <v>92.15</v>
      </c>
      <c r="E832" s="3">
        <v>96.72</v>
      </c>
      <c r="F832" s="3">
        <v>101.01</v>
      </c>
      <c r="G832" s="3">
        <v>71.290000000000006</v>
      </c>
      <c r="H832" s="3">
        <v>75.959999999999994</v>
      </c>
      <c r="I832" s="3">
        <v>75.2</v>
      </c>
      <c r="J832" s="3">
        <v>108.19</v>
      </c>
      <c r="K832" s="3">
        <v>26.15</v>
      </c>
      <c r="L832" s="3">
        <v>77015.210000000006</v>
      </c>
      <c r="M832" s="3">
        <v>59923.67</v>
      </c>
      <c r="N832" s="3">
        <v>9.2100000000000009</v>
      </c>
      <c r="O832" s="3">
        <v>5.305E-2</v>
      </c>
      <c r="P832" s="3">
        <v>2.3519999999999999</v>
      </c>
      <c r="Q832" s="3">
        <v>110.6</v>
      </c>
      <c r="R832" s="3">
        <v>26.945</v>
      </c>
      <c r="S832" s="3">
        <v>136.44999999999999</v>
      </c>
    </row>
    <row r="833" spans="1:19" ht="14.4" x14ac:dyDescent="0.3">
      <c r="A833" s="2">
        <v>45086</v>
      </c>
      <c r="B833" s="3">
        <v>71.06</v>
      </c>
      <c r="C833" s="3">
        <v>85.96</v>
      </c>
      <c r="D833" s="3">
        <v>97.6</v>
      </c>
      <c r="E833" s="3">
        <v>100.6</v>
      </c>
      <c r="F833" s="3">
        <v>99.36</v>
      </c>
      <c r="G833" s="3">
        <v>70.17</v>
      </c>
      <c r="H833" s="3">
        <v>74.790000000000006</v>
      </c>
      <c r="I833" s="3">
        <v>74.38</v>
      </c>
      <c r="J833" s="3">
        <v>107.39</v>
      </c>
      <c r="K833" s="3">
        <v>26.05</v>
      </c>
      <c r="L833" s="3">
        <v>76936.11</v>
      </c>
      <c r="M833" s="3">
        <v>58779.97</v>
      </c>
      <c r="N833" s="3">
        <v>9.25</v>
      </c>
      <c r="O833" s="3">
        <v>5.3370000000000001E-2</v>
      </c>
      <c r="P833" s="3">
        <v>2.254</v>
      </c>
      <c r="Q833" s="3">
        <v>109.96</v>
      </c>
      <c r="R833" s="3">
        <v>32.049999999999997</v>
      </c>
      <c r="S833" s="3">
        <v>122.6</v>
      </c>
    </row>
    <row r="834" spans="1:19" ht="14.4" x14ac:dyDescent="0.3">
      <c r="A834" s="2">
        <v>45089</v>
      </c>
      <c r="B834" s="3">
        <v>71.06</v>
      </c>
      <c r="C834" s="3">
        <v>85.96</v>
      </c>
      <c r="D834" s="3">
        <v>97.6</v>
      </c>
      <c r="E834" s="3">
        <v>100.6</v>
      </c>
      <c r="F834" s="3">
        <v>99.36</v>
      </c>
      <c r="G834" s="3">
        <v>67.12</v>
      </c>
      <c r="H834" s="3">
        <v>71.84</v>
      </c>
      <c r="I834" s="3">
        <v>72.41</v>
      </c>
      <c r="J834" s="3">
        <v>106.42</v>
      </c>
      <c r="K834" s="3">
        <v>26.3</v>
      </c>
      <c r="L834" s="3">
        <v>76282.13</v>
      </c>
      <c r="M834" s="3">
        <v>57310.44</v>
      </c>
      <c r="N834" s="3">
        <v>9.2650000000000006</v>
      </c>
      <c r="O834" s="3">
        <v>5.3839999999999999E-2</v>
      </c>
      <c r="P834" s="3">
        <v>2.266</v>
      </c>
      <c r="Q834" s="3">
        <v>108.5</v>
      </c>
      <c r="R834" s="3">
        <v>31.035</v>
      </c>
      <c r="S834" s="3">
        <v>123.6</v>
      </c>
    </row>
    <row r="835" spans="1:19" ht="14.4" x14ac:dyDescent="0.3">
      <c r="A835" s="2">
        <v>45090</v>
      </c>
      <c r="B835" s="3">
        <v>71.06</v>
      </c>
      <c r="C835" s="3">
        <v>85.96</v>
      </c>
      <c r="D835" s="3">
        <v>97.6</v>
      </c>
      <c r="E835" s="3">
        <v>100.6</v>
      </c>
      <c r="F835" s="3">
        <v>99.36</v>
      </c>
      <c r="G835" s="3">
        <v>69.42</v>
      </c>
      <c r="H835" s="3">
        <v>74.290000000000006</v>
      </c>
      <c r="I835" s="3">
        <v>73.89</v>
      </c>
      <c r="J835" s="3">
        <v>106.44</v>
      </c>
      <c r="K835" s="3">
        <v>26.15</v>
      </c>
      <c r="L835" s="3">
        <v>77827.73</v>
      </c>
      <c r="M835" s="3">
        <v>58094.7</v>
      </c>
      <c r="N835" s="3">
        <v>9.3000000000000007</v>
      </c>
      <c r="O835" s="3">
        <v>5.3670000000000002E-2</v>
      </c>
      <c r="P835" s="3">
        <v>2.34</v>
      </c>
      <c r="Q835" s="3">
        <v>108.99</v>
      </c>
      <c r="R835" s="3">
        <v>36.049999999999997</v>
      </c>
      <c r="S835" s="3">
        <v>125.15</v>
      </c>
    </row>
    <row r="836" spans="1:19" ht="14.4" x14ac:dyDescent="0.3">
      <c r="A836" s="2">
        <v>45091</v>
      </c>
      <c r="B836" s="3">
        <v>71.06</v>
      </c>
      <c r="C836" s="3">
        <v>85.96</v>
      </c>
      <c r="D836" s="3">
        <v>97.6</v>
      </c>
      <c r="E836" s="3">
        <v>100.6</v>
      </c>
      <c r="F836" s="3">
        <v>99.36</v>
      </c>
      <c r="G836" s="3">
        <v>68.27</v>
      </c>
      <c r="H836" s="3">
        <v>73.2</v>
      </c>
      <c r="I836" s="3">
        <v>73.42</v>
      </c>
      <c r="J836" s="3">
        <v>105.16</v>
      </c>
      <c r="K836" s="3">
        <v>26</v>
      </c>
      <c r="L836" s="3">
        <v>78060.22</v>
      </c>
      <c r="M836" s="3">
        <v>58206</v>
      </c>
      <c r="N836" s="3">
        <v>9.4</v>
      </c>
      <c r="O836" s="3">
        <v>5.4510000000000003E-2</v>
      </c>
      <c r="P836" s="3">
        <v>2.3420000000000001</v>
      </c>
      <c r="Q836" s="3">
        <v>110.67</v>
      </c>
      <c r="R836" s="3">
        <v>38.31</v>
      </c>
      <c r="S836" s="3">
        <v>123.35</v>
      </c>
    </row>
    <row r="837" spans="1:19" ht="14.4" x14ac:dyDescent="0.3">
      <c r="A837" s="2">
        <v>45092</v>
      </c>
      <c r="B837" s="3">
        <v>71.06</v>
      </c>
      <c r="C837" s="3">
        <v>85.96</v>
      </c>
      <c r="D837" s="3">
        <v>97.6</v>
      </c>
      <c r="E837" s="3">
        <v>100.6</v>
      </c>
      <c r="F837" s="3">
        <v>99.36</v>
      </c>
      <c r="G837" s="3">
        <v>70.62</v>
      </c>
      <c r="H837" s="3">
        <v>75.67</v>
      </c>
      <c r="I837" s="3">
        <v>74.69</v>
      </c>
      <c r="J837" s="3">
        <v>105.89</v>
      </c>
      <c r="K837" s="3">
        <v>26.4</v>
      </c>
      <c r="L837" s="3">
        <v>78531.81</v>
      </c>
      <c r="M837" s="3">
        <v>57577.440000000002</v>
      </c>
      <c r="N837" s="3">
        <v>9.5839999999999996</v>
      </c>
      <c r="O837" s="3">
        <v>5.484E-2</v>
      </c>
      <c r="P837" s="3">
        <v>2.5329999999999999</v>
      </c>
      <c r="Q837" s="3">
        <v>112.38</v>
      </c>
      <c r="R837" s="3">
        <v>41.145000000000003</v>
      </c>
      <c r="S837" s="3">
        <v>124.85</v>
      </c>
    </row>
    <row r="838" spans="1:19" ht="14.4" x14ac:dyDescent="0.3">
      <c r="A838" s="2">
        <v>45093</v>
      </c>
      <c r="B838" s="3">
        <v>70.86</v>
      </c>
      <c r="C838" s="3">
        <v>86.93</v>
      </c>
      <c r="D838" s="3">
        <v>100.23</v>
      </c>
      <c r="E838" s="3">
        <v>100.86</v>
      </c>
      <c r="F838" s="3">
        <v>95.63</v>
      </c>
      <c r="G838" s="3">
        <v>71.78</v>
      </c>
      <c r="H838" s="3">
        <v>76.61</v>
      </c>
      <c r="I838" s="3">
        <v>75.2</v>
      </c>
      <c r="J838" s="3">
        <v>105.13</v>
      </c>
      <c r="K838" s="3">
        <v>26.75</v>
      </c>
      <c r="L838" s="5">
        <f>FORECAST(A838,L832:L837,A832:A837)</f>
        <v>78313.08489270322</v>
      </c>
      <c r="M838" s="5">
        <f>FORECAST(A838,M832:M837,A832:A837)</f>
        <v>57190.885021459311</v>
      </c>
      <c r="N838" s="3">
        <v>11.2</v>
      </c>
      <c r="O838" s="3">
        <v>5.4949999999999999E-2</v>
      </c>
      <c r="P838" s="3">
        <v>2.6320000000000001</v>
      </c>
      <c r="Q838" s="3">
        <v>111.68</v>
      </c>
      <c r="R838" s="3">
        <v>35.01</v>
      </c>
      <c r="S838" s="3">
        <v>125.8</v>
      </c>
    </row>
    <row r="839" spans="1:19" ht="14.4" x14ac:dyDescent="0.3">
      <c r="A839" s="2">
        <v>45096</v>
      </c>
      <c r="B839" s="3">
        <v>70.86</v>
      </c>
      <c r="C839" s="3">
        <v>86.93</v>
      </c>
      <c r="D839" s="3">
        <v>100.23</v>
      </c>
      <c r="E839" s="3">
        <v>100.86</v>
      </c>
      <c r="F839" s="3">
        <v>95.63</v>
      </c>
      <c r="G839" s="3">
        <v>71.31</v>
      </c>
      <c r="H839" s="3">
        <v>76.09</v>
      </c>
      <c r="I839" s="1">
        <f>(I838+I840)/2</f>
        <v>75.150000000000006</v>
      </c>
      <c r="J839" s="1">
        <f>(J838+J840)/2</f>
        <v>103.925</v>
      </c>
      <c r="K839" s="3">
        <v>26.7</v>
      </c>
      <c r="L839" s="3">
        <v>78014.350000000006</v>
      </c>
      <c r="M839" s="3">
        <v>57202.7</v>
      </c>
      <c r="N839" s="5">
        <f>FORECAST(A839,N833:N838,A833:A838)</f>
        <v>10.846378378379086</v>
      </c>
      <c r="O839" s="3">
        <v>5.4980000000000001E-2</v>
      </c>
      <c r="P839" s="3">
        <v>2.6429999999999998</v>
      </c>
      <c r="Q839" s="1">
        <f>AVERAGE(Q838,Q840)</f>
        <v>111.92500000000001</v>
      </c>
      <c r="R839" s="5">
        <f>AVERAGE(R838,R840)</f>
        <v>36.86</v>
      </c>
      <c r="S839" s="3">
        <v>128.75</v>
      </c>
    </row>
    <row r="840" spans="1:19" ht="14.4" x14ac:dyDescent="0.3">
      <c r="A840" s="2">
        <v>45097</v>
      </c>
      <c r="B840" s="3">
        <v>70.86</v>
      </c>
      <c r="C840" s="3">
        <v>86.93</v>
      </c>
      <c r="D840" s="3">
        <v>100.23</v>
      </c>
      <c r="E840" s="3">
        <v>100.86</v>
      </c>
      <c r="F840" s="3">
        <v>95.63</v>
      </c>
      <c r="G840" s="3">
        <v>70.5</v>
      </c>
      <c r="H840" s="3">
        <v>75.900000000000006</v>
      </c>
      <c r="I840" s="3">
        <v>75.099999999999994</v>
      </c>
      <c r="J840" s="3">
        <v>102.72</v>
      </c>
      <c r="K840" s="3">
        <v>26.3</v>
      </c>
      <c r="L840" s="3">
        <v>76769.22</v>
      </c>
      <c r="M840" s="3">
        <v>54721.3</v>
      </c>
      <c r="N840" s="3">
        <v>12.74</v>
      </c>
      <c r="O840" s="3">
        <v>5.441E-2</v>
      </c>
      <c r="P840" s="3">
        <v>2.492</v>
      </c>
      <c r="Q840" s="3">
        <v>112.17</v>
      </c>
      <c r="R840" s="3">
        <v>38.71</v>
      </c>
      <c r="S840" s="3">
        <v>130.69999999999999</v>
      </c>
    </row>
    <row r="841" spans="1:19" ht="14.4" x14ac:dyDescent="0.3">
      <c r="A841" s="2">
        <v>45098</v>
      </c>
      <c r="B841" s="3">
        <v>70.86</v>
      </c>
      <c r="C841" s="3">
        <v>86.93</v>
      </c>
      <c r="D841" s="3">
        <v>100.23</v>
      </c>
      <c r="E841" s="3">
        <v>100.86</v>
      </c>
      <c r="F841" s="3">
        <v>95.63</v>
      </c>
      <c r="G841" s="3">
        <v>72.53</v>
      </c>
      <c r="H841" s="3">
        <v>77.12</v>
      </c>
      <c r="I841" s="3">
        <v>75.7</v>
      </c>
      <c r="J841" s="3">
        <v>103.87</v>
      </c>
      <c r="K841" s="3">
        <v>23.6</v>
      </c>
      <c r="L841" s="3">
        <v>75629.88</v>
      </c>
      <c r="M841" s="3">
        <v>53269.08</v>
      </c>
      <c r="N841" s="3">
        <v>12.475</v>
      </c>
      <c r="O841" s="3">
        <v>5.4579999999999997E-2</v>
      </c>
      <c r="P841" s="3">
        <v>2.597</v>
      </c>
      <c r="Q841" s="3">
        <v>111.2</v>
      </c>
      <c r="R841" s="3">
        <v>36.744999999999997</v>
      </c>
      <c r="S841" s="3">
        <v>128.35</v>
      </c>
    </row>
    <row r="842" spans="1:19" ht="14.4" x14ac:dyDescent="0.3">
      <c r="A842" s="2">
        <v>45099</v>
      </c>
      <c r="B842" s="3">
        <v>70.86</v>
      </c>
      <c r="C842" s="3">
        <v>86.93</v>
      </c>
      <c r="D842" s="3">
        <v>100.23</v>
      </c>
      <c r="E842" s="3">
        <v>100.86</v>
      </c>
      <c r="F842" s="3">
        <v>95.63</v>
      </c>
      <c r="G842" s="3">
        <v>69.510000000000005</v>
      </c>
      <c r="H842" s="3">
        <v>74.14</v>
      </c>
      <c r="I842" s="3">
        <v>74.91</v>
      </c>
      <c r="J842" s="3">
        <v>103.3</v>
      </c>
      <c r="K842" s="5">
        <f>FORECAST(A842,K836:K841,A836:A841)</f>
        <v>25.012248995984919</v>
      </c>
      <c r="L842" s="3">
        <v>75105.789999999994</v>
      </c>
      <c r="M842" s="3">
        <v>52192.19</v>
      </c>
      <c r="N842" s="3">
        <v>12.065</v>
      </c>
      <c r="O842" s="3">
        <v>5.3969999999999997E-2</v>
      </c>
      <c r="P842" s="3">
        <v>2.6080000000000001</v>
      </c>
      <c r="Q842" s="3">
        <v>110.68</v>
      </c>
      <c r="R842" s="3">
        <v>34.094999999999999</v>
      </c>
      <c r="S842" s="3">
        <v>126.7</v>
      </c>
    </row>
    <row r="843" spans="1:19" ht="14.4" x14ac:dyDescent="0.3">
      <c r="A843" s="2">
        <v>45100</v>
      </c>
      <c r="B843" s="3">
        <v>70.13</v>
      </c>
      <c r="C843" s="3">
        <v>84.58</v>
      </c>
      <c r="D843" s="3">
        <v>100.69</v>
      </c>
      <c r="E843" s="3">
        <v>99.48</v>
      </c>
      <c r="F843" s="3">
        <v>97.08</v>
      </c>
      <c r="G843" s="3">
        <v>69.16</v>
      </c>
      <c r="H843" s="3">
        <v>73.849999999999994</v>
      </c>
      <c r="I843" s="3">
        <v>74.88</v>
      </c>
      <c r="J843" s="3">
        <v>102.4</v>
      </c>
      <c r="K843" s="3">
        <v>23.05</v>
      </c>
      <c r="L843" s="3">
        <v>74402.899999999994</v>
      </c>
      <c r="M843" s="3">
        <v>52739.92</v>
      </c>
      <c r="N843" s="3">
        <v>11.835000000000001</v>
      </c>
      <c r="O843" s="3">
        <v>5.3449999999999998E-2</v>
      </c>
      <c r="P843" s="3">
        <v>2.7290000000000001</v>
      </c>
      <c r="Q843" s="3">
        <v>111.09</v>
      </c>
      <c r="R843" s="3">
        <v>32.506999999999998</v>
      </c>
      <c r="S843" s="3">
        <v>127.2</v>
      </c>
    </row>
    <row r="844" spans="1:19" ht="14.4" x14ac:dyDescent="0.3">
      <c r="A844" s="2">
        <v>45103</v>
      </c>
      <c r="B844" s="3">
        <v>70.13</v>
      </c>
      <c r="C844" s="3">
        <v>84.58</v>
      </c>
      <c r="D844" s="3">
        <v>100.69</v>
      </c>
      <c r="E844" s="3">
        <v>99.48</v>
      </c>
      <c r="F844" s="3">
        <v>97.08</v>
      </c>
      <c r="G844" s="3">
        <v>69.37</v>
      </c>
      <c r="H844" s="3">
        <v>74.180000000000007</v>
      </c>
      <c r="I844" s="3">
        <v>74.930000000000007</v>
      </c>
      <c r="J844" s="3">
        <v>104.29</v>
      </c>
      <c r="K844" s="3">
        <v>22.9</v>
      </c>
      <c r="L844" s="3">
        <v>74265.039999999994</v>
      </c>
      <c r="M844" s="3">
        <v>52113.04</v>
      </c>
      <c r="N844" s="3">
        <v>11.79</v>
      </c>
      <c r="O844" s="3">
        <v>5.3600000000000002E-2</v>
      </c>
      <c r="P844" s="3">
        <v>2.7909999999999999</v>
      </c>
      <c r="Q844" s="3">
        <v>110.13</v>
      </c>
      <c r="R844" s="3">
        <v>31.975000000000001</v>
      </c>
      <c r="S844" s="3">
        <v>129.44999999999999</v>
      </c>
    </row>
    <row r="845" spans="1:19" ht="14.4" x14ac:dyDescent="0.3">
      <c r="A845" s="2">
        <v>45104</v>
      </c>
      <c r="B845" s="3">
        <v>70.13</v>
      </c>
      <c r="C845" s="3">
        <v>84.58</v>
      </c>
      <c r="D845" s="3">
        <v>100.69</v>
      </c>
      <c r="E845" s="3">
        <v>99.48</v>
      </c>
      <c r="F845" s="3">
        <v>97.08</v>
      </c>
      <c r="G845" s="3">
        <v>67.7</v>
      </c>
      <c r="H845" s="3">
        <v>72.260000000000005</v>
      </c>
      <c r="I845" s="3">
        <v>74.78</v>
      </c>
      <c r="J845" s="3">
        <v>104.55</v>
      </c>
      <c r="K845" s="3">
        <v>23.4</v>
      </c>
      <c r="L845" s="3">
        <v>74543.48</v>
      </c>
      <c r="M845" s="3">
        <v>50472.15</v>
      </c>
      <c r="N845" s="3">
        <v>12.07</v>
      </c>
      <c r="O845" s="3">
        <v>5.3960000000000001E-2</v>
      </c>
      <c r="P845" s="3">
        <v>2.7629999999999999</v>
      </c>
      <c r="Q845" s="3">
        <v>110.87</v>
      </c>
      <c r="R845" s="3">
        <v>34.505000000000003</v>
      </c>
      <c r="S845" s="3">
        <v>128.1</v>
      </c>
    </row>
    <row r="846" spans="1:19" ht="14.4" x14ac:dyDescent="0.3">
      <c r="A846" s="2">
        <v>45105</v>
      </c>
      <c r="B846" s="3">
        <v>70.13</v>
      </c>
      <c r="C846" s="3">
        <v>84.58</v>
      </c>
      <c r="D846" s="3">
        <v>100.69</v>
      </c>
      <c r="E846" s="3">
        <v>99.48</v>
      </c>
      <c r="F846" s="3">
        <v>97.08</v>
      </c>
      <c r="G846" s="3">
        <v>69.56</v>
      </c>
      <c r="H846" s="3">
        <v>74.03</v>
      </c>
      <c r="I846" s="3">
        <v>74.94</v>
      </c>
      <c r="J846" s="3">
        <v>105.4</v>
      </c>
      <c r="K846" s="3">
        <v>23.55</v>
      </c>
      <c r="L846" s="3">
        <v>74831.11</v>
      </c>
      <c r="M846" s="3">
        <v>50050.78</v>
      </c>
      <c r="N846" s="3">
        <v>12.02</v>
      </c>
      <c r="O846" s="3">
        <v>5.357E-2</v>
      </c>
      <c r="P846" s="3">
        <v>2.6030000000000002</v>
      </c>
      <c r="Q846" s="3">
        <v>111.72</v>
      </c>
      <c r="R846" s="3">
        <v>34.125</v>
      </c>
      <c r="S846" s="3">
        <v>126.5</v>
      </c>
    </row>
    <row r="847" spans="1:19" ht="14.4" x14ac:dyDescent="0.3">
      <c r="A847" s="2">
        <v>45106</v>
      </c>
      <c r="B847" s="3">
        <v>70.13</v>
      </c>
      <c r="C847" s="3">
        <v>84.58</v>
      </c>
      <c r="D847" s="3">
        <v>100.69</v>
      </c>
      <c r="E847" s="3">
        <v>99.48</v>
      </c>
      <c r="F847" s="3">
        <v>97.08</v>
      </c>
      <c r="G847" s="3">
        <v>69.86</v>
      </c>
      <c r="H847" s="3">
        <v>74.34</v>
      </c>
      <c r="I847" s="3">
        <v>74.95</v>
      </c>
      <c r="J847" s="3">
        <v>106.7</v>
      </c>
      <c r="K847" s="3">
        <v>23.5</v>
      </c>
      <c r="L847" s="3">
        <v>74892.509999999995</v>
      </c>
      <c r="M847" s="3">
        <v>50414.07</v>
      </c>
      <c r="N847" s="3">
        <v>12.12</v>
      </c>
      <c r="O847" s="3">
        <v>5.3260000000000002E-2</v>
      </c>
      <c r="P847" s="3">
        <v>2.7010000000000001</v>
      </c>
      <c r="Q847" s="3">
        <v>112.28</v>
      </c>
      <c r="R847" s="3">
        <v>35.18</v>
      </c>
      <c r="S847" s="1">
        <f>S848</f>
        <v>127.1</v>
      </c>
    </row>
    <row r="848" spans="1:19" ht="14.4" x14ac:dyDescent="0.3">
      <c r="A848" s="2">
        <v>45107</v>
      </c>
      <c r="B848" s="3">
        <v>71.28</v>
      </c>
      <c r="C848" s="3">
        <v>87.01</v>
      </c>
      <c r="D848" s="3">
        <v>101.66</v>
      </c>
      <c r="E848" s="3">
        <v>100.88</v>
      </c>
      <c r="F848" s="3">
        <v>97.75</v>
      </c>
      <c r="G848" s="3">
        <v>70.64</v>
      </c>
      <c r="H848" s="3">
        <v>74.900000000000006</v>
      </c>
      <c r="I848" s="3">
        <v>74.989999999999995</v>
      </c>
      <c r="J848" s="3">
        <v>107.25</v>
      </c>
      <c r="K848" s="3">
        <v>23.95</v>
      </c>
      <c r="L848" s="3">
        <v>76027.83</v>
      </c>
      <c r="M848" s="3">
        <v>50739.12</v>
      </c>
      <c r="N848" s="3">
        <v>12.24</v>
      </c>
      <c r="O848" s="3">
        <v>5.3069999999999999E-2</v>
      </c>
      <c r="P848" s="3">
        <v>2.798</v>
      </c>
      <c r="Q848" s="3">
        <v>113.08</v>
      </c>
      <c r="R848" s="3">
        <v>37.103000000000002</v>
      </c>
      <c r="S848" s="3">
        <v>127.1</v>
      </c>
    </row>
    <row r="849" spans="1:19" ht="14.4" x14ac:dyDescent="0.3">
      <c r="A849" s="2">
        <v>45110</v>
      </c>
      <c r="B849" s="3">
        <v>71.28</v>
      </c>
      <c r="C849" s="3">
        <v>87.01</v>
      </c>
      <c r="D849" s="3">
        <v>101.66</v>
      </c>
      <c r="E849" s="3">
        <v>100.88</v>
      </c>
      <c r="F849" s="3">
        <v>97.75</v>
      </c>
      <c r="G849" s="3">
        <v>69.790000000000006</v>
      </c>
      <c r="H849" s="3">
        <v>74.650000000000006</v>
      </c>
      <c r="I849" s="3">
        <v>74.91</v>
      </c>
      <c r="J849" s="3">
        <v>107.46</v>
      </c>
      <c r="K849" s="3">
        <v>24.3</v>
      </c>
      <c r="L849" s="3">
        <v>76233.929999999993</v>
      </c>
      <c r="M849" s="3">
        <v>51123.88</v>
      </c>
      <c r="N849" s="3">
        <v>12.08</v>
      </c>
      <c r="O849" s="3">
        <v>5.3330000000000002E-2</v>
      </c>
      <c r="P849" s="3">
        <v>2.7090000000000001</v>
      </c>
      <c r="Q849" s="3">
        <v>112.93</v>
      </c>
      <c r="R849" s="3">
        <v>33.93</v>
      </c>
      <c r="S849" s="3">
        <v>126.8</v>
      </c>
    </row>
    <row r="850" spans="1:19" ht="14.4" x14ac:dyDescent="0.3">
      <c r="A850" s="2">
        <v>45111</v>
      </c>
      <c r="B850" s="3">
        <v>71.28</v>
      </c>
      <c r="C850" s="3">
        <v>87.01</v>
      </c>
      <c r="D850" s="3">
        <v>101.66</v>
      </c>
      <c r="E850" s="3">
        <v>100.88</v>
      </c>
      <c r="F850" s="3">
        <v>97.75</v>
      </c>
      <c r="G850" s="3">
        <v>71.06</v>
      </c>
      <c r="H850" s="3">
        <v>76.25</v>
      </c>
      <c r="I850" s="1">
        <f>(I849+I851)/2</f>
        <v>75.664999999999992</v>
      </c>
      <c r="J850" s="1">
        <f>(J849+J851)/2</f>
        <v>107.185</v>
      </c>
      <c r="K850" s="3">
        <v>24.15</v>
      </c>
      <c r="L850" s="3">
        <v>76223.7</v>
      </c>
      <c r="M850" s="3">
        <v>50949.99</v>
      </c>
      <c r="N850" s="5">
        <f>FORECAST(A850,N844:N849,A844:A849)</f>
        <v>12.234864864864676</v>
      </c>
      <c r="O850" s="3">
        <v>5.3620000000000001E-2</v>
      </c>
      <c r="P850" s="3">
        <v>2.7509999999999999</v>
      </c>
      <c r="Q850" s="1">
        <f>AVERAGE(Q849,Q851)</f>
        <v>112.62</v>
      </c>
      <c r="R850" s="5">
        <f>AVERAGE(R849,R851)</f>
        <v>34.152500000000003</v>
      </c>
      <c r="S850" s="3">
        <v>124.65</v>
      </c>
    </row>
    <row r="851" spans="1:19" ht="14.4" x14ac:dyDescent="0.3">
      <c r="A851" s="2">
        <v>45112</v>
      </c>
      <c r="B851" s="3">
        <v>71.28</v>
      </c>
      <c r="C851" s="3">
        <v>87.01</v>
      </c>
      <c r="D851" s="3">
        <v>101.66</v>
      </c>
      <c r="E851" s="3">
        <v>100.88</v>
      </c>
      <c r="F851" s="3">
        <v>97.75</v>
      </c>
      <c r="G851" s="3">
        <v>71.790000000000006</v>
      </c>
      <c r="H851" s="3">
        <v>76.650000000000006</v>
      </c>
      <c r="I851" s="3">
        <v>76.42</v>
      </c>
      <c r="J851" s="3">
        <v>106.91</v>
      </c>
      <c r="K851" s="3">
        <v>24.05</v>
      </c>
      <c r="L851" s="3">
        <v>75909.490000000005</v>
      </c>
      <c r="M851" s="3">
        <v>50894.97</v>
      </c>
      <c r="N851" s="3">
        <v>12.1</v>
      </c>
      <c r="O851" s="3">
        <v>5.3220000000000003E-2</v>
      </c>
      <c r="P851" s="3">
        <v>2.657</v>
      </c>
      <c r="Q851" s="3">
        <v>112.31</v>
      </c>
      <c r="R851" s="3">
        <v>34.375</v>
      </c>
      <c r="S851" s="3">
        <v>126</v>
      </c>
    </row>
    <row r="852" spans="1:19" ht="14.4" x14ac:dyDescent="0.3">
      <c r="A852" s="2">
        <v>45113</v>
      </c>
      <c r="B852" s="3">
        <v>71.28</v>
      </c>
      <c r="C852" s="3">
        <v>87.01</v>
      </c>
      <c r="D852" s="3">
        <v>101.66</v>
      </c>
      <c r="E852" s="3">
        <v>100.88</v>
      </c>
      <c r="F852" s="3">
        <v>97.75</v>
      </c>
      <c r="G852" s="3">
        <v>71.8</v>
      </c>
      <c r="H852" s="3">
        <v>76.52</v>
      </c>
      <c r="I852" s="3">
        <v>76.540000000000006</v>
      </c>
      <c r="J852" s="3">
        <v>102.92</v>
      </c>
      <c r="K852" s="3">
        <v>23.8</v>
      </c>
      <c r="L852" s="3">
        <v>74113.22</v>
      </c>
      <c r="M852" s="3">
        <v>49003.58</v>
      </c>
      <c r="N852" s="3">
        <v>12.074999999999999</v>
      </c>
      <c r="O852" s="3">
        <v>5.2260000000000001E-2</v>
      </c>
      <c r="P852" s="3">
        <v>2.609</v>
      </c>
      <c r="Q852" s="3">
        <v>112</v>
      </c>
      <c r="R852" s="3">
        <v>32.35</v>
      </c>
      <c r="S852" s="3">
        <v>126.7</v>
      </c>
    </row>
    <row r="853" spans="1:19" ht="14.4" x14ac:dyDescent="0.3">
      <c r="A853" s="2">
        <v>45114</v>
      </c>
      <c r="B853" s="3">
        <v>72.95</v>
      </c>
      <c r="C853" s="3">
        <v>89.24</v>
      </c>
      <c r="D853" s="3">
        <v>104.04</v>
      </c>
      <c r="E853" s="3">
        <v>102.9</v>
      </c>
      <c r="F853" s="3">
        <v>98.17</v>
      </c>
      <c r="G853" s="3">
        <v>73.86</v>
      </c>
      <c r="H853" s="3">
        <v>78.47</v>
      </c>
      <c r="I853" s="3">
        <v>78.239999999999995</v>
      </c>
      <c r="J853" s="3">
        <v>103.16</v>
      </c>
      <c r="K853" s="3">
        <v>23.5</v>
      </c>
      <c r="L853" s="3">
        <v>74823.02</v>
      </c>
      <c r="M853" s="3">
        <v>49142.64</v>
      </c>
      <c r="N853" s="3">
        <v>12.085000000000001</v>
      </c>
      <c r="O853" s="3">
        <v>5.2949999999999997E-2</v>
      </c>
      <c r="P853" s="3">
        <v>2.5819999999999999</v>
      </c>
      <c r="Q853" s="3">
        <v>112.29</v>
      </c>
      <c r="R853" s="3">
        <v>33.478000000000002</v>
      </c>
      <c r="S853" s="3">
        <v>125.4</v>
      </c>
    </row>
    <row r="854" spans="1:19" ht="14.4" x14ac:dyDescent="0.3">
      <c r="A854" s="2">
        <v>45117</v>
      </c>
      <c r="B854" s="3">
        <v>72.95</v>
      </c>
      <c r="C854" s="3">
        <v>89.24</v>
      </c>
      <c r="D854" s="3">
        <v>104.04</v>
      </c>
      <c r="E854" s="3">
        <v>102.9</v>
      </c>
      <c r="F854" s="3">
        <v>98.17</v>
      </c>
      <c r="G854" s="3">
        <v>72.989999999999995</v>
      </c>
      <c r="H854" s="3">
        <v>77.69</v>
      </c>
      <c r="I854" s="3">
        <v>77.62</v>
      </c>
      <c r="J854" s="3">
        <v>104.69</v>
      </c>
      <c r="K854" s="3">
        <v>23.6</v>
      </c>
      <c r="L854" s="3">
        <v>74345.98</v>
      </c>
      <c r="M854" s="3">
        <v>48369.06</v>
      </c>
      <c r="N854" s="3">
        <v>12.06</v>
      </c>
      <c r="O854" s="3">
        <v>5.3199999999999997E-2</v>
      </c>
      <c r="P854" s="3">
        <v>2.669</v>
      </c>
      <c r="Q854" s="3">
        <v>113.16</v>
      </c>
      <c r="R854" s="3">
        <v>30.225000000000001</v>
      </c>
      <c r="S854" s="3">
        <v>123.7</v>
      </c>
    </row>
    <row r="855" spans="1:19" ht="14.4" x14ac:dyDescent="0.3">
      <c r="A855" s="2">
        <v>45118</v>
      </c>
      <c r="B855" s="3">
        <v>72.95</v>
      </c>
      <c r="C855" s="3">
        <v>89.24</v>
      </c>
      <c r="D855" s="3">
        <v>104.04</v>
      </c>
      <c r="E855" s="3">
        <v>102.9</v>
      </c>
      <c r="F855" s="3">
        <v>98.17</v>
      </c>
      <c r="G855" s="3">
        <v>74.83</v>
      </c>
      <c r="H855" s="3">
        <v>79.400000000000006</v>
      </c>
      <c r="I855" s="3">
        <v>78.790000000000006</v>
      </c>
      <c r="J855" s="3">
        <v>105.97</v>
      </c>
      <c r="K855" s="3">
        <v>23.6</v>
      </c>
      <c r="L855" s="3">
        <v>74876.59</v>
      </c>
      <c r="M855" s="3">
        <v>49734.51</v>
      </c>
      <c r="N855" s="3">
        <v>12.02</v>
      </c>
      <c r="O855" s="3">
        <v>5.4059999999999997E-2</v>
      </c>
      <c r="P855" s="3">
        <v>2.7309999999999999</v>
      </c>
      <c r="Q855" s="3">
        <v>114.41</v>
      </c>
      <c r="R855" s="3">
        <v>29.06</v>
      </c>
      <c r="S855" s="3">
        <v>123.9</v>
      </c>
    </row>
    <row r="856" spans="1:19" ht="14.4" x14ac:dyDescent="0.3">
      <c r="A856" s="2">
        <v>45119</v>
      </c>
      <c r="B856" s="3">
        <v>72.95</v>
      </c>
      <c r="C856" s="3">
        <v>89.24</v>
      </c>
      <c r="D856" s="3">
        <v>104.04</v>
      </c>
      <c r="E856" s="3">
        <v>102.9</v>
      </c>
      <c r="F856" s="3">
        <v>98.17</v>
      </c>
      <c r="G856" s="3">
        <v>75.75</v>
      </c>
      <c r="H856" s="3">
        <v>80.11</v>
      </c>
      <c r="I856" s="3">
        <v>79.069999999999993</v>
      </c>
      <c r="J856" s="3">
        <v>106.49</v>
      </c>
      <c r="K856" s="3">
        <v>23.7</v>
      </c>
      <c r="L856" s="3">
        <v>76544.789999999994</v>
      </c>
      <c r="M856" s="3">
        <v>51957.19</v>
      </c>
      <c r="N856" s="3">
        <v>11.975</v>
      </c>
      <c r="O856" s="3">
        <v>5.5129999999999998E-2</v>
      </c>
      <c r="P856" s="3">
        <v>2.597</v>
      </c>
      <c r="Q856" s="3">
        <v>115.38</v>
      </c>
      <c r="R856" s="3">
        <v>26.64</v>
      </c>
      <c r="S856" s="3">
        <v>123.55</v>
      </c>
    </row>
    <row r="857" spans="1:19" ht="14.4" x14ac:dyDescent="0.3">
      <c r="A857" s="2">
        <v>45120</v>
      </c>
      <c r="B857" s="3">
        <v>72.95</v>
      </c>
      <c r="C857" s="3">
        <v>89.24</v>
      </c>
      <c r="D857" s="3">
        <v>104.04</v>
      </c>
      <c r="E857" s="3">
        <v>102.9</v>
      </c>
      <c r="F857" s="3">
        <v>98.17</v>
      </c>
      <c r="G857" s="3">
        <v>76.89</v>
      </c>
      <c r="H857" s="3">
        <v>81.36</v>
      </c>
      <c r="I857" s="3">
        <v>79.89</v>
      </c>
      <c r="J857" s="3">
        <v>104.54</v>
      </c>
      <c r="K857" s="3">
        <v>24</v>
      </c>
      <c r="L857" s="3">
        <v>77317.259999999995</v>
      </c>
      <c r="M857" s="3">
        <v>52898.09</v>
      </c>
      <c r="N857" s="3">
        <v>11.91</v>
      </c>
      <c r="O857" s="3">
        <v>5.5739999999999998E-2</v>
      </c>
      <c r="P857" s="3">
        <v>2.5339999999999998</v>
      </c>
      <c r="Q857" s="3">
        <v>117.04</v>
      </c>
      <c r="R857" s="3">
        <v>26.605</v>
      </c>
      <c r="S857" s="3">
        <v>121.6</v>
      </c>
    </row>
    <row r="858" spans="1:19" ht="14.4" x14ac:dyDescent="0.3">
      <c r="A858" s="2">
        <v>45121</v>
      </c>
      <c r="B858" s="3">
        <v>64.62</v>
      </c>
      <c r="C858" s="3">
        <v>79.61</v>
      </c>
      <c r="D858" s="3">
        <v>93.42</v>
      </c>
      <c r="E858" s="3">
        <v>92.82</v>
      </c>
      <c r="F858" s="3">
        <v>94.9</v>
      </c>
      <c r="G858" s="3">
        <v>75.42</v>
      </c>
      <c r="H858" s="3">
        <v>79.87</v>
      </c>
      <c r="I858" s="3">
        <v>79.31</v>
      </c>
      <c r="J858" s="3">
        <v>100.94</v>
      </c>
      <c r="K858" s="3">
        <v>24</v>
      </c>
      <c r="L858" s="3">
        <v>77750.509999999995</v>
      </c>
      <c r="M858" s="3">
        <v>54399.94</v>
      </c>
      <c r="N858" s="3">
        <v>11.869</v>
      </c>
      <c r="O858" s="3">
        <v>5.5199999999999999E-2</v>
      </c>
      <c r="P858" s="3">
        <v>2.5299999999999998</v>
      </c>
      <c r="Q858" s="3">
        <v>117.51</v>
      </c>
      <c r="R858" s="3">
        <v>25.957000000000001</v>
      </c>
      <c r="S858" s="3">
        <v>123.75</v>
      </c>
    </row>
    <row r="859" spans="1:19" ht="14.4" x14ac:dyDescent="0.3">
      <c r="A859" s="2">
        <v>45124</v>
      </c>
      <c r="B859" s="3">
        <v>64.62</v>
      </c>
      <c r="C859" s="3">
        <v>79.61</v>
      </c>
      <c r="D859" s="3">
        <v>93.42</v>
      </c>
      <c r="E859" s="3">
        <v>92.82</v>
      </c>
      <c r="F859" s="3">
        <v>94.9</v>
      </c>
      <c r="G859" s="3">
        <v>74.150000000000006</v>
      </c>
      <c r="H859" s="3">
        <v>78.5</v>
      </c>
      <c r="I859" s="3">
        <v>78.83</v>
      </c>
      <c r="J859" s="3">
        <v>101.38</v>
      </c>
      <c r="K859" s="5">
        <f>FORECAST(A859,K853:K858,A853:A858)</f>
        <v>24.18108108108072</v>
      </c>
      <c r="L859" s="3">
        <v>77253.509999999995</v>
      </c>
      <c r="M859" s="3">
        <v>53866.21</v>
      </c>
      <c r="N859" s="3">
        <v>10.56</v>
      </c>
      <c r="O859" s="3">
        <v>5.543E-2</v>
      </c>
      <c r="P859" s="3">
        <v>2.504</v>
      </c>
      <c r="Q859" s="3">
        <v>116.64</v>
      </c>
      <c r="R859" s="3">
        <v>25.1</v>
      </c>
      <c r="S859" s="3">
        <v>124.55</v>
      </c>
    </row>
    <row r="860" spans="1:19" ht="14.4" x14ac:dyDescent="0.3">
      <c r="A860" s="2">
        <v>45125</v>
      </c>
      <c r="B860" s="3">
        <v>64.62</v>
      </c>
      <c r="C860" s="3">
        <v>79.61</v>
      </c>
      <c r="D860" s="3">
        <v>93.42</v>
      </c>
      <c r="E860" s="3">
        <v>92.82</v>
      </c>
      <c r="F860" s="3">
        <v>94.9</v>
      </c>
      <c r="G860" s="3">
        <v>75.75</v>
      </c>
      <c r="H860" s="3">
        <v>79.63</v>
      </c>
      <c r="I860" s="3">
        <v>79.33</v>
      </c>
      <c r="J860" s="3">
        <v>100.92</v>
      </c>
      <c r="K860" s="3">
        <v>23.2</v>
      </c>
      <c r="L860" s="3">
        <v>77098.55</v>
      </c>
      <c r="M860" s="3">
        <v>55077.64</v>
      </c>
      <c r="N860" s="3">
        <v>11.02</v>
      </c>
      <c r="O860" s="3">
        <v>5.5969999999999999E-2</v>
      </c>
      <c r="P860" s="3">
        <v>2.6179999999999999</v>
      </c>
      <c r="Q860" s="3">
        <v>116.07</v>
      </c>
      <c r="R860" s="3">
        <v>27.07</v>
      </c>
      <c r="S860" s="3">
        <v>123.1</v>
      </c>
    </row>
    <row r="861" spans="1:19" ht="14.4" x14ac:dyDescent="0.3">
      <c r="A861" s="2">
        <v>45126</v>
      </c>
      <c r="B861" s="3">
        <v>64.62</v>
      </c>
      <c r="C861" s="3">
        <v>79.61</v>
      </c>
      <c r="D861" s="3">
        <v>93.42</v>
      </c>
      <c r="E861" s="3">
        <v>92.82</v>
      </c>
      <c r="F861" s="3">
        <v>94.9</v>
      </c>
      <c r="G861" s="3">
        <v>75.349999999999994</v>
      </c>
      <c r="H861" s="3">
        <v>79.459999999999994</v>
      </c>
      <c r="I861" s="3">
        <v>79.3</v>
      </c>
      <c r="J861" s="3">
        <v>101.62</v>
      </c>
      <c r="K861" s="3">
        <v>23.15</v>
      </c>
      <c r="L861" s="3">
        <v>77080.97</v>
      </c>
      <c r="M861" s="3">
        <v>54864.02</v>
      </c>
      <c r="N861" s="3">
        <v>10.744999999999999</v>
      </c>
      <c r="O861" s="3">
        <v>5.5930000000000001E-2</v>
      </c>
      <c r="P861" s="3">
        <v>2.585</v>
      </c>
      <c r="Q861" s="3">
        <v>115.66</v>
      </c>
      <c r="R861" s="3">
        <v>26.965</v>
      </c>
      <c r="S861" s="3">
        <v>124.85</v>
      </c>
    </row>
    <row r="862" spans="1:19" ht="14.4" x14ac:dyDescent="0.3">
      <c r="A862" s="2">
        <v>45127</v>
      </c>
      <c r="B862" s="3">
        <v>64.62</v>
      </c>
      <c r="C862" s="3">
        <v>79.61</v>
      </c>
      <c r="D862" s="3">
        <v>93.42</v>
      </c>
      <c r="E862" s="3">
        <v>92.82</v>
      </c>
      <c r="F862" s="3">
        <v>94.9</v>
      </c>
      <c r="G862" s="3">
        <v>75.63</v>
      </c>
      <c r="H862" s="3">
        <v>79.64</v>
      </c>
      <c r="I862" s="3">
        <v>79.41</v>
      </c>
      <c r="J862" s="3">
        <v>103.41</v>
      </c>
      <c r="K862" s="3">
        <v>23.1</v>
      </c>
      <c r="L862" s="3">
        <v>77016.83</v>
      </c>
      <c r="M862" s="3">
        <v>54507.8</v>
      </c>
      <c r="N862" s="3">
        <v>10.92</v>
      </c>
      <c r="O862" s="3">
        <v>5.5730000000000002E-2</v>
      </c>
      <c r="P862" s="3">
        <v>2.7309999999999999</v>
      </c>
      <c r="Q862" s="3">
        <v>115.63</v>
      </c>
      <c r="R862" s="3">
        <v>28.02</v>
      </c>
      <c r="S862" s="3">
        <v>124.1</v>
      </c>
    </row>
    <row r="863" spans="1:19" ht="14.4" x14ac:dyDescent="0.3">
      <c r="A863" s="2">
        <v>45128</v>
      </c>
      <c r="B863" s="3">
        <v>68.77</v>
      </c>
      <c r="C863" s="3">
        <v>83.05</v>
      </c>
      <c r="D863" s="3">
        <v>94.84</v>
      </c>
      <c r="E863" s="3">
        <v>90.6</v>
      </c>
      <c r="F863" s="3">
        <v>97.63</v>
      </c>
      <c r="G863" s="3">
        <v>77.069999999999993</v>
      </c>
      <c r="H863" s="3">
        <v>81.069999999999993</v>
      </c>
      <c r="I863" s="3">
        <v>79.900000000000006</v>
      </c>
      <c r="J863" s="3">
        <v>103.89</v>
      </c>
      <c r="K863" s="3">
        <v>23.2</v>
      </c>
      <c r="L863" s="3">
        <v>76826.63</v>
      </c>
      <c r="M863" s="3">
        <v>53992.86</v>
      </c>
      <c r="N863" s="3">
        <v>10.885</v>
      </c>
      <c r="O863" s="3">
        <v>5.5730000000000002E-2</v>
      </c>
      <c r="P863" s="3">
        <v>2.7069999999999999</v>
      </c>
      <c r="Q863" s="3">
        <v>116.22</v>
      </c>
      <c r="R863" s="3">
        <v>28.164000000000001</v>
      </c>
      <c r="S863" s="3">
        <v>123.6</v>
      </c>
    </row>
    <row r="864" spans="1:19" ht="14.4" x14ac:dyDescent="0.3">
      <c r="A864" s="2">
        <v>45131</v>
      </c>
      <c r="B864" s="3">
        <v>68.77</v>
      </c>
      <c r="C864" s="3">
        <v>83.05</v>
      </c>
      <c r="D864" s="3">
        <v>94.84</v>
      </c>
      <c r="E864" s="3">
        <v>90.6</v>
      </c>
      <c r="F864" s="3">
        <v>97.63</v>
      </c>
      <c r="G864" s="3">
        <v>78.739999999999995</v>
      </c>
      <c r="H864" s="3">
        <v>82.74</v>
      </c>
      <c r="I864" s="3">
        <v>80.3</v>
      </c>
      <c r="J864" s="3">
        <v>105.52</v>
      </c>
      <c r="K864" s="3">
        <v>22.75</v>
      </c>
      <c r="L864" s="3">
        <v>76766.070000000007</v>
      </c>
      <c r="M864" s="3">
        <v>53116.45</v>
      </c>
      <c r="N864" s="3">
        <v>11.26</v>
      </c>
      <c r="O864" s="3">
        <v>5.6340000000000001E-2</v>
      </c>
      <c r="P864" s="3">
        <v>2.6850000000000001</v>
      </c>
      <c r="Q864" s="3">
        <v>116.28</v>
      </c>
      <c r="R864" s="3">
        <v>30.555</v>
      </c>
      <c r="S864" s="3">
        <v>123.45</v>
      </c>
    </row>
    <row r="865" spans="1:19" ht="14.4" x14ac:dyDescent="0.3">
      <c r="A865" s="2">
        <v>45132</v>
      </c>
      <c r="B865" s="3">
        <v>68.77</v>
      </c>
      <c r="C865" s="3">
        <v>83.05</v>
      </c>
      <c r="D865" s="3">
        <v>94.84</v>
      </c>
      <c r="E865" s="3">
        <v>90.6</v>
      </c>
      <c r="F865" s="3">
        <v>97.63</v>
      </c>
      <c r="G865" s="3">
        <v>79.63</v>
      </c>
      <c r="H865" s="3">
        <v>83.64</v>
      </c>
      <c r="I865" s="3">
        <v>80.489999999999995</v>
      </c>
      <c r="J865" s="3">
        <v>105.68</v>
      </c>
      <c r="K865" s="3">
        <v>23.3</v>
      </c>
      <c r="L865" s="3">
        <v>77525.62</v>
      </c>
      <c r="M865" s="3">
        <v>53084.56</v>
      </c>
      <c r="N865" s="3">
        <v>11.46</v>
      </c>
      <c r="O865" s="3">
        <v>5.697E-2</v>
      </c>
      <c r="P865" s="3">
        <v>2.73</v>
      </c>
      <c r="Q865" s="3">
        <v>116.54</v>
      </c>
      <c r="R865" s="3">
        <v>32.65</v>
      </c>
      <c r="S865" s="3">
        <v>123.4</v>
      </c>
    </row>
    <row r="866" spans="1:19" ht="14.4" x14ac:dyDescent="0.3">
      <c r="A866" s="2">
        <v>45133</v>
      </c>
      <c r="B866" s="3">
        <v>68.77</v>
      </c>
      <c r="C866" s="3">
        <v>83.05</v>
      </c>
      <c r="D866" s="3">
        <v>94.84</v>
      </c>
      <c r="E866" s="3">
        <v>90.6</v>
      </c>
      <c r="F866" s="3">
        <v>97.63</v>
      </c>
      <c r="G866" s="3">
        <v>78.78</v>
      </c>
      <c r="H866" s="3">
        <v>82.92</v>
      </c>
      <c r="I866" s="3">
        <v>80.290000000000006</v>
      </c>
      <c r="J866" s="3">
        <v>105.09</v>
      </c>
      <c r="K866" s="3">
        <v>23.45</v>
      </c>
      <c r="L866" s="3">
        <v>77546.38</v>
      </c>
      <c r="M866" s="3">
        <v>53066.33</v>
      </c>
      <c r="N866" s="3">
        <v>11.1</v>
      </c>
      <c r="O866" s="3">
        <v>5.6730000000000003E-2</v>
      </c>
      <c r="P866" s="3">
        <v>2.665</v>
      </c>
      <c r="Q866" s="3">
        <v>116.73</v>
      </c>
      <c r="R866" s="3">
        <v>29.274999999999999</v>
      </c>
      <c r="S866" s="3">
        <v>124.4</v>
      </c>
    </row>
    <row r="867" spans="1:19" ht="14.4" x14ac:dyDescent="0.3">
      <c r="A867" s="2">
        <v>45134</v>
      </c>
      <c r="B867" s="3">
        <v>68.77</v>
      </c>
      <c r="C867" s="3">
        <v>83.05</v>
      </c>
      <c r="D867" s="3">
        <v>94.84</v>
      </c>
      <c r="E867" s="3">
        <v>90.6</v>
      </c>
      <c r="F867" s="3">
        <v>97.63</v>
      </c>
      <c r="G867" s="3">
        <v>80.09</v>
      </c>
      <c r="H867" s="3">
        <v>84.24</v>
      </c>
      <c r="I867" s="3">
        <v>80.42</v>
      </c>
      <c r="J867" s="3">
        <v>105.42</v>
      </c>
      <c r="K867" s="3">
        <v>23.25</v>
      </c>
      <c r="L867" s="3">
        <v>78267.25</v>
      </c>
      <c r="M867" s="3">
        <v>52301.74</v>
      </c>
      <c r="N867" s="3">
        <v>10.97</v>
      </c>
      <c r="O867" s="3">
        <v>5.6030000000000003E-2</v>
      </c>
      <c r="P867" s="3">
        <v>2.492</v>
      </c>
      <c r="Q867" s="3">
        <v>114.93</v>
      </c>
      <c r="R867" s="3">
        <v>28.434999999999999</v>
      </c>
      <c r="S867" s="3">
        <v>119.95</v>
      </c>
    </row>
    <row r="868" spans="1:19" ht="14.4" x14ac:dyDescent="0.3">
      <c r="A868" s="2">
        <v>45135</v>
      </c>
      <c r="B868" s="3">
        <v>72.430000000000007</v>
      </c>
      <c r="C868" s="3">
        <v>88.62</v>
      </c>
      <c r="D868" s="3">
        <v>101.66</v>
      </c>
      <c r="E868" s="3">
        <v>89.19</v>
      </c>
      <c r="F868" s="3">
        <v>97.25</v>
      </c>
      <c r="G868" s="3">
        <v>80.58</v>
      </c>
      <c r="H868" s="3">
        <v>84.99</v>
      </c>
      <c r="I868" s="3">
        <v>80.430000000000007</v>
      </c>
      <c r="J868" s="3">
        <v>104.16</v>
      </c>
      <c r="K868" s="3">
        <v>23.05</v>
      </c>
      <c r="L868" s="3">
        <v>78506.899999999994</v>
      </c>
      <c r="M868" s="3">
        <v>52660.1</v>
      </c>
      <c r="N868" s="3">
        <v>10.78</v>
      </c>
      <c r="O868" s="3">
        <v>5.6779999999999997E-2</v>
      </c>
      <c r="P868" s="3">
        <v>2.6379999999999999</v>
      </c>
      <c r="Q868" s="3">
        <v>115.13</v>
      </c>
      <c r="R868" s="3">
        <v>25.841000000000001</v>
      </c>
      <c r="S868" s="3">
        <v>122.6</v>
      </c>
    </row>
    <row r="869" spans="1:19" ht="14.4" x14ac:dyDescent="0.3">
      <c r="A869" s="2">
        <v>45138</v>
      </c>
      <c r="B869" s="3">
        <v>72.430000000000007</v>
      </c>
      <c r="C869" s="3">
        <v>88.62</v>
      </c>
      <c r="D869" s="3">
        <v>101.66</v>
      </c>
      <c r="E869" s="3">
        <v>89.19</v>
      </c>
      <c r="F869" s="3">
        <v>97.25</v>
      </c>
      <c r="G869" s="3">
        <v>81.8</v>
      </c>
      <c r="H869" s="3">
        <v>85.56</v>
      </c>
      <c r="I869" s="3">
        <v>80.44</v>
      </c>
      <c r="J869" s="3">
        <v>107.24</v>
      </c>
      <c r="K869" s="3">
        <v>23.3</v>
      </c>
      <c r="L869" s="3">
        <v>78977.89</v>
      </c>
      <c r="M869" s="3">
        <v>53318.25</v>
      </c>
      <c r="N869" s="3">
        <v>10.92</v>
      </c>
      <c r="O869" s="3">
        <v>5.5989999999999998E-2</v>
      </c>
      <c r="P869" s="3">
        <v>2.6339999999999999</v>
      </c>
      <c r="Q869" s="3">
        <v>114.8</v>
      </c>
      <c r="R869" s="3">
        <v>28.364999999999998</v>
      </c>
      <c r="S869" s="3">
        <v>122.65</v>
      </c>
    </row>
    <row r="870" spans="1:19" ht="14.4" x14ac:dyDescent="0.3">
      <c r="A870" s="2">
        <v>45139</v>
      </c>
      <c r="B870" s="3">
        <v>72.430000000000007</v>
      </c>
      <c r="C870" s="3">
        <v>88.62</v>
      </c>
      <c r="D870" s="3">
        <v>101.66</v>
      </c>
      <c r="E870" s="3">
        <v>89.19</v>
      </c>
      <c r="F870" s="3">
        <v>97.25</v>
      </c>
      <c r="G870" s="3">
        <v>81.37</v>
      </c>
      <c r="H870" s="3">
        <v>84.91</v>
      </c>
      <c r="I870" s="3">
        <v>85.58</v>
      </c>
      <c r="J870" s="3">
        <v>106.62</v>
      </c>
      <c r="K870" s="3">
        <v>23.35</v>
      </c>
      <c r="L870" s="3">
        <v>78641.91</v>
      </c>
      <c r="M870" s="3">
        <v>50580.29</v>
      </c>
      <c r="N870" s="3">
        <v>10.925000000000001</v>
      </c>
      <c r="O870" s="3">
        <v>5.4620000000000002E-2</v>
      </c>
      <c r="P870" s="3">
        <v>2.56</v>
      </c>
      <c r="Q870" s="3">
        <v>115.04</v>
      </c>
      <c r="R870" s="3">
        <v>27.125</v>
      </c>
      <c r="S870" s="3">
        <v>127.4</v>
      </c>
    </row>
    <row r="871" spans="1:19" ht="14.4" x14ac:dyDescent="0.3">
      <c r="A871" s="2">
        <v>45140</v>
      </c>
      <c r="B871" s="3">
        <v>72.430000000000007</v>
      </c>
      <c r="C871" s="3">
        <v>88.62</v>
      </c>
      <c r="D871" s="3">
        <v>101.66</v>
      </c>
      <c r="E871" s="3">
        <v>89.19</v>
      </c>
      <c r="F871" s="3">
        <v>97.25</v>
      </c>
      <c r="G871" s="3">
        <v>79.489999999999995</v>
      </c>
      <c r="H871" s="3">
        <v>83.2</v>
      </c>
      <c r="I871" s="3">
        <v>84.32</v>
      </c>
      <c r="J871" s="3">
        <v>105.29</v>
      </c>
      <c r="K871" s="3">
        <v>22.8</v>
      </c>
      <c r="L871" s="3">
        <v>76477.22</v>
      </c>
      <c r="M871" s="3">
        <v>48595.19</v>
      </c>
      <c r="N871" s="3">
        <v>10.97</v>
      </c>
      <c r="O871" s="3">
        <v>5.4140000000000001E-2</v>
      </c>
      <c r="P871" s="3">
        <v>2.4769999999999999</v>
      </c>
      <c r="Q871" s="3">
        <v>115</v>
      </c>
      <c r="R871" s="3">
        <v>28.74</v>
      </c>
      <c r="S871" s="3">
        <v>126.9</v>
      </c>
    </row>
    <row r="872" spans="1:19" ht="14.4" x14ac:dyDescent="0.3">
      <c r="A872" s="2">
        <v>45141</v>
      </c>
      <c r="B872" s="3">
        <v>72.430000000000007</v>
      </c>
      <c r="C872" s="3">
        <v>88.62</v>
      </c>
      <c r="D872" s="3">
        <v>101.66</v>
      </c>
      <c r="E872" s="3">
        <v>89.19</v>
      </c>
      <c r="F872" s="3">
        <v>97.25</v>
      </c>
      <c r="G872" s="3">
        <v>81.55</v>
      </c>
      <c r="H872" s="3">
        <v>85.14</v>
      </c>
      <c r="I872" s="3">
        <v>86.18</v>
      </c>
      <c r="J872" s="3">
        <v>107.12</v>
      </c>
      <c r="K872" s="3">
        <v>22.65</v>
      </c>
      <c r="L872" s="3">
        <v>76747.199999999997</v>
      </c>
      <c r="M872" s="3">
        <v>48724.1</v>
      </c>
      <c r="N872" s="3">
        <v>11</v>
      </c>
      <c r="O872" s="3">
        <v>5.3420000000000002E-2</v>
      </c>
      <c r="P872" s="3">
        <v>2.5649999999999999</v>
      </c>
      <c r="Q872" s="3">
        <v>112.07</v>
      </c>
      <c r="R872" s="3">
        <v>30.475000000000001</v>
      </c>
      <c r="S872" s="3">
        <v>126.1</v>
      </c>
    </row>
    <row r="873" spans="1:19" ht="14.4" x14ac:dyDescent="0.3">
      <c r="A873" s="2">
        <v>45142</v>
      </c>
      <c r="B873" s="3">
        <v>72.3</v>
      </c>
      <c r="C873" s="3">
        <v>88.82</v>
      </c>
      <c r="D873" s="3">
        <v>101.37</v>
      </c>
      <c r="E873" s="3">
        <v>105.18</v>
      </c>
      <c r="F873" s="3">
        <v>99.29</v>
      </c>
      <c r="G873" s="3">
        <v>82.82</v>
      </c>
      <c r="H873" s="3">
        <v>86.24</v>
      </c>
      <c r="I873" s="3">
        <v>87.23</v>
      </c>
      <c r="J873" s="3">
        <v>107.42</v>
      </c>
      <c r="K873" s="3">
        <v>22.2</v>
      </c>
      <c r="L873" s="3">
        <v>76960.61</v>
      </c>
      <c r="M873" s="3">
        <v>48084.9</v>
      </c>
      <c r="N873" s="3">
        <v>10.955</v>
      </c>
      <c r="O873" s="3">
        <v>5.4109999999999998E-2</v>
      </c>
      <c r="P873" s="3">
        <v>2.577</v>
      </c>
      <c r="Q873" s="3">
        <v>114</v>
      </c>
      <c r="R873" s="3">
        <v>28.853000000000002</v>
      </c>
      <c r="S873" s="3">
        <v>127.05</v>
      </c>
    </row>
    <row r="874" spans="1:19" ht="14.4" x14ac:dyDescent="0.3">
      <c r="A874" s="2">
        <v>45145</v>
      </c>
      <c r="B874" s="3">
        <v>72.3</v>
      </c>
      <c r="C874" s="3">
        <v>88.82</v>
      </c>
      <c r="D874" s="3">
        <v>101.37</v>
      </c>
      <c r="E874" s="3">
        <v>105.18</v>
      </c>
      <c r="F874" s="3">
        <v>99.29</v>
      </c>
      <c r="G874" s="3">
        <v>81.94</v>
      </c>
      <c r="H874" s="3">
        <v>85.34</v>
      </c>
      <c r="I874" s="3">
        <v>86.75</v>
      </c>
      <c r="J874" s="3">
        <v>107.2</v>
      </c>
      <c r="K874" s="3">
        <v>22.6</v>
      </c>
      <c r="L874" s="3">
        <v>77013.740000000005</v>
      </c>
      <c r="M874" s="3">
        <v>48149.99</v>
      </c>
      <c r="N874" s="3">
        <v>10.98</v>
      </c>
      <c r="O874" s="3">
        <v>5.3429999999999998E-2</v>
      </c>
      <c r="P874" s="3">
        <v>2.7250000000000001</v>
      </c>
      <c r="Q874" s="3">
        <v>116.07</v>
      </c>
      <c r="R874" s="3">
        <v>30.484999999999999</v>
      </c>
      <c r="S874" s="3">
        <v>126.9</v>
      </c>
    </row>
    <row r="875" spans="1:19" ht="14.4" x14ac:dyDescent="0.3">
      <c r="A875" s="2">
        <v>45146</v>
      </c>
      <c r="B875" s="3">
        <v>72.3</v>
      </c>
      <c r="C875" s="3">
        <v>88.82</v>
      </c>
      <c r="D875" s="3">
        <v>101.37</v>
      </c>
      <c r="E875" s="3">
        <v>105.18</v>
      </c>
      <c r="F875" s="3">
        <v>99.29</v>
      </c>
      <c r="G875" s="3">
        <v>82.92</v>
      </c>
      <c r="H875" s="3">
        <v>86.17</v>
      </c>
      <c r="I875" s="3">
        <v>87.47</v>
      </c>
      <c r="J875" s="3">
        <v>107.73</v>
      </c>
      <c r="K875" s="3">
        <v>22.5</v>
      </c>
      <c r="L875" s="3">
        <v>76837.440000000002</v>
      </c>
      <c r="M875" s="3">
        <v>47825.59</v>
      </c>
      <c r="N875" s="3">
        <v>10.955</v>
      </c>
      <c r="O875" s="3">
        <v>5.2830000000000002E-2</v>
      </c>
      <c r="P875" s="3">
        <v>2.7770000000000001</v>
      </c>
      <c r="Q875" s="3">
        <v>114.87</v>
      </c>
      <c r="R875" s="3">
        <v>31.065000000000001</v>
      </c>
      <c r="S875" s="3">
        <v>129.05000000000001</v>
      </c>
    </row>
    <row r="876" spans="1:19" ht="14.4" x14ac:dyDescent="0.3">
      <c r="A876" s="2">
        <v>45147</v>
      </c>
      <c r="B876" s="3">
        <v>72.3</v>
      </c>
      <c r="C876" s="3">
        <v>88.82</v>
      </c>
      <c r="D876" s="3">
        <v>101.37</v>
      </c>
      <c r="E876" s="3">
        <v>105.18</v>
      </c>
      <c r="F876" s="3">
        <v>99.29</v>
      </c>
      <c r="G876" s="3">
        <v>84.4</v>
      </c>
      <c r="H876" s="3">
        <v>87.55</v>
      </c>
      <c r="I876" s="3">
        <v>88.18</v>
      </c>
      <c r="J876" s="3">
        <v>109.56</v>
      </c>
      <c r="K876" s="3">
        <v>22.65</v>
      </c>
      <c r="L876" s="5">
        <f>FORECAST(A876,L870:L875,A870:A875)</f>
        <v>76571.67712446209</v>
      </c>
      <c r="M876" s="5">
        <f>FORECAST(A876,M870:M875,A870:A875)</f>
        <v>47345.298111587763</v>
      </c>
      <c r="N876" s="3">
        <v>11.03</v>
      </c>
      <c r="O876" s="3">
        <v>5.2650000000000002E-2</v>
      </c>
      <c r="P876" s="3">
        <v>2.9590000000000001</v>
      </c>
      <c r="Q876" s="3">
        <v>114.2</v>
      </c>
      <c r="R876" s="3">
        <v>39.825000000000003</v>
      </c>
      <c r="S876" s="3">
        <v>130.6</v>
      </c>
    </row>
    <row r="877" spans="1:19" ht="14.4" x14ac:dyDescent="0.3">
      <c r="A877" s="2">
        <v>45148</v>
      </c>
      <c r="B877" s="3">
        <v>72.3</v>
      </c>
      <c r="C877" s="3">
        <v>88.82</v>
      </c>
      <c r="D877" s="3">
        <v>101.37</v>
      </c>
      <c r="E877" s="3">
        <v>105.18</v>
      </c>
      <c r="F877" s="3">
        <v>99.29</v>
      </c>
      <c r="G877" s="3">
        <v>82.82</v>
      </c>
      <c r="H877" s="3">
        <v>86.4</v>
      </c>
      <c r="I877" s="3">
        <v>87.32</v>
      </c>
      <c r="J877" s="3">
        <v>110.12</v>
      </c>
      <c r="K877" s="3">
        <v>22.9</v>
      </c>
      <c r="L877" s="3">
        <v>77749.679999999993</v>
      </c>
      <c r="M877" s="3">
        <v>47858.58</v>
      </c>
      <c r="N877" s="3">
        <v>11.045</v>
      </c>
      <c r="O877" s="3">
        <v>5.3039999999999997E-2</v>
      </c>
      <c r="P877" s="3">
        <v>2.7629999999999999</v>
      </c>
      <c r="Q877" s="3">
        <v>114.8</v>
      </c>
      <c r="R877" s="3">
        <v>37.055</v>
      </c>
      <c r="S877" s="3">
        <v>129.1</v>
      </c>
    </row>
    <row r="878" spans="1:19" ht="14.4" x14ac:dyDescent="0.3">
      <c r="A878" s="2">
        <v>45149</v>
      </c>
      <c r="B878" s="3">
        <v>75.400000000000006</v>
      </c>
      <c r="C878" s="3">
        <v>92.25</v>
      </c>
      <c r="D878" s="3">
        <v>105.73</v>
      </c>
      <c r="E878" s="3">
        <v>111.3</v>
      </c>
      <c r="F878" s="3">
        <v>101.49</v>
      </c>
      <c r="G878" s="3">
        <v>83.19</v>
      </c>
      <c r="H878" s="3">
        <v>86.81</v>
      </c>
      <c r="I878" s="3">
        <v>87.63</v>
      </c>
      <c r="J878" s="3">
        <v>111.83</v>
      </c>
      <c r="K878" s="3">
        <v>22.5</v>
      </c>
      <c r="L878" s="3">
        <v>76974.259999999995</v>
      </c>
      <c r="M878" s="3">
        <v>47960.41</v>
      </c>
      <c r="N878" s="3">
        <v>11.085000000000001</v>
      </c>
      <c r="O878" s="3">
        <v>5.2830000000000002E-2</v>
      </c>
      <c r="P878" s="3">
        <v>2.77</v>
      </c>
      <c r="Q878" s="3">
        <v>113.99</v>
      </c>
      <c r="R878" s="3">
        <v>35.299999999999997</v>
      </c>
      <c r="S878" s="3">
        <v>128.5</v>
      </c>
    </row>
    <row r="879" spans="1:19" ht="14.4" x14ac:dyDescent="0.3">
      <c r="A879" s="2">
        <v>45152</v>
      </c>
      <c r="B879" s="3">
        <v>75.400000000000006</v>
      </c>
      <c r="C879" s="3">
        <v>92.25</v>
      </c>
      <c r="D879" s="3">
        <v>105.73</v>
      </c>
      <c r="E879" s="3">
        <v>111.3</v>
      </c>
      <c r="F879" s="3">
        <v>101.49</v>
      </c>
      <c r="G879" s="3">
        <v>82.51</v>
      </c>
      <c r="H879" s="3">
        <v>86.21</v>
      </c>
      <c r="I879" s="3">
        <v>87.2</v>
      </c>
      <c r="J879" s="3">
        <v>111.92</v>
      </c>
      <c r="K879" s="3">
        <v>22.35</v>
      </c>
      <c r="L879" s="3">
        <v>76160.87</v>
      </c>
      <c r="M879" s="3">
        <v>46272.57</v>
      </c>
      <c r="N879" s="3">
        <v>11.145</v>
      </c>
      <c r="O879" s="3">
        <v>5.2400000000000002E-2</v>
      </c>
      <c r="P879" s="3">
        <v>2.7949999999999999</v>
      </c>
      <c r="Q879" s="3">
        <v>114.92</v>
      </c>
      <c r="R879" s="3">
        <v>34.435000000000002</v>
      </c>
      <c r="S879" s="3">
        <v>126.2</v>
      </c>
    </row>
    <row r="880" spans="1:19" ht="14.4" x14ac:dyDescent="0.3">
      <c r="A880" s="2">
        <v>45153</v>
      </c>
      <c r="B880" s="3">
        <v>75.400000000000006</v>
      </c>
      <c r="C880" s="3">
        <v>92.25</v>
      </c>
      <c r="D880" s="3">
        <v>105.73</v>
      </c>
      <c r="E880" s="3">
        <v>111.3</v>
      </c>
      <c r="F880" s="3">
        <v>101.49</v>
      </c>
      <c r="G880" s="3">
        <v>80.989999999999995</v>
      </c>
      <c r="H880" s="3">
        <v>84.89</v>
      </c>
      <c r="I880" s="3">
        <v>86.39</v>
      </c>
      <c r="J880" s="3">
        <v>108.16</v>
      </c>
      <c r="K880" s="3">
        <v>22.25</v>
      </c>
      <c r="L880" s="3">
        <v>75590.77</v>
      </c>
      <c r="M880" s="3">
        <v>46473.07</v>
      </c>
      <c r="N880" s="3">
        <v>11.205</v>
      </c>
      <c r="O880" s="3">
        <v>5.2209999999999999E-2</v>
      </c>
      <c r="P880" s="3">
        <v>2.6589999999999998</v>
      </c>
      <c r="Q880" s="3">
        <v>114.11</v>
      </c>
      <c r="R880" s="3">
        <v>38.814999999999998</v>
      </c>
      <c r="S880" s="1">
        <f>S881</f>
        <v>125.2</v>
      </c>
    </row>
    <row r="881" spans="1:19" ht="14.4" x14ac:dyDescent="0.3">
      <c r="A881" s="2">
        <v>45154</v>
      </c>
      <c r="B881" s="3">
        <v>75.400000000000006</v>
      </c>
      <c r="C881" s="3">
        <v>92.25</v>
      </c>
      <c r="D881" s="3">
        <v>105.73</v>
      </c>
      <c r="E881" s="3">
        <v>111.3</v>
      </c>
      <c r="F881" s="3">
        <v>101.49</v>
      </c>
      <c r="G881" s="3">
        <v>79.38</v>
      </c>
      <c r="H881" s="3">
        <v>83.45</v>
      </c>
      <c r="I881" s="3">
        <v>85.68</v>
      </c>
      <c r="J881" s="3">
        <v>106.34</v>
      </c>
      <c r="K881" s="3">
        <v>21.95</v>
      </c>
      <c r="L881" s="3">
        <v>74914.52</v>
      </c>
      <c r="M881" s="3">
        <v>45480.959999999999</v>
      </c>
      <c r="N881" s="3">
        <v>14.32</v>
      </c>
      <c r="O881" s="3">
        <v>5.2150000000000002E-2</v>
      </c>
      <c r="P881" s="3">
        <v>2.5920000000000001</v>
      </c>
      <c r="Q881" s="3">
        <v>113.97</v>
      </c>
      <c r="R881" s="3">
        <v>37.784999999999997</v>
      </c>
      <c r="S881" s="3">
        <v>125.2</v>
      </c>
    </row>
    <row r="882" spans="1:19" ht="14.4" x14ac:dyDescent="0.3">
      <c r="A882" s="2">
        <v>45155</v>
      </c>
      <c r="B882" s="3">
        <v>75.400000000000006</v>
      </c>
      <c r="C882" s="3">
        <v>92.25</v>
      </c>
      <c r="D882" s="3">
        <v>105.73</v>
      </c>
      <c r="E882" s="3">
        <v>111.3</v>
      </c>
      <c r="F882" s="3">
        <v>101.49</v>
      </c>
      <c r="G882" s="3">
        <v>80.39</v>
      </c>
      <c r="H882" s="3">
        <v>84.12</v>
      </c>
      <c r="I882" s="3">
        <v>86</v>
      </c>
      <c r="J882" s="3">
        <v>108.4</v>
      </c>
      <c r="K882" s="3">
        <v>21.95</v>
      </c>
      <c r="L882" s="3">
        <v>74375.22</v>
      </c>
      <c r="M882" s="3">
        <v>42762.79</v>
      </c>
      <c r="N882" s="3">
        <v>14.16</v>
      </c>
      <c r="O882" s="3">
        <v>5.2420000000000001E-2</v>
      </c>
      <c r="P882" s="3">
        <v>2.621</v>
      </c>
      <c r="Q882" s="3">
        <v>113.61</v>
      </c>
      <c r="R882" s="3">
        <v>36.825000000000003</v>
      </c>
      <c r="S882" s="3">
        <v>126.35</v>
      </c>
    </row>
    <row r="883" spans="1:19" ht="14.4" x14ac:dyDescent="0.3">
      <c r="A883" s="2">
        <v>45156</v>
      </c>
      <c r="B883" s="3">
        <v>79.28</v>
      </c>
      <c r="C883" s="3">
        <v>96.66</v>
      </c>
      <c r="D883" s="3">
        <v>110.94</v>
      </c>
      <c r="E883" s="3">
        <v>115.63</v>
      </c>
      <c r="F883" s="3">
        <v>103.82</v>
      </c>
      <c r="G883" s="3">
        <v>81.25</v>
      </c>
      <c r="H883" s="3">
        <v>84.8</v>
      </c>
      <c r="I883" s="3">
        <v>86.44</v>
      </c>
      <c r="J883" s="3">
        <v>110.04</v>
      </c>
      <c r="K883" s="3">
        <v>21.85</v>
      </c>
      <c r="L883" s="3">
        <v>73080.87</v>
      </c>
      <c r="M883" s="3">
        <v>42496.93</v>
      </c>
      <c r="N883" s="3">
        <v>13.95</v>
      </c>
      <c r="O883" s="3">
        <v>5.262E-2</v>
      </c>
      <c r="P883" s="3">
        <v>2.5510000000000002</v>
      </c>
      <c r="Q883" s="3">
        <v>113.75</v>
      </c>
      <c r="R883" s="3">
        <v>36.409999999999997</v>
      </c>
      <c r="S883" s="3">
        <v>123.9</v>
      </c>
    </row>
    <row r="884" spans="1:19" ht="14.4" x14ac:dyDescent="0.3">
      <c r="A884" s="2">
        <v>45159</v>
      </c>
      <c r="B884" s="3">
        <v>79.28</v>
      </c>
      <c r="C884" s="3">
        <v>96.66</v>
      </c>
      <c r="D884" s="3">
        <v>110.94</v>
      </c>
      <c r="E884" s="3">
        <v>115.63</v>
      </c>
      <c r="F884" s="3">
        <v>103.82</v>
      </c>
      <c r="G884" s="3">
        <v>80.72</v>
      </c>
      <c r="H884" s="3">
        <v>84.46</v>
      </c>
      <c r="I884" s="3">
        <v>86.36</v>
      </c>
      <c r="J884" s="3">
        <v>108.71</v>
      </c>
      <c r="K884" s="3">
        <v>21.5</v>
      </c>
      <c r="L884" s="3">
        <v>73760.210000000006</v>
      </c>
      <c r="M884" s="3">
        <v>42232.66</v>
      </c>
      <c r="N884" s="3">
        <v>14.3</v>
      </c>
      <c r="O884" s="3">
        <v>5.2699999999999997E-2</v>
      </c>
      <c r="P884" s="3">
        <v>2.6320000000000001</v>
      </c>
      <c r="Q884" s="3">
        <v>113.86</v>
      </c>
      <c r="R884" s="3">
        <v>40.78</v>
      </c>
      <c r="S884" s="3">
        <v>124.35</v>
      </c>
    </row>
    <row r="885" spans="1:19" ht="14.4" x14ac:dyDescent="0.3">
      <c r="A885" s="2">
        <v>45160</v>
      </c>
      <c r="B885" s="3">
        <v>79.28</v>
      </c>
      <c r="C885" s="3">
        <v>96.66</v>
      </c>
      <c r="D885" s="3">
        <v>110.94</v>
      </c>
      <c r="E885" s="3">
        <v>115.63</v>
      </c>
      <c r="F885" s="3">
        <v>103.82</v>
      </c>
      <c r="G885" s="3">
        <v>80.349999999999994</v>
      </c>
      <c r="H885" s="3">
        <v>84.03</v>
      </c>
      <c r="I885" s="3">
        <v>86.28</v>
      </c>
      <c r="J885" s="3">
        <v>108.1</v>
      </c>
      <c r="K885" s="3">
        <v>21.95</v>
      </c>
      <c r="L885" s="3">
        <v>73277.88</v>
      </c>
      <c r="M885" s="3">
        <v>42283.65</v>
      </c>
      <c r="N885" s="3">
        <v>14.3</v>
      </c>
      <c r="O885" s="3">
        <v>5.3179999999999998E-2</v>
      </c>
      <c r="P885" s="3">
        <v>2.56</v>
      </c>
      <c r="Q885" s="3">
        <v>113.25</v>
      </c>
      <c r="R885" s="3">
        <v>42.91</v>
      </c>
      <c r="S885" s="3">
        <v>124.5</v>
      </c>
    </row>
    <row r="886" spans="1:19" ht="14.4" x14ac:dyDescent="0.3">
      <c r="A886" s="2">
        <v>45161</v>
      </c>
      <c r="B886" s="3">
        <v>79.28</v>
      </c>
      <c r="C886" s="3">
        <v>96.66</v>
      </c>
      <c r="D886" s="3">
        <v>110.94</v>
      </c>
      <c r="E886" s="3">
        <v>115.63</v>
      </c>
      <c r="F886" s="3">
        <v>103.82</v>
      </c>
      <c r="G886" s="3">
        <v>78.89</v>
      </c>
      <c r="H886" s="3">
        <v>83.21</v>
      </c>
      <c r="I886" s="3">
        <v>86.09</v>
      </c>
      <c r="J886" s="3">
        <v>107.15</v>
      </c>
      <c r="K886" s="3">
        <v>22.3</v>
      </c>
      <c r="L886" s="3">
        <v>74022.58</v>
      </c>
      <c r="M886" s="3">
        <v>44309.09</v>
      </c>
      <c r="N886" s="3">
        <v>13.734999999999999</v>
      </c>
      <c r="O886" s="3">
        <v>5.4089999999999999E-2</v>
      </c>
      <c r="P886" s="3">
        <v>2.4969999999999999</v>
      </c>
      <c r="Q886" s="3">
        <v>114.83</v>
      </c>
      <c r="R886" s="3">
        <v>36.784999999999997</v>
      </c>
      <c r="S886" s="3">
        <v>125.05</v>
      </c>
    </row>
    <row r="887" spans="1:19" ht="14.4" x14ac:dyDescent="0.3">
      <c r="A887" s="2">
        <v>45162</v>
      </c>
      <c r="B887" s="3">
        <v>79.28</v>
      </c>
      <c r="C887" s="3">
        <v>96.66</v>
      </c>
      <c r="D887" s="3">
        <v>110.94</v>
      </c>
      <c r="E887" s="3">
        <v>115.63</v>
      </c>
      <c r="F887" s="3">
        <v>103.82</v>
      </c>
      <c r="G887" s="3">
        <v>79.05</v>
      </c>
      <c r="H887" s="3">
        <v>83.36</v>
      </c>
      <c r="I887" s="3">
        <v>86.18</v>
      </c>
      <c r="J887" s="3">
        <v>106.35</v>
      </c>
      <c r="K887" s="3">
        <v>22.25</v>
      </c>
      <c r="L887" s="3">
        <v>74301.56</v>
      </c>
      <c r="M887" s="3">
        <v>45260.42</v>
      </c>
      <c r="N887" s="3">
        <v>12.92</v>
      </c>
      <c r="O887" s="3">
        <v>5.3150000000000003E-2</v>
      </c>
      <c r="P887" s="3">
        <v>2.5190000000000001</v>
      </c>
      <c r="Q887" s="3">
        <v>115.26</v>
      </c>
      <c r="R887" s="3">
        <v>31.94</v>
      </c>
      <c r="S887" s="3">
        <v>124.9</v>
      </c>
    </row>
    <row r="888" spans="1:19" ht="14.4" x14ac:dyDescent="0.3">
      <c r="A888" s="2">
        <v>45163</v>
      </c>
      <c r="B888" s="3">
        <v>82.54</v>
      </c>
      <c r="C888" s="3">
        <v>100.17</v>
      </c>
      <c r="D888" s="3">
        <v>115.36</v>
      </c>
      <c r="E888" s="3">
        <v>120.33</v>
      </c>
      <c r="F888" s="3">
        <v>105.88</v>
      </c>
      <c r="G888" s="3">
        <v>79.83</v>
      </c>
      <c r="H888" s="3">
        <v>84.48</v>
      </c>
      <c r="I888" s="3">
        <v>86.4</v>
      </c>
      <c r="J888" s="3">
        <v>108.25</v>
      </c>
      <c r="K888" s="3">
        <v>22.15</v>
      </c>
      <c r="L888" s="3">
        <v>73836.009999999995</v>
      </c>
      <c r="M888" s="3">
        <v>44840.81</v>
      </c>
      <c r="N888" s="3">
        <v>13.46</v>
      </c>
      <c r="O888" s="3">
        <v>5.3650000000000003E-2</v>
      </c>
      <c r="P888" s="3">
        <v>2.54</v>
      </c>
      <c r="Q888" s="3">
        <v>115.8</v>
      </c>
      <c r="R888" s="3">
        <v>34.774999999999999</v>
      </c>
      <c r="S888" s="3">
        <v>124.15</v>
      </c>
    </row>
    <row r="889" spans="1:19" ht="14.4" x14ac:dyDescent="0.3">
      <c r="A889" s="2">
        <v>45166</v>
      </c>
      <c r="B889" s="1">
        <f t="shared" ref="B889:F889" si="57">B888</f>
        <v>82.54</v>
      </c>
      <c r="C889" s="1">
        <f t="shared" si="57"/>
        <v>100.17</v>
      </c>
      <c r="D889" s="1">
        <f t="shared" si="57"/>
        <v>115.36</v>
      </c>
      <c r="E889" s="1">
        <f t="shared" si="57"/>
        <v>120.33</v>
      </c>
      <c r="F889" s="1">
        <f t="shared" si="57"/>
        <v>105.88</v>
      </c>
      <c r="G889" s="3">
        <v>80.099999999999994</v>
      </c>
      <c r="H889" s="3">
        <v>84.42</v>
      </c>
      <c r="I889" s="3">
        <v>86.39</v>
      </c>
      <c r="J889" s="3">
        <v>109.16</v>
      </c>
      <c r="K889" s="3">
        <v>22.55</v>
      </c>
      <c r="L889" s="3">
        <v>75079.61</v>
      </c>
      <c r="M889" s="3">
        <v>46001.120000000003</v>
      </c>
      <c r="N889" s="3">
        <v>13.46</v>
      </c>
      <c r="O889" s="3">
        <v>5.3719999999999997E-2</v>
      </c>
      <c r="P889" s="3">
        <v>2.5790000000000002</v>
      </c>
      <c r="Q889" s="3">
        <v>117.5</v>
      </c>
      <c r="R889" s="3">
        <v>38.414999999999999</v>
      </c>
      <c r="S889" s="3">
        <v>124.9</v>
      </c>
    </row>
    <row r="890" spans="1:19" ht="14.4" x14ac:dyDescent="0.3">
      <c r="A890" s="2">
        <v>45167</v>
      </c>
      <c r="B890" s="3">
        <v>82.54</v>
      </c>
      <c r="C890" s="3">
        <v>100.17</v>
      </c>
      <c r="D890" s="3">
        <v>115.36</v>
      </c>
      <c r="E890" s="3">
        <v>120.33</v>
      </c>
      <c r="F890" s="3">
        <v>105.88</v>
      </c>
      <c r="G890" s="3">
        <v>81.16</v>
      </c>
      <c r="H890" s="3">
        <v>85.49</v>
      </c>
      <c r="I890" s="3">
        <v>86.43</v>
      </c>
      <c r="J890" s="3">
        <v>109.81</v>
      </c>
      <c r="K890" s="3">
        <v>22.8</v>
      </c>
      <c r="L890" s="3">
        <v>74776.179999999993</v>
      </c>
      <c r="M890" s="3">
        <v>45399.81</v>
      </c>
      <c r="N890" s="3">
        <v>13.395</v>
      </c>
      <c r="O890" s="3">
        <v>5.4100000000000002E-2</v>
      </c>
      <c r="P890" s="3">
        <v>2.556</v>
      </c>
      <c r="Q890" s="3">
        <v>118.57</v>
      </c>
      <c r="R890" s="3">
        <v>35.195</v>
      </c>
      <c r="S890" s="3">
        <v>125.55</v>
      </c>
    </row>
    <row r="891" spans="1:19" ht="14.4" x14ac:dyDescent="0.3">
      <c r="A891" s="2">
        <v>45168</v>
      </c>
      <c r="B891" s="3">
        <v>82.54</v>
      </c>
      <c r="C891" s="3">
        <v>100.17</v>
      </c>
      <c r="D891" s="3">
        <v>115.36</v>
      </c>
      <c r="E891" s="3">
        <v>120.33</v>
      </c>
      <c r="F891" s="3">
        <v>105.88</v>
      </c>
      <c r="G891" s="3">
        <v>81.63</v>
      </c>
      <c r="H891" s="3">
        <v>85.86</v>
      </c>
      <c r="I891" s="3">
        <v>86.42</v>
      </c>
      <c r="J891" s="3">
        <v>110.88</v>
      </c>
      <c r="K891" s="3">
        <v>22.7</v>
      </c>
      <c r="L891" s="3">
        <v>75256.19</v>
      </c>
      <c r="M891" s="3">
        <v>46153.8</v>
      </c>
      <c r="N891" s="3">
        <v>13.404999999999999</v>
      </c>
      <c r="O891" s="3">
        <v>5.3510000000000002E-2</v>
      </c>
      <c r="P891" s="3">
        <v>2.7959999999999998</v>
      </c>
      <c r="Q891" s="3">
        <v>117.9</v>
      </c>
      <c r="R891" s="3">
        <v>35.991999999999997</v>
      </c>
      <c r="S891" s="3">
        <v>126.15</v>
      </c>
    </row>
    <row r="892" spans="1:19" ht="14.4" x14ac:dyDescent="0.3">
      <c r="A892" s="2">
        <v>45169</v>
      </c>
      <c r="B892" s="3">
        <v>82.54</v>
      </c>
      <c r="C892" s="3">
        <v>100.17</v>
      </c>
      <c r="D892" s="3">
        <v>115.36</v>
      </c>
      <c r="E892" s="3">
        <v>120.33</v>
      </c>
      <c r="F892" s="3">
        <v>105.88</v>
      </c>
      <c r="G892" s="3">
        <v>83.63</v>
      </c>
      <c r="H892" s="3">
        <v>86.86</v>
      </c>
      <c r="I892" s="3">
        <v>86.46</v>
      </c>
      <c r="J892" s="3">
        <v>111.19</v>
      </c>
      <c r="K892" s="3">
        <v>22.85</v>
      </c>
      <c r="L892" s="3">
        <v>74953.73</v>
      </c>
      <c r="M892" s="3">
        <v>44965.07</v>
      </c>
      <c r="N892" s="3">
        <v>13.2</v>
      </c>
      <c r="O892" s="3">
        <v>5.2949999999999997E-2</v>
      </c>
      <c r="P892" s="3">
        <v>2.7679999999999998</v>
      </c>
      <c r="Q892" s="3">
        <v>117.99</v>
      </c>
      <c r="R892" s="3">
        <v>35.03</v>
      </c>
      <c r="S892" s="3">
        <v>126.2</v>
      </c>
    </row>
    <row r="893" spans="1:19" ht="14.4" x14ac:dyDescent="0.3">
      <c r="A893" s="2">
        <v>45170</v>
      </c>
      <c r="B893" s="3">
        <v>81.790000000000006</v>
      </c>
      <c r="C893" s="3">
        <v>99.41</v>
      </c>
      <c r="D893" s="3">
        <v>113.72</v>
      </c>
      <c r="E893" s="3">
        <v>112.63</v>
      </c>
      <c r="F893" s="3">
        <v>108.31</v>
      </c>
      <c r="G893" s="3">
        <v>85.55</v>
      </c>
      <c r="H893" s="3">
        <v>88.55</v>
      </c>
      <c r="I893" s="3">
        <v>89.68</v>
      </c>
      <c r="J893" s="3">
        <v>113.52</v>
      </c>
      <c r="K893" s="5">
        <f>FORECAST(A893,K887:K892,A887:A892)</f>
        <v>22.963090128755539</v>
      </c>
      <c r="L893" s="3">
        <v>74786.789999999994</v>
      </c>
      <c r="M893" s="3">
        <v>44067.88</v>
      </c>
      <c r="N893" s="3">
        <v>13.395</v>
      </c>
      <c r="O893" s="3">
        <v>5.305E-2</v>
      </c>
      <c r="P893" s="3">
        <v>2.7650000000000001</v>
      </c>
      <c r="Q893" s="3">
        <v>117.01</v>
      </c>
      <c r="R893" s="3">
        <v>35.616999999999997</v>
      </c>
      <c r="S893" s="3">
        <v>131.75</v>
      </c>
    </row>
    <row r="894" spans="1:19" ht="14.4" x14ac:dyDescent="0.3">
      <c r="A894" s="2">
        <v>45173</v>
      </c>
      <c r="B894" s="3">
        <v>81.790000000000006</v>
      </c>
      <c r="C894" s="3">
        <v>99.41</v>
      </c>
      <c r="D894" s="3">
        <v>113.72</v>
      </c>
      <c r="E894" s="3">
        <v>112.63</v>
      </c>
      <c r="F894" s="3">
        <v>108.31</v>
      </c>
      <c r="G894" s="3">
        <v>85.82</v>
      </c>
      <c r="H894" s="3">
        <v>89</v>
      </c>
      <c r="I894" s="1">
        <f>(I893+I895)/2</f>
        <v>90.240000000000009</v>
      </c>
      <c r="J894" s="1">
        <f>(J893+J895)/2</f>
        <v>113.52500000000001</v>
      </c>
      <c r="K894" s="3">
        <v>23.65</v>
      </c>
      <c r="L894" s="3">
        <v>75375.22</v>
      </c>
      <c r="M894" s="3">
        <v>43743.199999999997</v>
      </c>
      <c r="N894" s="5">
        <f>FORECAST(A894,N888:N893,A888:A893)</f>
        <v>13.254189189189105</v>
      </c>
      <c r="O894" s="3">
        <v>5.2420000000000001E-2</v>
      </c>
      <c r="P894" s="3">
        <v>2.6469999999999998</v>
      </c>
      <c r="Q894" s="1">
        <f>AVERAGE(Q893,Q895)</f>
        <v>115.825</v>
      </c>
      <c r="R894" s="3">
        <v>33.795000000000002</v>
      </c>
      <c r="S894" s="3">
        <v>137.1</v>
      </c>
    </row>
    <row r="895" spans="1:19" ht="14.4" x14ac:dyDescent="0.3">
      <c r="A895" s="2">
        <v>45174</v>
      </c>
      <c r="B895" s="3">
        <v>81.790000000000006</v>
      </c>
      <c r="C895" s="3">
        <v>99.41</v>
      </c>
      <c r="D895" s="3">
        <v>113.72</v>
      </c>
      <c r="E895" s="3">
        <v>112.63</v>
      </c>
      <c r="F895" s="3">
        <v>108.31</v>
      </c>
      <c r="G895" s="3">
        <v>86.69</v>
      </c>
      <c r="H895" s="3">
        <v>90.04</v>
      </c>
      <c r="I895" s="3">
        <v>90.8</v>
      </c>
      <c r="J895" s="3">
        <v>113.53</v>
      </c>
      <c r="K895" s="3">
        <v>23.5</v>
      </c>
      <c r="L895" s="3">
        <v>75016</v>
      </c>
      <c r="M895" s="3">
        <v>42658.83</v>
      </c>
      <c r="N895" s="3">
        <v>13.24</v>
      </c>
      <c r="O895" s="3">
        <v>5.203E-2</v>
      </c>
      <c r="P895" s="3">
        <v>2.5819999999999999</v>
      </c>
      <c r="Q895" s="3">
        <v>114.64</v>
      </c>
      <c r="R895" s="3">
        <v>34.450000000000003</v>
      </c>
      <c r="S895" s="3">
        <v>138.1</v>
      </c>
    </row>
    <row r="896" spans="1:19" ht="14.4" x14ac:dyDescent="0.3">
      <c r="A896" s="2">
        <v>45175</v>
      </c>
      <c r="B896" s="3">
        <v>81.790000000000006</v>
      </c>
      <c r="C896" s="3">
        <v>99.41</v>
      </c>
      <c r="D896" s="3">
        <v>113.72</v>
      </c>
      <c r="E896" s="3">
        <v>112.63</v>
      </c>
      <c r="F896" s="3">
        <v>108.31</v>
      </c>
      <c r="G896" s="3">
        <v>87.54</v>
      </c>
      <c r="H896" s="3">
        <v>90.6</v>
      </c>
      <c r="I896" s="3">
        <v>91.69</v>
      </c>
      <c r="J896" s="3">
        <v>114.51</v>
      </c>
      <c r="K896" s="3">
        <v>23.45</v>
      </c>
      <c r="L896" s="3">
        <v>74411.02</v>
      </c>
      <c r="M896" s="3">
        <v>43057.13</v>
      </c>
      <c r="N896" s="3">
        <v>13.21</v>
      </c>
      <c r="O896" s="3">
        <v>5.2069999999999998E-2</v>
      </c>
      <c r="P896" s="3">
        <v>2.5099999999999998</v>
      </c>
      <c r="Q896" s="3">
        <v>113.61</v>
      </c>
      <c r="R896" s="3">
        <v>31.074999999999999</v>
      </c>
      <c r="S896" s="3">
        <v>137</v>
      </c>
    </row>
    <row r="897" spans="1:19" ht="14.4" x14ac:dyDescent="0.3">
      <c r="A897" s="2">
        <v>45176</v>
      </c>
      <c r="B897" s="3">
        <v>81.790000000000006</v>
      </c>
      <c r="C897" s="3">
        <v>99.41</v>
      </c>
      <c r="D897" s="3">
        <v>113.72</v>
      </c>
      <c r="E897" s="3">
        <v>112.63</v>
      </c>
      <c r="F897" s="3">
        <v>108.31</v>
      </c>
      <c r="G897" s="3">
        <v>86.87</v>
      </c>
      <c r="H897" s="3">
        <v>89.92</v>
      </c>
      <c r="I897" s="3">
        <v>90.86</v>
      </c>
      <c r="J897" s="3">
        <v>113.95</v>
      </c>
      <c r="K897" s="3">
        <v>23.65</v>
      </c>
      <c r="L897" s="3">
        <v>73185.119999999995</v>
      </c>
      <c r="M897" s="3">
        <v>42462.9</v>
      </c>
      <c r="N897" s="3">
        <v>13.32</v>
      </c>
      <c r="O897" s="3">
        <v>5.2130000000000003E-2</v>
      </c>
      <c r="P897" s="3">
        <v>2.5790000000000002</v>
      </c>
      <c r="Q897" s="3">
        <v>115.23</v>
      </c>
      <c r="R897" s="3">
        <v>32.755000000000003</v>
      </c>
      <c r="S897" s="3">
        <v>138</v>
      </c>
    </row>
    <row r="898" spans="1:19" ht="14.4" x14ac:dyDescent="0.3">
      <c r="A898" s="2">
        <v>45177</v>
      </c>
      <c r="B898" s="3">
        <v>79.64</v>
      </c>
      <c r="C898" s="3">
        <v>97.85</v>
      </c>
      <c r="D898" s="3">
        <v>111.5</v>
      </c>
      <c r="E898" s="3">
        <v>115.37</v>
      </c>
      <c r="F898" s="3">
        <v>108.41</v>
      </c>
      <c r="G898" s="3">
        <v>87.51</v>
      </c>
      <c r="H898" s="3">
        <v>90.65</v>
      </c>
      <c r="I898" s="3">
        <v>91.37</v>
      </c>
      <c r="J898" s="3">
        <v>115.61</v>
      </c>
      <c r="K898" s="5">
        <f>FORECAST(A898,K892:K897,A892:A897)</f>
        <v>23.816442557423215</v>
      </c>
      <c r="L898" s="3">
        <v>73652.67</v>
      </c>
      <c r="M898" s="3">
        <v>42560.92</v>
      </c>
      <c r="N898" s="3">
        <v>13.33</v>
      </c>
      <c r="O898" s="3">
        <v>5.2260000000000001E-2</v>
      </c>
      <c r="P898" s="3">
        <v>2.605</v>
      </c>
      <c r="Q898" s="3">
        <v>114.96</v>
      </c>
      <c r="R898" s="3">
        <v>34.51</v>
      </c>
      <c r="S898" s="3">
        <v>142</v>
      </c>
    </row>
    <row r="899" spans="1:19" ht="14.4" x14ac:dyDescent="0.3">
      <c r="A899" s="2">
        <v>45180</v>
      </c>
      <c r="B899" s="3">
        <v>79.64</v>
      </c>
      <c r="C899" s="3">
        <v>97.85</v>
      </c>
      <c r="D899" s="3">
        <v>111.5</v>
      </c>
      <c r="E899" s="3">
        <v>115.37</v>
      </c>
      <c r="F899" s="3">
        <v>108.41</v>
      </c>
      <c r="G899" s="3">
        <v>87.29</v>
      </c>
      <c r="H899" s="3">
        <v>90.64</v>
      </c>
      <c r="I899" s="3">
        <v>91.38</v>
      </c>
      <c r="J899" s="3">
        <v>114.16</v>
      </c>
      <c r="K899" s="3">
        <v>23.75</v>
      </c>
      <c r="L899" s="3">
        <v>74106.179999999993</v>
      </c>
      <c r="M899" s="3">
        <v>42814.45</v>
      </c>
      <c r="N899" s="3">
        <v>13.385</v>
      </c>
      <c r="O899" s="3">
        <v>5.2970000000000003E-2</v>
      </c>
      <c r="P899" s="3">
        <v>2.6080000000000001</v>
      </c>
      <c r="Q899" s="3">
        <v>115.03</v>
      </c>
      <c r="R899" s="3">
        <v>35.85</v>
      </c>
      <c r="S899" s="3">
        <v>140.19999999999999</v>
      </c>
    </row>
    <row r="900" spans="1:19" ht="14.4" x14ac:dyDescent="0.3">
      <c r="A900" s="2">
        <v>45181</v>
      </c>
      <c r="B900" s="3">
        <v>79.64</v>
      </c>
      <c r="C900" s="3">
        <v>97.85</v>
      </c>
      <c r="D900" s="3">
        <v>111.5</v>
      </c>
      <c r="E900" s="3">
        <v>115.37</v>
      </c>
      <c r="F900" s="3">
        <v>108.41</v>
      </c>
      <c r="G900" s="3">
        <v>88.84</v>
      </c>
      <c r="H900" s="3">
        <v>92.06</v>
      </c>
      <c r="I900" s="3">
        <v>92.34</v>
      </c>
      <c r="J900" s="3">
        <v>117.49</v>
      </c>
      <c r="K900" s="3">
        <v>23.35</v>
      </c>
      <c r="L900" s="3">
        <v>74086.62</v>
      </c>
      <c r="M900" s="3">
        <v>43313.81</v>
      </c>
      <c r="N900" s="3">
        <v>13.39</v>
      </c>
      <c r="O900" s="3">
        <v>5.2859999999999997E-2</v>
      </c>
      <c r="P900" s="3">
        <v>2.7429999999999999</v>
      </c>
      <c r="Q900" s="3">
        <v>115.99</v>
      </c>
      <c r="R900" s="3">
        <v>34.700000000000003</v>
      </c>
      <c r="S900" s="3">
        <v>132.6</v>
      </c>
    </row>
    <row r="901" spans="1:19" ht="14.4" x14ac:dyDescent="0.3">
      <c r="A901" s="2">
        <v>45182</v>
      </c>
      <c r="B901" s="3">
        <v>79.64</v>
      </c>
      <c r="C901" s="3">
        <v>97.85</v>
      </c>
      <c r="D901" s="3">
        <v>111.5</v>
      </c>
      <c r="E901" s="3">
        <v>115.37</v>
      </c>
      <c r="F901" s="3">
        <v>108.41</v>
      </c>
      <c r="G901" s="3">
        <v>88.52</v>
      </c>
      <c r="H901" s="3">
        <v>91.88</v>
      </c>
      <c r="I901" s="3">
        <v>92.18</v>
      </c>
      <c r="J901" s="3">
        <v>116.44</v>
      </c>
      <c r="K901" s="3">
        <v>23.75</v>
      </c>
      <c r="L901" s="3">
        <v>73302.559999999998</v>
      </c>
      <c r="M901" s="3">
        <v>43127.72</v>
      </c>
      <c r="N901" s="3">
        <v>13.39</v>
      </c>
      <c r="O901" s="3">
        <v>5.3150000000000003E-2</v>
      </c>
      <c r="P901" s="3">
        <v>2.68</v>
      </c>
      <c r="Q901" s="3">
        <v>116.77</v>
      </c>
      <c r="R901" s="3">
        <v>36.814999999999998</v>
      </c>
      <c r="S901" s="3">
        <v>134.35</v>
      </c>
    </row>
    <row r="902" spans="1:19" ht="14.4" x14ac:dyDescent="0.3">
      <c r="A902" s="2">
        <v>45183</v>
      </c>
      <c r="B902" s="3">
        <v>79.64</v>
      </c>
      <c r="C902" s="3">
        <v>97.85</v>
      </c>
      <c r="D902" s="3">
        <v>111.5</v>
      </c>
      <c r="E902" s="3">
        <v>115.37</v>
      </c>
      <c r="F902" s="3">
        <v>108.41</v>
      </c>
      <c r="G902" s="3">
        <v>90.16</v>
      </c>
      <c r="H902" s="3">
        <v>93.7</v>
      </c>
      <c r="I902" s="3">
        <v>93.45</v>
      </c>
      <c r="J902" s="3">
        <v>118.52</v>
      </c>
      <c r="K902" s="3">
        <v>24.65</v>
      </c>
      <c r="L902" s="3">
        <v>74354.37</v>
      </c>
      <c r="M902" s="3">
        <v>44298.38</v>
      </c>
      <c r="N902" s="3">
        <v>13.365</v>
      </c>
      <c r="O902" s="3">
        <v>5.2560000000000003E-2</v>
      </c>
      <c r="P902" s="3">
        <v>2.7080000000000002</v>
      </c>
      <c r="Q902" s="3">
        <v>116.9</v>
      </c>
      <c r="R902" s="3">
        <v>35.520000000000003</v>
      </c>
      <c r="S902" s="3">
        <v>134.85</v>
      </c>
    </row>
    <row r="903" spans="1:19" ht="14.4" x14ac:dyDescent="0.3">
      <c r="A903" s="2">
        <v>45184</v>
      </c>
      <c r="B903" s="3">
        <v>85.45</v>
      </c>
      <c r="C903" s="3">
        <v>104.8</v>
      </c>
      <c r="D903" s="3">
        <v>118.88</v>
      </c>
      <c r="E903" s="3">
        <v>122.34</v>
      </c>
      <c r="F903" s="3">
        <v>111.18</v>
      </c>
      <c r="G903" s="3">
        <v>90.77</v>
      </c>
      <c r="H903" s="3">
        <v>93.93</v>
      </c>
      <c r="I903" s="3">
        <v>93.56</v>
      </c>
      <c r="J903" s="3">
        <v>116.7</v>
      </c>
      <c r="K903" s="3">
        <v>24.7</v>
      </c>
      <c r="L903" s="3">
        <v>74589.81</v>
      </c>
      <c r="M903" s="3">
        <v>45703.05</v>
      </c>
      <c r="N903" s="3">
        <v>13.329000000000001</v>
      </c>
      <c r="O903" s="3">
        <v>5.2580000000000002E-2</v>
      </c>
      <c r="P903" s="3">
        <v>2.6440000000000001</v>
      </c>
      <c r="Q903" s="3">
        <v>115.72</v>
      </c>
      <c r="R903" s="3">
        <v>36.484999999999999</v>
      </c>
      <c r="S903" s="3">
        <v>134.35</v>
      </c>
    </row>
    <row r="904" spans="1:19" ht="14.4" x14ac:dyDescent="0.3">
      <c r="A904" s="2">
        <v>45187</v>
      </c>
      <c r="B904" s="3">
        <v>85.45</v>
      </c>
      <c r="C904" s="3">
        <v>104.8</v>
      </c>
      <c r="D904" s="3">
        <v>118.88</v>
      </c>
      <c r="E904" s="3">
        <v>122.34</v>
      </c>
      <c r="F904" s="3">
        <v>111.18</v>
      </c>
      <c r="G904" s="3">
        <v>91.48</v>
      </c>
      <c r="H904" s="3">
        <v>94.43</v>
      </c>
      <c r="I904" s="3">
        <v>93.64</v>
      </c>
      <c r="J904" s="3">
        <v>117.64</v>
      </c>
      <c r="K904" s="3">
        <v>24.65</v>
      </c>
      <c r="L904" s="3">
        <v>73908.03</v>
      </c>
      <c r="M904" s="3">
        <v>45245.14</v>
      </c>
      <c r="N904" s="3">
        <v>13.99</v>
      </c>
      <c r="O904" s="3">
        <v>5.2580000000000002E-2</v>
      </c>
      <c r="P904" s="3">
        <v>2.7280000000000002</v>
      </c>
      <c r="Q904" s="3">
        <v>115.89</v>
      </c>
      <c r="R904" s="3">
        <v>34.475000000000001</v>
      </c>
      <c r="S904" s="3">
        <v>133</v>
      </c>
    </row>
    <row r="905" spans="1:19" ht="14.4" x14ac:dyDescent="0.3">
      <c r="A905" s="2">
        <v>45188</v>
      </c>
      <c r="B905" s="3">
        <v>85.45</v>
      </c>
      <c r="C905" s="3">
        <v>104.8</v>
      </c>
      <c r="D905" s="3">
        <v>118.88</v>
      </c>
      <c r="E905" s="3">
        <v>122.34</v>
      </c>
      <c r="F905" s="3">
        <v>111.18</v>
      </c>
      <c r="G905" s="3">
        <v>91.2</v>
      </c>
      <c r="H905" s="3">
        <v>94.34</v>
      </c>
      <c r="I905" s="3">
        <v>93.15</v>
      </c>
      <c r="J905" s="3">
        <v>117.33</v>
      </c>
      <c r="K905" s="3">
        <v>25.3</v>
      </c>
      <c r="L905" s="3">
        <v>73806.42</v>
      </c>
      <c r="M905" s="3">
        <v>45048.18</v>
      </c>
      <c r="N905" s="3">
        <v>14.25</v>
      </c>
      <c r="O905" s="3">
        <v>5.2780000000000001E-2</v>
      </c>
      <c r="P905" s="3">
        <v>2.8479999999999999</v>
      </c>
      <c r="Q905" s="3">
        <v>115.47</v>
      </c>
      <c r="R905" s="3">
        <v>36.78</v>
      </c>
      <c r="S905" s="1">
        <f>S906</f>
        <v>133</v>
      </c>
    </row>
    <row r="906" spans="1:19" ht="14.4" x14ac:dyDescent="0.3">
      <c r="A906" s="2">
        <v>45189</v>
      </c>
      <c r="B906" s="3">
        <v>85.45</v>
      </c>
      <c r="C906" s="3">
        <v>104.8</v>
      </c>
      <c r="D906" s="3">
        <v>118.88</v>
      </c>
      <c r="E906" s="3">
        <v>122.34</v>
      </c>
      <c r="F906" s="3">
        <v>111.18</v>
      </c>
      <c r="G906" s="3">
        <v>90.28</v>
      </c>
      <c r="H906" s="3">
        <v>93.53</v>
      </c>
      <c r="I906" s="3">
        <v>93.14</v>
      </c>
      <c r="J906" s="3">
        <v>116.4</v>
      </c>
      <c r="K906" s="3">
        <v>25.15</v>
      </c>
      <c r="L906" s="3">
        <v>74824.09</v>
      </c>
      <c r="M906" s="3">
        <v>46525.18</v>
      </c>
      <c r="N906" s="3">
        <v>14.24</v>
      </c>
      <c r="O906" s="3">
        <v>5.3030000000000001E-2</v>
      </c>
      <c r="P906" s="3">
        <v>2.7330000000000001</v>
      </c>
      <c r="Q906" s="3">
        <v>115.35</v>
      </c>
      <c r="R906" s="3">
        <v>37.284999999999997</v>
      </c>
      <c r="S906" s="3">
        <v>133</v>
      </c>
    </row>
    <row r="907" spans="1:19" ht="14.4" x14ac:dyDescent="0.3">
      <c r="A907" s="2">
        <v>45190</v>
      </c>
      <c r="B907" s="3">
        <v>85.45</v>
      </c>
      <c r="C907" s="3">
        <v>104.8</v>
      </c>
      <c r="D907" s="3">
        <v>118.88</v>
      </c>
      <c r="E907" s="3">
        <v>122.34</v>
      </c>
      <c r="F907" s="3">
        <v>111.18</v>
      </c>
      <c r="G907" s="3">
        <v>89.63</v>
      </c>
      <c r="H907" s="3">
        <v>93.3</v>
      </c>
      <c r="I907" s="3">
        <v>93.04</v>
      </c>
      <c r="J907" s="3">
        <v>114.76</v>
      </c>
      <c r="K907" s="3">
        <v>24.95</v>
      </c>
      <c r="L907" s="3">
        <v>73238.11</v>
      </c>
      <c r="M907" s="3">
        <v>45080.22</v>
      </c>
      <c r="N907" s="3">
        <v>14.33</v>
      </c>
      <c r="O907" s="3">
        <v>5.2729999999999999E-2</v>
      </c>
      <c r="P907" s="3">
        <v>2.61</v>
      </c>
      <c r="Q907" s="3">
        <v>112.42</v>
      </c>
      <c r="R907" s="3">
        <v>39.104999999999997</v>
      </c>
      <c r="S907" s="3">
        <v>131.6</v>
      </c>
    </row>
    <row r="908" spans="1:19" ht="14.4" x14ac:dyDescent="0.3">
      <c r="A908" s="2">
        <v>45191</v>
      </c>
      <c r="B908" s="3">
        <v>88.71</v>
      </c>
      <c r="C908" s="3">
        <v>107.76</v>
      </c>
      <c r="D908" s="3">
        <v>123.98</v>
      </c>
      <c r="E908" s="3">
        <v>131.77000000000001</v>
      </c>
      <c r="F908" s="3">
        <v>116.48</v>
      </c>
      <c r="G908" s="3">
        <v>90.03</v>
      </c>
      <c r="H908" s="3">
        <v>93.27</v>
      </c>
      <c r="I908" s="3">
        <v>93.05</v>
      </c>
      <c r="J908" s="3">
        <v>114.94</v>
      </c>
      <c r="K908" s="3">
        <v>25.15</v>
      </c>
      <c r="L908" s="3">
        <v>73398.78</v>
      </c>
      <c r="M908" s="3">
        <v>44977.93</v>
      </c>
      <c r="N908" s="3">
        <v>14.595000000000001</v>
      </c>
      <c r="O908" s="3">
        <v>5.3289999999999997E-2</v>
      </c>
      <c r="P908" s="3">
        <v>2.637</v>
      </c>
      <c r="Q908" s="3">
        <v>110.17</v>
      </c>
      <c r="R908" s="3">
        <v>39.790999999999997</v>
      </c>
      <c r="S908" s="3">
        <v>130.75</v>
      </c>
    </row>
    <row r="909" spans="1:19" ht="14.4" x14ac:dyDescent="0.3">
      <c r="A909" s="2">
        <v>45194</v>
      </c>
      <c r="B909" s="3">
        <v>88.71</v>
      </c>
      <c r="C909" s="3">
        <v>107.76</v>
      </c>
      <c r="D909" s="3">
        <v>123.98</v>
      </c>
      <c r="E909" s="3">
        <v>131.77000000000001</v>
      </c>
      <c r="F909" s="3">
        <v>116.48</v>
      </c>
      <c r="G909" s="3">
        <v>89.68</v>
      </c>
      <c r="H909" s="3">
        <v>93.29</v>
      </c>
      <c r="I909" s="3">
        <v>92.91</v>
      </c>
      <c r="J909" s="3">
        <v>116.23</v>
      </c>
      <c r="K909" s="3">
        <v>25</v>
      </c>
      <c r="L909" s="5">
        <f>FORECAST(A909,L903:L908,A903:A908)</f>
        <v>73065.725945944898</v>
      </c>
      <c r="M909" s="5">
        <f>FORECAST(A909,M903:M908,A903:A908)</f>
        <v>45076.56729729753</v>
      </c>
      <c r="N909" s="3">
        <v>14.99</v>
      </c>
      <c r="O909" s="3">
        <v>5.323E-2</v>
      </c>
      <c r="P909" s="3">
        <v>2.6389999999999998</v>
      </c>
      <c r="Q909" s="3">
        <v>109.18</v>
      </c>
      <c r="R909" s="3">
        <v>44.44</v>
      </c>
      <c r="S909" s="3">
        <v>131.15</v>
      </c>
    </row>
    <row r="910" spans="1:19" ht="14.4" x14ac:dyDescent="0.3">
      <c r="A910" s="2">
        <v>45195</v>
      </c>
      <c r="B910" s="3">
        <v>88.71</v>
      </c>
      <c r="C910" s="3">
        <v>107.76</v>
      </c>
      <c r="D910" s="3">
        <v>123.98</v>
      </c>
      <c r="E910" s="3">
        <v>131.77000000000001</v>
      </c>
      <c r="F910" s="3">
        <v>116.48</v>
      </c>
      <c r="G910" s="3">
        <v>90.39</v>
      </c>
      <c r="H910" s="3">
        <v>93.96</v>
      </c>
      <c r="I910" s="3">
        <v>93.03</v>
      </c>
      <c r="J910" s="3">
        <v>116.41</v>
      </c>
      <c r="K910" s="3">
        <v>24.75</v>
      </c>
      <c r="L910" s="3">
        <v>72652.100000000006</v>
      </c>
      <c r="M910" s="3">
        <v>44554.06</v>
      </c>
      <c r="N910" s="3">
        <v>14.65</v>
      </c>
      <c r="O910" s="3">
        <v>5.2400000000000002E-2</v>
      </c>
      <c r="P910" s="3">
        <v>2.6560000000000001</v>
      </c>
      <c r="Q910" s="3">
        <v>107.23</v>
      </c>
      <c r="R910" s="3">
        <v>40.32</v>
      </c>
      <c r="S910" s="3">
        <v>131.75</v>
      </c>
    </row>
    <row r="911" spans="1:19" ht="14.4" x14ac:dyDescent="0.3">
      <c r="A911" s="2">
        <v>45196</v>
      </c>
      <c r="B911" s="3">
        <v>88.71</v>
      </c>
      <c r="C911" s="3">
        <v>107.76</v>
      </c>
      <c r="D911" s="3">
        <v>123.98</v>
      </c>
      <c r="E911" s="3">
        <v>131.77000000000001</v>
      </c>
      <c r="F911" s="3">
        <v>116.48</v>
      </c>
      <c r="G911" s="3">
        <v>93.68</v>
      </c>
      <c r="H911" s="3">
        <v>96.55</v>
      </c>
      <c r="I911" s="3">
        <v>93.26</v>
      </c>
      <c r="J911" s="3">
        <v>120.2</v>
      </c>
      <c r="K911" s="3">
        <v>24.9</v>
      </c>
      <c r="L911" s="3">
        <v>72174.14</v>
      </c>
      <c r="M911" s="3">
        <v>42759.26</v>
      </c>
      <c r="N911" s="3">
        <v>14.595000000000001</v>
      </c>
      <c r="O911" s="3">
        <v>5.2010000000000001E-2</v>
      </c>
      <c r="P911" s="3">
        <v>2.7639999999999998</v>
      </c>
      <c r="Q911" s="3">
        <v>108.27</v>
      </c>
      <c r="R911" s="3">
        <v>39.295000000000002</v>
      </c>
      <c r="S911" s="3">
        <v>132.1</v>
      </c>
    </row>
    <row r="912" spans="1:19" ht="14.4" x14ac:dyDescent="0.3">
      <c r="A912" s="2">
        <v>45197</v>
      </c>
      <c r="B912" s="3">
        <v>88.71</v>
      </c>
      <c r="C912" s="3">
        <v>107.76</v>
      </c>
      <c r="D912" s="3">
        <v>123.98</v>
      </c>
      <c r="E912" s="3">
        <v>131.77000000000001</v>
      </c>
      <c r="F912" s="3">
        <v>116.48</v>
      </c>
      <c r="G912" s="3">
        <v>91.71</v>
      </c>
      <c r="H912" s="3">
        <v>95.38</v>
      </c>
      <c r="I912" s="3">
        <v>93.16</v>
      </c>
      <c r="J912" s="3">
        <v>119.47</v>
      </c>
      <c r="K912" s="3">
        <v>25.05</v>
      </c>
      <c r="L912" s="3">
        <v>72505.990000000005</v>
      </c>
      <c r="M912" s="3">
        <v>42280.93</v>
      </c>
      <c r="N912" s="3">
        <v>14.76</v>
      </c>
      <c r="O912" s="3">
        <v>5.2639999999999999E-2</v>
      </c>
      <c r="P912" s="3">
        <v>2.9449999999999998</v>
      </c>
      <c r="Q912" s="3">
        <v>110.82</v>
      </c>
      <c r="R912" s="3">
        <v>39.735999999999997</v>
      </c>
      <c r="S912" s="3">
        <v>131.05000000000001</v>
      </c>
    </row>
    <row r="913" spans="1:19" ht="14.4" x14ac:dyDescent="0.3">
      <c r="A913" s="2">
        <v>45198</v>
      </c>
      <c r="B913" s="3">
        <v>89.84</v>
      </c>
      <c r="C913" s="3">
        <v>109.47</v>
      </c>
      <c r="D913" s="3">
        <v>125.8</v>
      </c>
      <c r="E913" s="3">
        <v>133.79</v>
      </c>
      <c r="F913" s="3">
        <v>118.29</v>
      </c>
      <c r="G913" s="3">
        <v>90.79</v>
      </c>
      <c r="H913" s="3">
        <v>95.31</v>
      </c>
      <c r="I913" s="3">
        <v>93.31</v>
      </c>
      <c r="J913" s="3">
        <v>117.58</v>
      </c>
      <c r="K913" s="3">
        <v>25.4</v>
      </c>
      <c r="L913" s="3">
        <v>72382.89</v>
      </c>
      <c r="M913" s="3">
        <v>41843.379999999997</v>
      </c>
      <c r="N913" s="3">
        <v>14.63</v>
      </c>
      <c r="O913" s="3">
        <v>5.2789999999999997E-2</v>
      </c>
      <c r="P913" s="3">
        <v>2.9289999999999998</v>
      </c>
      <c r="Q913" s="3">
        <v>110.02</v>
      </c>
      <c r="R913" s="3">
        <v>41.859000000000002</v>
      </c>
      <c r="S913" s="3">
        <v>132.19999999999999</v>
      </c>
    </row>
    <row r="914" spans="1:19" ht="14.4" x14ac:dyDescent="0.3">
      <c r="A914" s="2">
        <v>45201</v>
      </c>
      <c r="B914" s="3">
        <v>89.84</v>
      </c>
      <c r="C914" s="3">
        <v>109.47</v>
      </c>
      <c r="D914" s="3">
        <v>125.8</v>
      </c>
      <c r="E914" s="3">
        <v>133.79</v>
      </c>
      <c r="F914" s="3">
        <v>118.29</v>
      </c>
      <c r="G914" s="3">
        <v>88.82</v>
      </c>
      <c r="H914" s="3">
        <v>90.71</v>
      </c>
      <c r="I914" s="3">
        <v>91.33</v>
      </c>
      <c r="J914" s="3">
        <v>115.63</v>
      </c>
      <c r="K914" s="5">
        <f>FORECAST(A914,K908:K913,A908:A913)</f>
        <v>25.147297297297314</v>
      </c>
      <c r="L914" s="3">
        <v>71238.06</v>
      </c>
      <c r="M914" s="3">
        <v>40144.589999999997</v>
      </c>
      <c r="N914" s="3">
        <v>14.395</v>
      </c>
      <c r="O914" s="3">
        <v>5.2019999999999997E-2</v>
      </c>
      <c r="P914" s="3">
        <v>2.84</v>
      </c>
      <c r="Q914" s="3">
        <v>109.22</v>
      </c>
      <c r="R914" s="3">
        <v>39.335000000000001</v>
      </c>
      <c r="S914" s="1">
        <f>S915</f>
        <v>133</v>
      </c>
    </row>
    <row r="915" spans="1:19" ht="14.4" x14ac:dyDescent="0.3">
      <c r="A915" s="2">
        <v>45202</v>
      </c>
      <c r="B915" s="3">
        <v>89.84</v>
      </c>
      <c r="C915" s="3">
        <v>109.47</v>
      </c>
      <c r="D915" s="3">
        <v>125.8</v>
      </c>
      <c r="E915" s="3">
        <v>133.79</v>
      </c>
      <c r="F915" s="3">
        <v>118.29</v>
      </c>
      <c r="G915" s="3">
        <v>89.23</v>
      </c>
      <c r="H915" s="3">
        <v>90.92</v>
      </c>
      <c r="I915" s="3">
        <v>91.43</v>
      </c>
      <c r="J915" s="3">
        <v>115.83</v>
      </c>
      <c r="K915" s="3">
        <v>24.4</v>
      </c>
      <c r="L915" s="3">
        <v>70773.210000000006</v>
      </c>
      <c r="M915" s="3">
        <v>39779.230000000003</v>
      </c>
      <c r="N915" s="3">
        <v>14.244999999999999</v>
      </c>
      <c r="O915" s="3">
        <v>5.1679999999999997E-2</v>
      </c>
      <c r="P915" s="3">
        <v>2.9489999999999998</v>
      </c>
      <c r="Q915" s="3">
        <v>107.59</v>
      </c>
      <c r="R915" s="3">
        <v>36.984999999999999</v>
      </c>
      <c r="S915" s="3">
        <v>133</v>
      </c>
    </row>
    <row r="916" spans="1:19" ht="14.4" x14ac:dyDescent="0.3">
      <c r="A916" s="2">
        <v>45203</v>
      </c>
      <c r="B916" s="3">
        <v>89.84</v>
      </c>
      <c r="C916" s="3">
        <v>109.47</v>
      </c>
      <c r="D916" s="3">
        <v>125.8</v>
      </c>
      <c r="E916" s="3">
        <v>133.79</v>
      </c>
      <c r="F916" s="3">
        <v>118.29</v>
      </c>
      <c r="G916" s="3">
        <v>84.22</v>
      </c>
      <c r="H916" s="3">
        <v>85.81</v>
      </c>
      <c r="I916" s="3">
        <v>86.93</v>
      </c>
      <c r="J916" s="3">
        <v>111.5</v>
      </c>
      <c r="K916" s="3">
        <v>24.3</v>
      </c>
      <c r="L916" s="3">
        <v>70564.69</v>
      </c>
      <c r="M916" s="3">
        <v>39722.82</v>
      </c>
      <c r="N916" s="3">
        <v>14.15</v>
      </c>
      <c r="O916" s="3">
        <v>5.1670000000000001E-2</v>
      </c>
      <c r="P916" s="3">
        <v>2.9620000000000002</v>
      </c>
      <c r="Q916" s="3">
        <v>109.03</v>
      </c>
      <c r="R916" s="3">
        <v>38.44</v>
      </c>
      <c r="S916" s="3">
        <v>129.65</v>
      </c>
    </row>
    <row r="917" spans="1:19" ht="14.4" x14ac:dyDescent="0.3">
      <c r="A917" s="2">
        <v>45204</v>
      </c>
      <c r="B917" s="3">
        <v>89.84</v>
      </c>
      <c r="C917" s="3">
        <v>109.47</v>
      </c>
      <c r="D917" s="3">
        <v>125.8</v>
      </c>
      <c r="E917" s="3">
        <v>133.79</v>
      </c>
      <c r="F917" s="3">
        <v>118.29</v>
      </c>
      <c r="G917" s="3">
        <v>82.31</v>
      </c>
      <c r="H917" s="3">
        <v>84.07</v>
      </c>
      <c r="I917" s="3">
        <v>85.5</v>
      </c>
      <c r="J917" s="3">
        <v>108.99</v>
      </c>
      <c r="K917" s="3">
        <v>24.3</v>
      </c>
      <c r="L917" s="3">
        <v>71249.59</v>
      </c>
      <c r="M917" s="3">
        <v>39830.99</v>
      </c>
      <c r="N917" s="3">
        <v>14.105</v>
      </c>
      <c r="O917" s="3">
        <v>5.1209999999999999E-2</v>
      </c>
      <c r="P917" s="3">
        <v>3.1659999999999999</v>
      </c>
      <c r="Q917" s="3">
        <v>109.69</v>
      </c>
      <c r="R917" s="3">
        <v>36.204999999999998</v>
      </c>
      <c r="S917" s="3">
        <v>133.19999999999999</v>
      </c>
    </row>
    <row r="918" spans="1:19" ht="14.4" x14ac:dyDescent="0.3">
      <c r="A918" s="2">
        <v>45205</v>
      </c>
      <c r="B918" s="3">
        <v>84.48</v>
      </c>
      <c r="C918" s="3">
        <v>101.92</v>
      </c>
      <c r="D918" s="3">
        <v>117.35</v>
      </c>
      <c r="E918" s="3">
        <v>125.44</v>
      </c>
      <c r="F918" s="3">
        <v>119.6</v>
      </c>
      <c r="G918" s="3">
        <v>82.79</v>
      </c>
      <c r="H918" s="3">
        <v>84.58</v>
      </c>
      <c r="I918" s="3">
        <v>85.88</v>
      </c>
      <c r="J918" s="3">
        <v>107.17</v>
      </c>
      <c r="K918" s="3">
        <v>24.5</v>
      </c>
      <c r="L918" s="3">
        <v>71657.25</v>
      </c>
      <c r="M918" s="3">
        <v>40455.800000000003</v>
      </c>
      <c r="N918" s="3">
        <v>14.074999999999999</v>
      </c>
      <c r="O918" s="3">
        <v>5.1720000000000002E-2</v>
      </c>
      <c r="P918" s="3">
        <v>3.3380000000000001</v>
      </c>
      <c r="Q918" s="3">
        <v>110.88</v>
      </c>
      <c r="R918" s="3">
        <v>38.231000000000002</v>
      </c>
      <c r="S918" s="3">
        <v>133.80000000000001</v>
      </c>
    </row>
    <row r="919" spans="1:19" ht="14.4" x14ac:dyDescent="0.3">
      <c r="A919" s="2">
        <v>45208</v>
      </c>
      <c r="B919" s="3">
        <v>84.48</v>
      </c>
      <c r="C919" s="3">
        <v>101.92</v>
      </c>
      <c r="D919" s="3">
        <v>117.35</v>
      </c>
      <c r="E919" s="3">
        <v>125.44</v>
      </c>
      <c r="F919" s="3">
        <v>119.6</v>
      </c>
      <c r="G919" s="3">
        <v>86.38</v>
      </c>
      <c r="H919" s="3">
        <v>88.15</v>
      </c>
      <c r="I919" s="3">
        <v>88.54</v>
      </c>
      <c r="J919" s="3">
        <v>110.92</v>
      </c>
      <c r="K919" s="3">
        <v>25</v>
      </c>
      <c r="L919" s="3">
        <v>71648.39</v>
      </c>
      <c r="M919" s="3">
        <v>42542.51</v>
      </c>
      <c r="N919" s="3">
        <v>14.154999999999999</v>
      </c>
      <c r="O919" s="3">
        <v>5.1700000000000003E-2</v>
      </c>
      <c r="P919" s="3">
        <v>3.3759999999999999</v>
      </c>
      <c r="Q919" s="3">
        <v>112.13</v>
      </c>
      <c r="R919" s="3">
        <v>43.954999999999998</v>
      </c>
      <c r="S919" s="3">
        <v>131.5</v>
      </c>
    </row>
    <row r="920" spans="1:19" ht="14.4" x14ac:dyDescent="0.3">
      <c r="A920" s="4">
        <v>45209</v>
      </c>
      <c r="B920" s="3">
        <v>84.48</v>
      </c>
      <c r="C920" s="3">
        <v>101.92</v>
      </c>
      <c r="D920" s="3">
        <v>117.35</v>
      </c>
      <c r="E920" s="3">
        <v>125.44</v>
      </c>
      <c r="F920" s="3">
        <v>119.6</v>
      </c>
      <c r="G920" s="3">
        <v>85.97</v>
      </c>
      <c r="H920" s="3">
        <v>87.65</v>
      </c>
      <c r="I920" s="3">
        <v>88.22</v>
      </c>
      <c r="J920" s="3">
        <v>110.45</v>
      </c>
      <c r="K920" s="3">
        <v>24.8</v>
      </c>
      <c r="L920" s="3">
        <v>73840.5</v>
      </c>
      <c r="M920" s="3">
        <v>44879.21</v>
      </c>
      <c r="N920" s="3">
        <v>14.244999999999999</v>
      </c>
      <c r="O920" s="3">
        <v>5.2560000000000003E-2</v>
      </c>
      <c r="P920" s="3">
        <v>3.3820000000000001</v>
      </c>
      <c r="Q920" s="3">
        <v>111.76</v>
      </c>
      <c r="R920" s="3">
        <v>49.454999999999998</v>
      </c>
      <c r="S920" s="3">
        <v>134</v>
      </c>
    </row>
    <row r="921" spans="1:19" ht="14.4" x14ac:dyDescent="0.3">
      <c r="A921" s="4">
        <v>45210</v>
      </c>
      <c r="B921" s="3">
        <v>84.48</v>
      </c>
      <c r="C921" s="3">
        <v>101.92</v>
      </c>
      <c r="D921" s="3">
        <v>117.35</v>
      </c>
      <c r="E921" s="3">
        <v>125.44</v>
      </c>
      <c r="F921" s="3">
        <v>119.6</v>
      </c>
      <c r="G921" s="3">
        <v>83.49</v>
      </c>
      <c r="H921" s="3">
        <v>85.82</v>
      </c>
      <c r="I921" s="3">
        <v>87.21</v>
      </c>
      <c r="J921" s="3">
        <v>106.49</v>
      </c>
      <c r="K921" s="3">
        <v>24.7</v>
      </c>
      <c r="L921" s="3">
        <v>73849.53</v>
      </c>
      <c r="M921" s="3">
        <v>45475.45</v>
      </c>
      <c r="N921" s="3">
        <v>14.305</v>
      </c>
      <c r="O921" s="3">
        <v>5.3080000000000002E-2</v>
      </c>
      <c r="P921" s="3">
        <v>3.3769999999999998</v>
      </c>
      <c r="Q921" s="3">
        <v>111.45</v>
      </c>
      <c r="R921" s="3">
        <v>46.07</v>
      </c>
      <c r="S921" s="3">
        <v>133.19999999999999</v>
      </c>
    </row>
    <row r="922" spans="1:19" ht="14.4" x14ac:dyDescent="0.3">
      <c r="A922" s="4">
        <v>45211</v>
      </c>
      <c r="B922" s="3">
        <v>84.48</v>
      </c>
      <c r="C922" s="3">
        <v>101.92</v>
      </c>
      <c r="D922" s="3">
        <v>117.35</v>
      </c>
      <c r="E922" s="3">
        <v>125.44</v>
      </c>
      <c r="F922" s="3">
        <v>119.6</v>
      </c>
      <c r="G922" s="3">
        <v>82.91</v>
      </c>
      <c r="H922" s="3">
        <v>86</v>
      </c>
      <c r="I922" s="3">
        <v>87.37</v>
      </c>
      <c r="J922" s="3">
        <v>106.47</v>
      </c>
      <c r="K922" s="3">
        <v>24.75</v>
      </c>
      <c r="L922" s="3">
        <v>73390.81</v>
      </c>
      <c r="M922" s="3">
        <v>46076.33</v>
      </c>
      <c r="N922" s="3">
        <v>14.36</v>
      </c>
      <c r="O922" s="3">
        <v>5.2549999999999999E-2</v>
      </c>
      <c r="P922" s="3">
        <v>3.3439999999999999</v>
      </c>
      <c r="Q922" s="3">
        <v>110.77</v>
      </c>
      <c r="R922" s="3">
        <v>53</v>
      </c>
      <c r="S922" s="3">
        <v>134.9</v>
      </c>
    </row>
    <row r="923" spans="1:19" ht="14.4" x14ac:dyDescent="0.3">
      <c r="A923" s="4">
        <v>45212</v>
      </c>
      <c r="B923" s="3">
        <v>91.16</v>
      </c>
      <c r="C923" s="3">
        <v>112.25</v>
      </c>
      <c r="D923" s="3">
        <v>125.93</v>
      </c>
      <c r="E923" s="3">
        <v>133.41</v>
      </c>
      <c r="F923" s="3">
        <v>123.7</v>
      </c>
      <c r="G923" s="3">
        <v>87.69</v>
      </c>
      <c r="H923" s="3">
        <v>90.89</v>
      </c>
      <c r="I923" s="3">
        <v>90.12</v>
      </c>
      <c r="J923" s="3">
        <v>109.87</v>
      </c>
      <c r="K923" s="3">
        <v>24.6</v>
      </c>
      <c r="L923" s="3">
        <v>72919.72</v>
      </c>
      <c r="M923" s="3">
        <v>48333.07</v>
      </c>
      <c r="N923" s="3">
        <v>14.475</v>
      </c>
      <c r="O923" s="3">
        <v>5.2639999999999999E-2</v>
      </c>
      <c r="P923" s="3">
        <v>3.2360000000000002</v>
      </c>
      <c r="Q923" s="3">
        <v>110.43</v>
      </c>
      <c r="R923" s="3">
        <v>53.981999999999999</v>
      </c>
      <c r="S923" s="3">
        <v>134.5</v>
      </c>
    </row>
    <row r="924" spans="1:19" ht="14.4" x14ac:dyDescent="0.3">
      <c r="A924" s="4">
        <v>45215</v>
      </c>
      <c r="B924" s="3">
        <v>91.16</v>
      </c>
      <c r="C924" s="3">
        <v>112.25</v>
      </c>
      <c r="D924" s="3">
        <v>125.93</v>
      </c>
      <c r="E924" s="3">
        <v>133.41</v>
      </c>
      <c r="F924" s="3">
        <v>123.7</v>
      </c>
      <c r="G924" s="3">
        <v>86.66</v>
      </c>
      <c r="H924" s="3">
        <v>89.65</v>
      </c>
      <c r="I924" s="3">
        <v>89.61</v>
      </c>
      <c r="J924" s="3">
        <v>109.95</v>
      </c>
      <c r="K924" s="3">
        <v>24.95</v>
      </c>
      <c r="L924" s="3">
        <v>73146.75</v>
      </c>
      <c r="M924" s="3">
        <v>47887.94</v>
      </c>
      <c r="N924" s="3">
        <v>17.72</v>
      </c>
      <c r="O924" s="3">
        <v>5.323E-2</v>
      </c>
      <c r="P924" s="3">
        <v>3.109</v>
      </c>
      <c r="Q924" s="3">
        <v>111.92</v>
      </c>
      <c r="R924" s="3">
        <v>48.465000000000003</v>
      </c>
      <c r="S924" s="3">
        <v>135.1</v>
      </c>
    </row>
    <row r="925" spans="1:19" ht="14.4" x14ac:dyDescent="0.3">
      <c r="A925" s="4">
        <v>45216</v>
      </c>
      <c r="B925" s="3">
        <v>91.16</v>
      </c>
      <c r="C925" s="3">
        <v>112.25</v>
      </c>
      <c r="D925" s="3">
        <v>125.93</v>
      </c>
      <c r="E925" s="3">
        <v>133.41</v>
      </c>
      <c r="F925" s="3">
        <v>123.7</v>
      </c>
      <c r="G925" s="3">
        <v>86.66</v>
      </c>
      <c r="H925" s="3">
        <v>89.9</v>
      </c>
      <c r="I925" s="3">
        <v>89.84</v>
      </c>
      <c r="J925" s="3">
        <v>111.39</v>
      </c>
      <c r="K925" s="3">
        <v>24.75</v>
      </c>
      <c r="L925" s="3">
        <v>72831.8</v>
      </c>
      <c r="M925" s="3">
        <v>48304.44</v>
      </c>
      <c r="N925" s="3">
        <v>17.645</v>
      </c>
      <c r="O925" s="3">
        <v>5.3100000000000001E-2</v>
      </c>
      <c r="P925" s="3">
        <v>3.0790000000000002</v>
      </c>
      <c r="Q925" s="3">
        <v>111.76</v>
      </c>
      <c r="R925" s="3">
        <v>48.895000000000003</v>
      </c>
      <c r="S925" s="3">
        <v>136</v>
      </c>
    </row>
    <row r="926" spans="1:19" ht="14.4" x14ac:dyDescent="0.3">
      <c r="A926" s="4">
        <v>45217</v>
      </c>
      <c r="B926" s="3">
        <v>91.16</v>
      </c>
      <c r="C926" s="3">
        <v>112.25</v>
      </c>
      <c r="D926" s="3">
        <v>125.93</v>
      </c>
      <c r="E926" s="3">
        <v>133.41</v>
      </c>
      <c r="F926" s="3">
        <v>123.7</v>
      </c>
      <c r="G926" s="3">
        <v>88.32</v>
      </c>
      <c r="H926" s="3">
        <v>91.5</v>
      </c>
      <c r="I926" s="3">
        <v>90.53</v>
      </c>
      <c r="J926" s="3">
        <v>112.95</v>
      </c>
      <c r="K926" s="3">
        <v>24.75</v>
      </c>
      <c r="L926" s="3">
        <v>71968.67</v>
      </c>
      <c r="M926" s="3">
        <v>47493.34</v>
      </c>
      <c r="N926" s="3">
        <v>18.29</v>
      </c>
      <c r="O926" s="3">
        <v>5.2639999999999999E-2</v>
      </c>
      <c r="P926" s="3">
        <v>3.056</v>
      </c>
      <c r="Q926" s="3">
        <v>109.64</v>
      </c>
      <c r="R926" s="3">
        <v>50.835000000000001</v>
      </c>
      <c r="S926" s="3">
        <v>133.6</v>
      </c>
    </row>
    <row r="927" spans="1:19" ht="14.4" x14ac:dyDescent="0.3">
      <c r="A927" s="4">
        <v>45218</v>
      </c>
      <c r="B927" s="3">
        <v>91.16</v>
      </c>
      <c r="C927" s="3">
        <v>112.25</v>
      </c>
      <c r="D927" s="3">
        <v>125.93</v>
      </c>
      <c r="E927" s="3">
        <v>133.41</v>
      </c>
      <c r="F927" s="3">
        <v>123.7</v>
      </c>
      <c r="G927" s="3">
        <v>89.37</v>
      </c>
      <c r="H927" s="3">
        <v>92.38</v>
      </c>
      <c r="I927" s="3">
        <v>90.83</v>
      </c>
      <c r="J927" s="3">
        <v>113.02</v>
      </c>
      <c r="K927" s="3">
        <v>24.2</v>
      </c>
      <c r="L927" s="3">
        <v>70961.33</v>
      </c>
      <c r="M927" s="3">
        <v>46016.37</v>
      </c>
      <c r="N927" s="3">
        <v>18.245000000000001</v>
      </c>
      <c r="O927" s="3">
        <v>5.2560000000000003E-2</v>
      </c>
      <c r="P927" s="3">
        <v>2.9569999999999999</v>
      </c>
      <c r="Q927" s="3">
        <v>109.57</v>
      </c>
      <c r="R927" s="3">
        <v>50.17</v>
      </c>
      <c r="S927" s="3">
        <v>133.69999999999999</v>
      </c>
    </row>
    <row r="928" spans="1:19" ht="14.4" x14ac:dyDescent="0.3">
      <c r="A928" s="4">
        <v>45219</v>
      </c>
      <c r="B928" s="3">
        <v>94.45</v>
      </c>
      <c r="C928" s="3">
        <v>113.71</v>
      </c>
      <c r="D928" s="3">
        <v>128.44</v>
      </c>
      <c r="E928" s="3">
        <v>134.72999999999999</v>
      </c>
      <c r="F928" s="3">
        <v>124.55</v>
      </c>
      <c r="G928" s="3">
        <v>88.75</v>
      </c>
      <c r="H928" s="3">
        <v>92.16</v>
      </c>
      <c r="I928" s="3">
        <v>90.66</v>
      </c>
      <c r="J928" s="3">
        <v>111.08</v>
      </c>
      <c r="K928" s="3">
        <v>24.15</v>
      </c>
      <c r="L928" s="3">
        <v>70198.009999999995</v>
      </c>
      <c r="M928" s="3">
        <v>47586.400000000001</v>
      </c>
      <c r="N928" s="3">
        <v>18.399999999999999</v>
      </c>
      <c r="O928" s="3">
        <v>5.2639999999999999E-2</v>
      </c>
      <c r="P928" s="3">
        <v>2.899</v>
      </c>
      <c r="Q928" s="3">
        <v>108.02</v>
      </c>
      <c r="R928" s="3">
        <v>51.112000000000002</v>
      </c>
      <c r="S928" s="3">
        <v>131.15</v>
      </c>
    </row>
    <row r="929" spans="1:19" ht="14.4" x14ac:dyDescent="0.3">
      <c r="A929" s="4">
        <v>45222</v>
      </c>
      <c r="B929" s="3">
        <v>94.45</v>
      </c>
      <c r="C929" s="3">
        <v>113.71</v>
      </c>
      <c r="D929" s="3">
        <v>128.44</v>
      </c>
      <c r="E929" s="3">
        <v>134.72999999999999</v>
      </c>
      <c r="F929" s="3">
        <v>124.55</v>
      </c>
      <c r="G929" s="3">
        <v>85.49</v>
      </c>
      <c r="H929" s="3">
        <v>89.83</v>
      </c>
      <c r="I929" s="3">
        <v>90.07</v>
      </c>
      <c r="J929" s="3">
        <v>109.45</v>
      </c>
      <c r="K929" s="5">
        <f>FORECAST(A929,K923:K928,A923:A928)</f>
        <v>24.128378378378329</v>
      </c>
      <c r="L929" s="3">
        <v>70100.28</v>
      </c>
      <c r="M929" s="3">
        <v>45518.11</v>
      </c>
      <c r="N929" s="3">
        <v>18.585000000000001</v>
      </c>
      <c r="O929" s="3">
        <v>5.2720000000000003E-2</v>
      </c>
      <c r="P929" s="3">
        <v>2.9260000000000002</v>
      </c>
      <c r="Q929" s="3">
        <v>107.71</v>
      </c>
      <c r="R929" s="3">
        <v>51.274999999999999</v>
      </c>
      <c r="S929" s="3">
        <v>126.3</v>
      </c>
    </row>
    <row r="930" spans="1:19" ht="14.4" x14ac:dyDescent="0.3">
      <c r="A930" s="4">
        <v>45223</v>
      </c>
      <c r="B930" s="3">
        <v>94.45</v>
      </c>
      <c r="C930" s="3">
        <v>113.71</v>
      </c>
      <c r="D930" s="3">
        <v>128.44</v>
      </c>
      <c r="E930" s="3">
        <v>134.72999999999999</v>
      </c>
      <c r="F930" s="3">
        <v>124.55</v>
      </c>
      <c r="G930" s="3">
        <v>83.74</v>
      </c>
      <c r="H930" s="3">
        <v>88.07</v>
      </c>
      <c r="I930" s="3">
        <v>89.54</v>
      </c>
      <c r="J930" s="3">
        <v>108.39</v>
      </c>
      <c r="K930" s="3">
        <v>24.15</v>
      </c>
      <c r="L930" s="3">
        <v>70578.25</v>
      </c>
      <c r="M930" s="3">
        <v>44584.84</v>
      </c>
      <c r="N930" s="3">
        <v>17.84</v>
      </c>
      <c r="O930" s="3">
        <v>5.246E-2</v>
      </c>
      <c r="P930" s="3">
        <v>2.9710000000000001</v>
      </c>
      <c r="Q930" s="3">
        <v>106.93</v>
      </c>
      <c r="R930" s="3">
        <v>49.265000000000001</v>
      </c>
      <c r="S930" s="1">
        <f>S931</f>
        <v>124.45</v>
      </c>
    </row>
    <row r="931" spans="1:19" ht="14.4" x14ac:dyDescent="0.3">
      <c r="A931" s="4">
        <v>45224</v>
      </c>
      <c r="B931" s="3">
        <v>94.45</v>
      </c>
      <c r="C931" s="3">
        <v>113.71</v>
      </c>
      <c r="D931" s="3">
        <v>128.44</v>
      </c>
      <c r="E931" s="3">
        <v>134.72999999999999</v>
      </c>
      <c r="F931" s="3">
        <v>124.55</v>
      </c>
      <c r="G931" s="3">
        <v>85.39</v>
      </c>
      <c r="H931" s="3">
        <v>90.13</v>
      </c>
      <c r="I931" s="3">
        <v>90.02</v>
      </c>
      <c r="J931" s="3">
        <v>108.59</v>
      </c>
      <c r="K931" s="3">
        <v>24.1</v>
      </c>
      <c r="L931" s="3">
        <v>70274.34</v>
      </c>
      <c r="M931" s="3">
        <v>44392.56</v>
      </c>
      <c r="N931" s="3">
        <v>17.954999999999998</v>
      </c>
      <c r="O931" s="3">
        <v>5.2269999999999997E-2</v>
      </c>
      <c r="P931" s="3">
        <v>3.01</v>
      </c>
      <c r="Q931" s="3">
        <v>106.73</v>
      </c>
      <c r="R931" s="3">
        <v>49.924999999999997</v>
      </c>
      <c r="S931" s="3">
        <v>124.45</v>
      </c>
    </row>
    <row r="932" spans="1:19" ht="14.4" x14ac:dyDescent="0.3">
      <c r="A932" s="4">
        <v>45225</v>
      </c>
      <c r="B932" s="3">
        <v>94.45</v>
      </c>
      <c r="C932" s="3">
        <v>113.71</v>
      </c>
      <c r="D932" s="3">
        <v>128.44</v>
      </c>
      <c r="E932" s="3">
        <v>134.72999999999999</v>
      </c>
      <c r="F932" s="3">
        <v>124.55</v>
      </c>
      <c r="G932" s="3">
        <v>83.21</v>
      </c>
      <c r="H932" s="3">
        <v>87.93</v>
      </c>
      <c r="I932" s="3">
        <v>89.64</v>
      </c>
      <c r="J932" s="3">
        <v>107.6</v>
      </c>
      <c r="K932" s="3">
        <v>24.15</v>
      </c>
      <c r="L932" s="3">
        <v>69930.52</v>
      </c>
      <c r="M932" s="3">
        <v>44802.67</v>
      </c>
      <c r="N932" s="3">
        <v>17.91</v>
      </c>
      <c r="O932" s="3">
        <v>5.2720000000000003E-2</v>
      </c>
      <c r="P932" s="3">
        <v>3.214</v>
      </c>
      <c r="Q932" s="3">
        <v>107.29</v>
      </c>
      <c r="R932" s="3">
        <v>50.81</v>
      </c>
      <c r="S932" s="3">
        <v>123.45</v>
      </c>
    </row>
    <row r="933" spans="1:19" ht="14.4" x14ac:dyDescent="0.3">
      <c r="A933" s="4">
        <v>45226</v>
      </c>
      <c r="B933" s="3">
        <v>88.64</v>
      </c>
      <c r="C933" s="3">
        <v>107.51</v>
      </c>
      <c r="D933" s="3">
        <v>121.68</v>
      </c>
      <c r="E933" s="3">
        <v>126.8</v>
      </c>
      <c r="F933" s="3">
        <v>121.91</v>
      </c>
      <c r="G933" s="3">
        <v>85.54</v>
      </c>
      <c r="H933" s="3">
        <v>90.48</v>
      </c>
      <c r="I933" s="3">
        <v>89.88</v>
      </c>
      <c r="J933" s="3">
        <v>105.55</v>
      </c>
      <c r="K933" s="3">
        <v>24.4</v>
      </c>
      <c r="L933" s="3">
        <v>69451.97</v>
      </c>
      <c r="M933" s="3">
        <v>44317.71</v>
      </c>
      <c r="N933" s="3">
        <v>17.895</v>
      </c>
      <c r="O933" s="3">
        <v>5.296E-2</v>
      </c>
      <c r="P933" s="3">
        <v>3.1640000000000001</v>
      </c>
      <c r="Q933" s="3">
        <v>104.72</v>
      </c>
      <c r="R933" s="3">
        <v>50.53</v>
      </c>
      <c r="S933" s="3">
        <v>124.95</v>
      </c>
    </row>
    <row r="934" spans="1:19" ht="14.4" x14ac:dyDescent="0.3">
      <c r="A934" s="4">
        <v>45229</v>
      </c>
      <c r="B934" s="3">
        <v>88.64</v>
      </c>
      <c r="C934" s="3">
        <v>107.51</v>
      </c>
      <c r="D934" s="3">
        <v>121.68</v>
      </c>
      <c r="E934" s="3">
        <v>126.8</v>
      </c>
      <c r="F934" s="3">
        <v>121.91</v>
      </c>
      <c r="G934" s="3">
        <v>82.31</v>
      </c>
      <c r="H934" s="3">
        <v>87.45</v>
      </c>
      <c r="I934" s="3">
        <v>89.68</v>
      </c>
      <c r="J934" s="3">
        <v>105.88</v>
      </c>
      <c r="K934" s="3">
        <v>24.05</v>
      </c>
      <c r="L934" s="3">
        <v>69871.16</v>
      </c>
      <c r="M934" s="3">
        <v>44623.19</v>
      </c>
      <c r="N934" s="3">
        <v>17.91</v>
      </c>
      <c r="O934" s="3">
        <v>5.2979999999999999E-2</v>
      </c>
      <c r="P934" s="3">
        <v>3.3519999999999999</v>
      </c>
      <c r="Q934" s="3">
        <v>106.03</v>
      </c>
      <c r="R934" s="3">
        <v>50.546999999999997</v>
      </c>
      <c r="S934" s="3">
        <v>125.3</v>
      </c>
    </row>
    <row r="935" spans="1:19" ht="14.4" x14ac:dyDescent="0.3">
      <c r="A935" s="4">
        <v>45230</v>
      </c>
      <c r="B935" s="3">
        <v>88.64</v>
      </c>
      <c r="C935" s="3">
        <v>107.51</v>
      </c>
      <c r="D935" s="3">
        <v>121.68</v>
      </c>
      <c r="E935" s="3">
        <v>126.8</v>
      </c>
      <c r="F935" s="3">
        <v>121.91</v>
      </c>
      <c r="G935" s="3">
        <v>81.02</v>
      </c>
      <c r="H935" s="3">
        <v>87.41</v>
      </c>
      <c r="I935" s="3">
        <v>89.76</v>
      </c>
      <c r="J935" s="3">
        <v>105.85</v>
      </c>
      <c r="K935" s="3">
        <v>24</v>
      </c>
      <c r="L935" s="3">
        <v>69653.440000000002</v>
      </c>
      <c r="M935" s="3">
        <v>43674.89</v>
      </c>
      <c r="N935" s="3">
        <v>17.72</v>
      </c>
      <c r="O935" s="3">
        <v>5.3620000000000001E-2</v>
      </c>
      <c r="P935" s="3">
        <v>3.5750000000000002</v>
      </c>
      <c r="Q935" s="3">
        <v>107.44</v>
      </c>
      <c r="R935" s="3">
        <v>48.005000000000003</v>
      </c>
      <c r="S935" s="3">
        <v>125.85</v>
      </c>
    </row>
    <row r="936" spans="1:19" ht="14.4" x14ac:dyDescent="0.3">
      <c r="A936" s="2">
        <v>45231</v>
      </c>
      <c r="B936" s="3">
        <v>88.64</v>
      </c>
      <c r="C936" s="3">
        <v>107.51</v>
      </c>
      <c r="D936" s="3">
        <v>121.68</v>
      </c>
      <c r="E936" s="3">
        <v>126.8</v>
      </c>
      <c r="F936" s="3">
        <v>121.91</v>
      </c>
      <c r="G936" s="3">
        <v>80.44</v>
      </c>
      <c r="H936" s="3">
        <v>84.63</v>
      </c>
      <c r="I936" s="3">
        <v>85.24</v>
      </c>
      <c r="J936" s="3">
        <v>105.64</v>
      </c>
      <c r="K936" s="3">
        <v>24.05</v>
      </c>
      <c r="L936" s="3">
        <v>69740.3</v>
      </c>
      <c r="M936" s="3">
        <v>42239.93</v>
      </c>
      <c r="N936" s="3">
        <v>17.655000000000001</v>
      </c>
      <c r="O936" s="3">
        <v>5.4010000000000002E-2</v>
      </c>
      <c r="P936" s="3">
        <v>3.4940000000000002</v>
      </c>
      <c r="Q936" s="3">
        <v>108.25</v>
      </c>
      <c r="R936" s="3">
        <v>47.755000000000003</v>
      </c>
      <c r="S936" s="3">
        <v>124.85</v>
      </c>
    </row>
    <row r="937" spans="1:19" ht="14.4" x14ac:dyDescent="0.3">
      <c r="A937" s="2">
        <v>45232</v>
      </c>
      <c r="B937" s="3">
        <v>88.64</v>
      </c>
      <c r="C937" s="3">
        <v>107.51</v>
      </c>
      <c r="D937" s="3">
        <v>121.68</v>
      </c>
      <c r="E937" s="3">
        <v>126.8</v>
      </c>
      <c r="F937" s="3">
        <v>121.91</v>
      </c>
      <c r="G937" s="3">
        <v>82.46</v>
      </c>
      <c r="H937" s="3">
        <v>86.85</v>
      </c>
      <c r="I937" s="3">
        <v>87.65</v>
      </c>
      <c r="J937" s="3">
        <v>109.11</v>
      </c>
      <c r="K937" s="3">
        <v>24.2</v>
      </c>
      <c r="L937" s="3">
        <v>71383.92</v>
      </c>
      <c r="M937" s="3">
        <v>42047</v>
      </c>
      <c r="N937" s="3">
        <v>17.645</v>
      </c>
      <c r="O937" s="3">
        <v>5.4280000000000002E-2</v>
      </c>
      <c r="P937" s="3">
        <v>3.472</v>
      </c>
      <c r="Q937" s="3">
        <v>106.26</v>
      </c>
      <c r="R937" s="3">
        <v>48.564999999999998</v>
      </c>
      <c r="S937" s="3">
        <v>126.65</v>
      </c>
    </row>
    <row r="938" spans="1:19" ht="14.4" x14ac:dyDescent="0.3">
      <c r="A938" s="2">
        <v>45233</v>
      </c>
      <c r="B938" s="3">
        <v>83.18</v>
      </c>
      <c r="C938" s="3">
        <v>101.26</v>
      </c>
      <c r="D938" s="3">
        <v>114.85</v>
      </c>
      <c r="E938" s="3">
        <v>122.27</v>
      </c>
      <c r="F938" s="3">
        <v>117.57</v>
      </c>
      <c r="G938" s="3">
        <v>80.510000000000005</v>
      </c>
      <c r="H938" s="3">
        <v>84.89</v>
      </c>
      <c r="I938" s="3">
        <v>85.93</v>
      </c>
      <c r="J938" s="3">
        <v>107.78</v>
      </c>
      <c r="K938" s="3">
        <v>24.55</v>
      </c>
      <c r="L938" s="3">
        <v>72856.179999999993</v>
      </c>
      <c r="M938" s="3">
        <v>44135.63</v>
      </c>
      <c r="N938" s="3">
        <v>17.57</v>
      </c>
      <c r="O938" s="3">
        <v>5.4699999999999999E-2</v>
      </c>
      <c r="P938" s="3">
        <v>3.5150000000000001</v>
      </c>
      <c r="Q938" s="3">
        <v>107.91</v>
      </c>
      <c r="R938" s="3">
        <v>48.057000000000002</v>
      </c>
      <c r="S938" s="3">
        <v>127.6</v>
      </c>
    </row>
    <row r="939" spans="1:19" ht="14.4" x14ac:dyDescent="0.3">
      <c r="A939" s="2">
        <v>45236</v>
      </c>
      <c r="B939" s="3">
        <v>83.18</v>
      </c>
      <c r="C939" s="3">
        <v>101.26</v>
      </c>
      <c r="D939" s="3">
        <v>114.85</v>
      </c>
      <c r="E939" s="3">
        <v>122.27</v>
      </c>
      <c r="F939" s="3">
        <v>117.57</v>
      </c>
      <c r="G939" s="3">
        <v>80.819999999999993</v>
      </c>
      <c r="H939" s="3">
        <v>85.18</v>
      </c>
      <c r="I939" s="3">
        <v>86.32</v>
      </c>
      <c r="J939" s="3">
        <v>105.87</v>
      </c>
      <c r="K939" s="3">
        <v>23.8</v>
      </c>
      <c r="L939" s="3">
        <v>73293.69</v>
      </c>
      <c r="M939" s="3">
        <v>45572.88</v>
      </c>
      <c r="N939" s="3">
        <v>17.445</v>
      </c>
      <c r="O939" s="3">
        <v>5.4609999999999999E-2</v>
      </c>
      <c r="P939" s="3">
        <v>3.2639999999999998</v>
      </c>
      <c r="Q939" s="3">
        <v>107.79</v>
      </c>
      <c r="R939" s="3">
        <v>44.83</v>
      </c>
      <c r="S939" s="3">
        <v>133.44999999999999</v>
      </c>
    </row>
    <row r="940" spans="1:19" ht="14.4" x14ac:dyDescent="0.3">
      <c r="A940" s="2">
        <v>45237</v>
      </c>
      <c r="B940" s="3">
        <v>83.18</v>
      </c>
      <c r="C940" s="3">
        <v>101.26</v>
      </c>
      <c r="D940" s="3">
        <v>114.85</v>
      </c>
      <c r="E940" s="3">
        <v>122.27</v>
      </c>
      <c r="F940" s="3">
        <v>117.57</v>
      </c>
      <c r="G940" s="3">
        <v>77.37</v>
      </c>
      <c r="H940" s="3">
        <v>81.61</v>
      </c>
      <c r="I940" s="3">
        <v>83.58</v>
      </c>
      <c r="J940" s="3">
        <v>104.21</v>
      </c>
      <c r="K940" s="3">
        <v>23.95</v>
      </c>
      <c r="L940" s="3">
        <v>71572.990000000005</v>
      </c>
      <c r="M940" s="3">
        <v>43346.95</v>
      </c>
      <c r="N940" s="3">
        <v>17.355</v>
      </c>
      <c r="O940" s="3">
        <v>5.45E-2</v>
      </c>
      <c r="P940" s="3">
        <v>3.14</v>
      </c>
      <c r="Q940" s="3">
        <v>108.22</v>
      </c>
      <c r="R940" s="3">
        <v>46.055</v>
      </c>
      <c r="S940" s="3">
        <v>133</v>
      </c>
    </row>
    <row r="941" spans="1:19" ht="14.4" x14ac:dyDescent="0.3">
      <c r="A941" s="2">
        <v>45238</v>
      </c>
      <c r="B941" s="3">
        <v>83.18</v>
      </c>
      <c r="C941" s="3">
        <v>101.26</v>
      </c>
      <c r="D941" s="3">
        <v>114.85</v>
      </c>
      <c r="E941" s="3">
        <v>122.27</v>
      </c>
      <c r="F941" s="3">
        <v>117.57</v>
      </c>
      <c r="G941" s="3">
        <v>75.33</v>
      </c>
      <c r="H941" s="3">
        <v>79.540000000000006</v>
      </c>
      <c r="I941" s="3">
        <v>82.2</v>
      </c>
      <c r="J941" s="3">
        <v>102.93</v>
      </c>
      <c r="K941" s="3">
        <v>23.95</v>
      </c>
      <c r="L941" s="3">
        <v>72465.63</v>
      </c>
      <c r="M941" s="3">
        <v>44315.58</v>
      </c>
      <c r="N941" s="3">
        <v>17.29</v>
      </c>
      <c r="O941" s="3">
        <v>5.4129999999999998E-2</v>
      </c>
      <c r="P941" s="3">
        <v>3.1059999999999999</v>
      </c>
      <c r="Q941" s="3">
        <v>109.17</v>
      </c>
      <c r="R941" s="3">
        <v>45.774999999999999</v>
      </c>
      <c r="S941" s="3">
        <v>132.4</v>
      </c>
    </row>
    <row r="942" spans="1:19" ht="14.4" x14ac:dyDescent="0.3">
      <c r="A942" s="2">
        <v>45239</v>
      </c>
      <c r="B942" s="3">
        <v>83.18</v>
      </c>
      <c r="C942" s="3">
        <v>101.26</v>
      </c>
      <c r="D942" s="3">
        <v>114.85</v>
      </c>
      <c r="E942" s="3">
        <v>122.27</v>
      </c>
      <c r="F942" s="3">
        <v>117.57</v>
      </c>
      <c r="G942" s="3">
        <v>75.739999999999995</v>
      </c>
      <c r="H942" s="3">
        <v>80.010000000000005</v>
      </c>
      <c r="I942" s="3">
        <v>82.44</v>
      </c>
      <c r="J942" s="3">
        <v>102.96</v>
      </c>
      <c r="K942" s="3">
        <v>24.25</v>
      </c>
      <c r="L942" s="3">
        <v>72226.67</v>
      </c>
      <c r="M942" s="3">
        <v>43110.19</v>
      </c>
      <c r="N942" s="3">
        <v>17.254999999999999</v>
      </c>
      <c r="O942" s="3">
        <v>5.355E-2</v>
      </c>
      <c r="P942" s="3">
        <v>3.0409999999999999</v>
      </c>
      <c r="Q942" s="3">
        <v>108.55</v>
      </c>
      <c r="R942" s="3">
        <v>48.13</v>
      </c>
      <c r="S942" s="3">
        <v>131.15</v>
      </c>
    </row>
    <row r="943" spans="1:19" ht="14.4" x14ac:dyDescent="0.3">
      <c r="A943" s="4">
        <v>45240</v>
      </c>
      <c r="B943" s="3">
        <v>77.81</v>
      </c>
      <c r="C943" s="3">
        <v>94.6</v>
      </c>
      <c r="D943" s="3">
        <v>108.43</v>
      </c>
      <c r="E943" s="3">
        <v>116.69</v>
      </c>
      <c r="F943" s="3">
        <v>114.04</v>
      </c>
      <c r="G943" s="3">
        <v>77.17</v>
      </c>
      <c r="H943" s="3">
        <v>81.430000000000007</v>
      </c>
      <c r="I943" s="3">
        <v>83.35</v>
      </c>
      <c r="J943" s="3">
        <v>103.75</v>
      </c>
      <c r="K943" s="3">
        <v>24.4</v>
      </c>
      <c r="L943" s="3">
        <v>71393.3</v>
      </c>
      <c r="M943" s="3">
        <v>40859.550000000003</v>
      </c>
      <c r="N943" s="3">
        <v>17.184999999999999</v>
      </c>
      <c r="O943" s="3">
        <v>5.339E-2</v>
      </c>
      <c r="P943" s="3">
        <v>3.0329999999999999</v>
      </c>
      <c r="Q943" s="3">
        <v>109.78</v>
      </c>
      <c r="R943" s="3">
        <v>46.63</v>
      </c>
      <c r="S943" s="3">
        <v>131.44999999999999</v>
      </c>
    </row>
    <row r="944" spans="1:19" ht="14.4" x14ac:dyDescent="0.3">
      <c r="A944" s="4">
        <v>45243</v>
      </c>
      <c r="B944" s="3">
        <v>77.81</v>
      </c>
      <c r="C944" s="3">
        <v>94.6</v>
      </c>
      <c r="D944" s="3">
        <v>108.43</v>
      </c>
      <c r="E944" s="3">
        <v>116.69</v>
      </c>
      <c r="F944" s="3">
        <v>114.04</v>
      </c>
      <c r="G944" s="3">
        <v>78.260000000000005</v>
      </c>
      <c r="H944" s="3">
        <v>82.52</v>
      </c>
      <c r="I944" s="3">
        <v>83.86</v>
      </c>
      <c r="J944" s="3">
        <v>104.84</v>
      </c>
      <c r="K944" s="3">
        <v>24.4</v>
      </c>
      <c r="L944" s="3">
        <v>71633.17</v>
      </c>
      <c r="M944" s="3">
        <v>41141.660000000003</v>
      </c>
      <c r="N944" s="3">
        <v>17.2</v>
      </c>
      <c r="O944" s="3">
        <v>5.339E-2</v>
      </c>
      <c r="P944" s="3">
        <v>3.1970000000000001</v>
      </c>
      <c r="Q944" s="3">
        <v>108.66</v>
      </c>
      <c r="R944" s="3">
        <v>47.875</v>
      </c>
      <c r="S944" s="3">
        <v>132.5</v>
      </c>
    </row>
    <row r="945" spans="1:19" ht="14.4" x14ac:dyDescent="0.3">
      <c r="A945" s="4">
        <v>45244</v>
      </c>
      <c r="B945" s="3">
        <v>77.81</v>
      </c>
      <c r="C945" s="3">
        <v>94.6</v>
      </c>
      <c r="D945" s="3">
        <v>108.43</v>
      </c>
      <c r="E945" s="3">
        <v>116.69</v>
      </c>
      <c r="F945" s="3">
        <v>114.04</v>
      </c>
      <c r="G945" s="3">
        <v>78.260000000000005</v>
      </c>
      <c r="H945" s="3">
        <v>82.47</v>
      </c>
      <c r="I945" s="3">
        <v>83.82</v>
      </c>
      <c r="J945" s="3">
        <v>104.29</v>
      </c>
      <c r="K945" s="3">
        <v>24.2</v>
      </c>
      <c r="L945" s="3">
        <v>73443.5</v>
      </c>
      <c r="M945" s="3">
        <v>42939.72</v>
      </c>
      <c r="N945" s="3">
        <v>17.125</v>
      </c>
      <c r="O945" s="3">
        <v>5.4850000000000003E-2</v>
      </c>
      <c r="P945" s="3">
        <v>3.1059999999999999</v>
      </c>
      <c r="Q945" s="3">
        <v>110.45</v>
      </c>
      <c r="R945" s="3">
        <v>47.61</v>
      </c>
      <c r="S945" s="1">
        <f>S946</f>
        <v>135.5</v>
      </c>
    </row>
    <row r="946" spans="1:19" ht="14.4" x14ac:dyDescent="0.3">
      <c r="A946" s="4">
        <v>45245</v>
      </c>
      <c r="B946" s="3">
        <v>77.81</v>
      </c>
      <c r="C946" s="3">
        <v>94.6</v>
      </c>
      <c r="D946" s="3">
        <v>108.43</v>
      </c>
      <c r="E946" s="3">
        <v>116.69</v>
      </c>
      <c r="F946" s="3">
        <v>114.04</v>
      </c>
      <c r="G946" s="3">
        <v>76.66</v>
      </c>
      <c r="H946" s="3">
        <v>81.180000000000007</v>
      </c>
      <c r="I946" s="3">
        <v>83.21</v>
      </c>
      <c r="J946" s="3">
        <v>103.66</v>
      </c>
      <c r="K946" s="3">
        <v>24.85</v>
      </c>
      <c r="L946" s="3">
        <v>74800.289999999994</v>
      </c>
      <c r="M946" s="3">
        <v>43188.54</v>
      </c>
      <c r="N946" s="3">
        <v>17.102</v>
      </c>
      <c r="O946" s="3">
        <v>5.4960000000000002E-2</v>
      </c>
      <c r="P946" s="3">
        <v>3.3620000000000001</v>
      </c>
      <c r="Q946" s="3">
        <v>111.05</v>
      </c>
      <c r="R946" s="3">
        <v>47.034999999999997</v>
      </c>
      <c r="S946" s="3">
        <v>135.5</v>
      </c>
    </row>
    <row r="947" spans="1:19" ht="14.4" x14ac:dyDescent="0.3">
      <c r="A947" s="4">
        <v>45246</v>
      </c>
      <c r="B947" s="3">
        <v>77.81</v>
      </c>
      <c r="C947" s="3">
        <v>94.6</v>
      </c>
      <c r="D947" s="3">
        <v>108.43</v>
      </c>
      <c r="E947" s="3">
        <v>116.69</v>
      </c>
      <c r="F947" s="3">
        <v>114.04</v>
      </c>
      <c r="G947" s="3">
        <v>72.900000000000006</v>
      </c>
      <c r="H947" s="3">
        <v>77.42</v>
      </c>
      <c r="I947" s="3">
        <v>81.510000000000005</v>
      </c>
      <c r="J947" s="3">
        <v>102.46</v>
      </c>
      <c r="K947" s="3">
        <v>25.2</v>
      </c>
      <c r="L947" s="3">
        <v>73736.61</v>
      </c>
      <c r="M947" s="3">
        <v>43631.13</v>
      </c>
      <c r="N947" s="3">
        <v>17.100000000000001</v>
      </c>
      <c r="O947" s="3">
        <v>5.4440000000000002E-2</v>
      </c>
      <c r="P947" s="3">
        <v>3.2389999999999999</v>
      </c>
      <c r="Q947" s="3">
        <v>112.27</v>
      </c>
      <c r="R947" s="3">
        <v>45.85</v>
      </c>
      <c r="S947" s="3">
        <v>136.1</v>
      </c>
    </row>
    <row r="948" spans="1:19" ht="14.4" x14ac:dyDescent="0.3">
      <c r="A948" s="4">
        <v>45247</v>
      </c>
      <c r="B948" s="3">
        <v>74.8</v>
      </c>
      <c r="C948" s="3">
        <v>91.56</v>
      </c>
      <c r="D948" s="3">
        <v>104.62</v>
      </c>
      <c r="E948" s="3">
        <v>110.41</v>
      </c>
      <c r="F948" s="3">
        <v>113.29</v>
      </c>
      <c r="G948" s="3">
        <v>75.89</v>
      </c>
      <c r="H948" s="3">
        <v>80.61</v>
      </c>
      <c r="I948" s="3">
        <v>83.08</v>
      </c>
      <c r="J948" s="3">
        <v>104.96</v>
      </c>
      <c r="K948" s="3">
        <v>24.85</v>
      </c>
      <c r="L948" s="3">
        <v>73920.75</v>
      </c>
      <c r="M948" s="3">
        <v>43351.83</v>
      </c>
      <c r="N948" s="3">
        <v>16.975000000000001</v>
      </c>
      <c r="O948" s="3">
        <v>5.4399999999999997E-2</v>
      </c>
      <c r="P948" s="3">
        <v>3.1309999999999998</v>
      </c>
      <c r="Q948" s="3">
        <v>111.4</v>
      </c>
      <c r="R948" s="3">
        <v>45.064</v>
      </c>
      <c r="S948" s="3">
        <v>138.05000000000001</v>
      </c>
    </row>
    <row r="949" spans="1:19" ht="14.4" x14ac:dyDescent="0.3">
      <c r="A949" s="4">
        <v>45250</v>
      </c>
      <c r="B949" s="3">
        <v>74.8</v>
      </c>
      <c r="C949" s="3">
        <v>91.56</v>
      </c>
      <c r="D949" s="3">
        <v>104.62</v>
      </c>
      <c r="E949" s="3">
        <v>110.41</v>
      </c>
      <c r="F949" s="3">
        <v>113.29</v>
      </c>
      <c r="G949" s="3">
        <v>77.599999999999994</v>
      </c>
      <c r="H949" s="3">
        <v>82.32</v>
      </c>
      <c r="I949" s="3">
        <v>83.78</v>
      </c>
      <c r="J949" s="3">
        <v>104.5</v>
      </c>
      <c r="K949" s="3">
        <v>25.35</v>
      </c>
      <c r="L949" s="3">
        <v>74321.48</v>
      </c>
      <c r="M949" s="3">
        <v>43228.18</v>
      </c>
      <c r="N949" s="3">
        <v>17.125</v>
      </c>
      <c r="O949" s="3">
        <v>5.45E-2</v>
      </c>
      <c r="P949" s="3">
        <v>2.8820000000000001</v>
      </c>
      <c r="Q949" s="3">
        <v>112.15</v>
      </c>
      <c r="R949" s="3">
        <v>45.82</v>
      </c>
      <c r="S949" s="3">
        <v>138</v>
      </c>
    </row>
    <row r="950" spans="1:19" ht="14.4" x14ac:dyDescent="0.3">
      <c r="A950" s="4">
        <v>45251</v>
      </c>
      <c r="B950" s="3">
        <v>74.8</v>
      </c>
      <c r="C950" s="3">
        <v>91.56</v>
      </c>
      <c r="D950" s="3">
        <v>104.62</v>
      </c>
      <c r="E950" s="3">
        <v>110.41</v>
      </c>
      <c r="F950" s="3">
        <v>113.29</v>
      </c>
      <c r="G950" s="3">
        <v>77.77</v>
      </c>
      <c r="H950" s="3">
        <v>82.45</v>
      </c>
      <c r="I950" s="3">
        <v>83.92</v>
      </c>
      <c r="J950" s="3">
        <v>104.46</v>
      </c>
      <c r="K950" s="3">
        <v>25.1</v>
      </c>
      <c r="L950" s="3">
        <v>74270.740000000005</v>
      </c>
      <c r="M950" s="3">
        <v>42913.87</v>
      </c>
      <c r="N950" s="3">
        <v>16.465</v>
      </c>
      <c r="O950" s="3">
        <v>5.3650000000000003E-2</v>
      </c>
      <c r="P950" s="3">
        <v>2.8460000000000001</v>
      </c>
      <c r="Q950" s="3">
        <v>113.45</v>
      </c>
      <c r="R950" s="3">
        <v>44.064999999999998</v>
      </c>
      <c r="S950" s="3">
        <v>141.85</v>
      </c>
    </row>
    <row r="951" spans="1:19" ht="14.4" x14ac:dyDescent="0.3">
      <c r="A951" s="4">
        <v>45252</v>
      </c>
      <c r="B951" s="3">
        <v>74.8</v>
      </c>
      <c r="C951" s="3">
        <v>91.56</v>
      </c>
      <c r="D951" s="3">
        <v>104.62</v>
      </c>
      <c r="E951" s="3">
        <v>110.41</v>
      </c>
      <c r="F951" s="3">
        <v>113.29</v>
      </c>
      <c r="G951" s="3">
        <v>77.099999999999994</v>
      </c>
      <c r="H951" s="3">
        <v>81.96</v>
      </c>
      <c r="I951" s="3">
        <v>83.76</v>
      </c>
      <c r="J951" s="3">
        <v>104.01</v>
      </c>
      <c r="K951" s="3">
        <v>25.2</v>
      </c>
      <c r="L951" s="3">
        <v>74763.960000000006</v>
      </c>
      <c r="M951" s="3">
        <v>44177.88</v>
      </c>
      <c r="N951" s="3">
        <v>16.489999999999998</v>
      </c>
      <c r="O951" s="3">
        <v>5.2949999999999997E-2</v>
      </c>
      <c r="P951" s="3">
        <v>2.8969999999999998</v>
      </c>
      <c r="Q951" s="3">
        <v>114.32</v>
      </c>
      <c r="R951" s="3">
        <v>44.615000000000002</v>
      </c>
      <c r="S951" s="3">
        <v>143.6</v>
      </c>
    </row>
    <row r="952" spans="1:19" ht="14.4" x14ac:dyDescent="0.3">
      <c r="A952" s="4">
        <v>45253</v>
      </c>
      <c r="B952" s="3">
        <v>74.8</v>
      </c>
      <c r="C952" s="3">
        <v>91.56</v>
      </c>
      <c r="D952" s="3">
        <v>104.62</v>
      </c>
      <c r="E952" s="3">
        <v>110.41</v>
      </c>
      <c r="F952" s="3">
        <v>113.29</v>
      </c>
      <c r="G952" s="3">
        <v>76.34</v>
      </c>
      <c r="H952" s="3">
        <v>81.42</v>
      </c>
      <c r="I952" s="1">
        <f>(I951+I953)/2</f>
        <v>83.580000000000013</v>
      </c>
      <c r="J952" s="1">
        <f>(J951+J953)/2</f>
        <v>104.28999999999999</v>
      </c>
      <c r="K952" s="3">
        <v>25.55</v>
      </c>
      <c r="L952" s="3">
        <v>75438.710000000006</v>
      </c>
      <c r="M952" s="3">
        <v>43696.55</v>
      </c>
      <c r="N952" s="5">
        <f>FORECAST(A952,N946:N951,A946:A951)</f>
        <v>16.49616064257043</v>
      </c>
      <c r="O952" s="3">
        <v>5.3129999999999997E-2</v>
      </c>
      <c r="P952" s="3">
        <v>2.93</v>
      </c>
      <c r="Q952" s="1">
        <f>AVERAGE(Q951,Q953)</f>
        <v>114.35499999999999</v>
      </c>
      <c r="R952" s="3">
        <v>46.58</v>
      </c>
      <c r="S952" s="3">
        <v>145.1</v>
      </c>
    </row>
    <row r="953" spans="1:19" ht="14.4" x14ac:dyDescent="0.3">
      <c r="A953" s="4">
        <v>45254</v>
      </c>
      <c r="B953" s="3">
        <v>76.819999999999993</v>
      </c>
      <c r="C953" s="3">
        <v>94.01</v>
      </c>
      <c r="D953" s="3">
        <v>105.44</v>
      </c>
      <c r="E953" s="3">
        <v>109.99</v>
      </c>
      <c r="F953" s="3">
        <v>111.68</v>
      </c>
      <c r="G953" s="3">
        <v>75.540000000000006</v>
      </c>
      <c r="H953" s="3">
        <v>80.58</v>
      </c>
      <c r="I953" s="3">
        <v>83.4</v>
      </c>
      <c r="J953" s="3">
        <v>104.57</v>
      </c>
      <c r="K953" s="3">
        <v>25.25</v>
      </c>
      <c r="L953" s="3">
        <v>75712.399999999994</v>
      </c>
      <c r="M953" s="3">
        <v>44133.26</v>
      </c>
      <c r="N953" s="3">
        <v>17.094999999999999</v>
      </c>
      <c r="O953" s="3">
        <v>5.3089999999999998E-2</v>
      </c>
      <c r="P953" s="3">
        <v>2.855</v>
      </c>
      <c r="Q953" s="3">
        <v>114.39</v>
      </c>
      <c r="R953" s="3">
        <v>46.655000000000001</v>
      </c>
      <c r="S953" s="3">
        <v>142.05000000000001</v>
      </c>
    </row>
    <row r="954" spans="1:19" ht="14.4" x14ac:dyDescent="0.3">
      <c r="A954" s="4">
        <v>45257</v>
      </c>
      <c r="B954" s="3">
        <v>76.819999999999993</v>
      </c>
      <c r="C954" s="3">
        <v>94.01</v>
      </c>
      <c r="D954" s="3">
        <v>105.44</v>
      </c>
      <c r="E954" s="3">
        <v>109.99</v>
      </c>
      <c r="F954" s="3">
        <v>111.68</v>
      </c>
      <c r="G954" s="3">
        <v>74.86</v>
      </c>
      <c r="H954" s="3">
        <v>79.98</v>
      </c>
      <c r="I954" s="3">
        <v>83.32</v>
      </c>
      <c r="J954" s="3">
        <v>103.96</v>
      </c>
      <c r="K954" s="3">
        <v>25.35</v>
      </c>
      <c r="L954" s="3">
        <v>75369.88</v>
      </c>
      <c r="M954" s="3">
        <v>45271.519999999997</v>
      </c>
      <c r="N954" s="3">
        <v>16.504999999999999</v>
      </c>
      <c r="O954" s="3">
        <v>5.3589999999999999E-2</v>
      </c>
      <c r="P954" s="3">
        <v>2.794</v>
      </c>
      <c r="Q954" s="3">
        <v>113.14</v>
      </c>
      <c r="R954" s="3">
        <v>43.984999999999999</v>
      </c>
      <c r="S954" s="1">
        <f>S955</f>
        <v>144.44999999999999</v>
      </c>
    </row>
    <row r="955" spans="1:19" ht="14.4" x14ac:dyDescent="0.3">
      <c r="A955" s="4">
        <v>45258</v>
      </c>
      <c r="B955" s="3">
        <v>76.819999999999993</v>
      </c>
      <c r="C955" s="3">
        <v>94.01</v>
      </c>
      <c r="D955" s="3">
        <v>105.44</v>
      </c>
      <c r="E955" s="3">
        <v>109.99</v>
      </c>
      <c r="F955" s="3">
        <v>111.68</v>
      </c>
      <c r="G955" s="3">
        <v>76.41</v>
      </c>
      <c r="H955" s="3">
        <v>81.680000000000007</v>
      </c>
      <c r="I955" s="3">
        <v>83.46</v>
      </c>
      <c r="J955" s="3">
        <v>103.9</v>
      </c>
      <c r="K955" s="3">
        <v>25.05</v>
      </c>
      <c r="L955" s="3">
        <v>75589.179999999993</v>
      </c>
      <c r="M955" s="3">
        <v>46960.49</v>
      </c>
      <c r="N955" s="3">
        <v>16.420000000000002</v>
      </c>
      <c r="O955" s="3">
        <v>5.3749999999999999E-2</v>
      </c>
      <c r="P955" s="3">
        <v>2.706</v>
      </c>
      <c r="Q955" s="3">
        <v>112.78</v>
      </c>
      <c r="R955" s="3">
        <v>42.774999999999999</v>
      </c>
      <c r="S955" s="3">
        <v>144.44999999999999</v>
      </c>
    </row>
    <row r="956" spans="1:19" ht="14.4" x14ac:dyDescent="0.3">
      <c r="A956" s="4">
        <v>45259</v>
      </c>
      <c r="B956" s="3">
        <v>76.819999999999993</v>
      </c>
      <c r="C956" s="3">
        <v>94.01</v>
      </c>
      <c r="D956" s="3">
        <v>105.44</v>
      </c>
      <c r="E956" s="3">
        <v>109.99</v>
      </c>
      <c r="F956" s="3">
        <v>111.68</v>
      </c>
      <c r="G956" s="3">
        <v>77.86</v>
      </c>
      <c r="H956" s="3">
        <v>83.1</v>
      </c>
      <c r="I956" s="3">
        <v>83.49</v>
      </c>
      <c r="J956" s="3">
        <v>102.34</v>
      </c>
      <c r="K956" s="3">
        <v>25.3</v>
      </c>
      <c r="L956" s="3">
        <v>75241.41</v>
      </c>
      <c r="M956" s="3">
        <v>47737.07</v>
      </c>
      <c r="N956" s="3">
        <v>16.245000000000001</v>
      </c>
      <c r="O956" s="3">
        <v>5.3310000000000003E-2</v>
      </c>
      <c r="P956" s="3">
        <v>2.8039999999999998</v>
      </c>
      <c r="Q956" s="3">
        <v>112.69</v>
      </c>
      <c r="R956" s="3">
        <v>40.36</v>
      </c>
      <c r="S956" s="3">
        <v>143.75</v>
      </c>
    </row>
    <row r="957" spans="1:19" ht="14.4" x14ac:dyDescent="0.3">
      <c r="A957" s="4">
        <v>45260</v>
      </c>
      <c r="B957" s="3">
        <v>76.819999999999993</v>
      </c>
      <c r="C957" s="3">
        <v>94.01</v>
      </c>
      <c r="D957" s="3">
        <v>105.44</v>
      </c>
      <c r="E957" s="3">
        <v>109.99</v>
      </c>
      <c r="F957" s="3">
        <v>111.68</v>
      </c>
      <c r="G957" s="3">
        <v>75.959999999999994</v>
      </c>
      <c r="H957" s="3">
        <v>82.83</v>
      </c>
      <c r="I957" s="3">
        <v>83.56</v>
      </c>
      <c r="J957" s="3">
        <v>102.74</v>
      </c>
      <c r="K957" s="3">
        <v>25.55</v>
      </c>
      <c r="L957" s="3">
        <v>75534.36</v>
      </c>
      <c r="M957" s="3">
        <v>47965.9</v>
      </c>
      <c r="N957" s="3">
        <v>16.135000000000002</v>
      </c>
      <c r="O957" s="3">
        <v>5.3019999999999998E-2</v>
      </c>
      <c r="P957" s="3">
        <v>2.802</v>
      </c>
      <c r="Q957" s="3">
        <v>113.84</v>
      </c>
      <c r="R957" s="3">
        <v>42.09</v>
      </c>
      <c r="S957" s="3">
        <v>143.85</v>
      </c>
    </row>
    <row r="958" spans="1:19" ht="14.4" x14ac:dyDescent="0.3">
      <c r="A958" s="2">
        <v>45261</v>
      </c>
      <c r="B958" s="3">
        <v>76.19</v>
      </c>
      <c r="C958" s="3">
        <v>93.15</v>
      </c>
      <c r="D958" s="3">
        <v>105.08</v>
      </c>
      <c r="E958" s="3">
        <v>104.96</v>
      </c>
      <c r="F958" s="3">
        <v>110.66</v>
      </c>
      <c r="G958" s="3">
        <v>74.069999999999993</v>
      </c>
      <c r="H958" s="3">
        <v>78.88</v>
      </c>
      <c r="I958" s="3">
        <v>79.44</v>
      </c>
      <c r="J958" s="3">
        <v>102.99</v>
      </c>
      <c r="K958" s="3">
        <v>25.1</v>
      </c>
      <c r="L958" s="3">
        <v>75705.850000000006</v>
      </c>
      <c r="M958" s="3">
        <v>48048.82</v>
      </c>
      <c r="N958" s="3">
        <v>16.25</v>
      </c>
      <c r="O958" s="3">
        <v>5.3600000000000002E-2</v>
      </c>
      <c r="P958" s="3">
        <v>2.7730000000000001</v>
      </c>
      <c r="Q958" s="3">
        <v>114.24</v>
      </c>
      <c r="R958" s="3">
        <v>43.496000000000002</v>
      </c>
      <c r="S958" s="3">
        <v>142.69999999999999</v>
      </c>
    </row>
    <row r="959" spans="1:19" ht="14.4" x14ac:dyDescent="0.3">
      <c r="A959" s="2">
        <v>45264</v>
      </c>
      <c r="B959" s="3">
        <v>76.19</v>
      </c>
      <c r="C959" s="3">
        <v>93.15</v>
      </c>
      <c r="D959" s="3">
        <v>105.08</v>
      </c>
      <c r="E959" s="3">
        <v>104.96</v>
      </c>
      <c r="F959" s="3">
        <v>110.66</v>
      </c>
      <c r="G959" s="3">
        <v>73.040000000000006</v>
      </c>
      <c r="H959" s="3">
        <v>78.03</v>
      </c>
      <c r="I959" s="3">
        <v>78.19</v>
      </c>
      <c r="J959" s="3">
        <v>102.43</v>
      </c>
      <c r="K959" s="3">
        <v>25.6</v>
      </c>
      <c r="L959" s="3">
        <v>75941.06</v>
      </c>
      <c r="M959" s="3">
        <v>46679.03</v>
      </c>
      <c r="N959" s="3">
        <v>16.05</v>
      </c>
      <c r="O959" s="3">
        <v>5.3159999999999999E-2</v>
      </c>
      <c r="P959" s="3">
        <v>2.6509999999999998</v>
      </c>
      <c r="Q959" s="3">
        <v>115.03</v>
      </c>
      <c r="R959" s="3">
        <v>40.104999999999997</v>
      </c>
      <c r="S959" s="3">
        <v>144.94999999999999</v>
      </c>
    </row>
    <row r="960" spans="1:19" ht="14.4" x14ac:dyDescent="0.3">
      <c r="A960" s="2">
        <v>45265</v>
      </c>
      <c r="B960" s="3">
        <v>76.19</v>
      </c>
      <c r="C960" s="3">
        <v>93.15</v>
      </c>
      <c r="D960" s="3">
        <v>105.08</v>
      </c>
      <c r="E960" s="3">
        <v>104.96</v>
      </c>
      <c r="F960" s="3">
        <v>110.66</v>
      </c>
      <c r="G960" s="3">
        <v>72.319999999999993</v>
      </c>
      <c r="H960" s="3">
        <v>77.2</v>
      </c>
      <c r="I960" s="3">
        <v>77.48</v>
      </c>
      <c r="J960" s="3">
        <v>100.44</v>
      </c>
      <c r="K960" s="3">
        <v>25.1</v>
      </c>
      <c r="L960" s="3">
        <v>75215.490000000005</v>
      </c>
      <c r="M960" s="3">
        <v>45817.57</v>
      </c>
      <c r="N960" s="3">
        <v>16.059999999999999</v>
      </c>
      <c r="O960" s="3">
        <v>5.2729999999999999E-2</v>
      </c>
      <c r="P960" s="3">
        <v>2.6669999999999998</v>
      </c>
      <c r="Q960" s="3">
        <v>114.08</v>
      </c>
      <c r="R960" s="3">
        <v>38.134999999999998</v>
      </c>
      <c r="S960" s="3">
        <v>143.85</v>
      </c>
    </row>
    <row r="961" spans="1:19" ht="14.4" x14ac:dyDescent="0.3">
      <c r="A961" s="2">
        <v>45266</v>
      </c>
      <c r="B961" s="3">
        <v>76.19</v>
      </c>
      <c r="C961" s="3">
        <v>93.15</v>
      </c>
      <c r="D961" s="3">
        <v>105.08</v>
      </c>
      <c r="E961" s="3">
        <v>104.96</v>
      </c>
      <c r="F961" s="3">
        <v>110.66</v>
      </c>
      <c r="G961" s="3">
        <v>69.38</v>
      </c>
      <c r="H961" s="3">
        <v>74.3</v>
      </c>
      <c r="I961" s="3">
        <v>75.3</v>
      </c>
      <c r="J961" s="3">
        <v>99.11</v>
      </c>
      <c r="K961" s="3">
        <v>24.9</v>
      </c>
      <c r="L961" s="3">
        <v>75400.62</v>
      </c>
      <c r="M961" s="3">
        <v>46027.74</v>
      </c>
      <c r="N961" s="3">
        <v>16.004999999999999</v>
      </c>
      <c r="O961" s="3">
        <v>5.2729999999999999E-2</v>
      </c>
      <c r="P961" s="3">
        <v>2.5169999999999999</v>
      </c>
      <c r="Q961" s="3">
        <v>113.08</v>
      </c>
      <c r="R961" s="3">
        <v>39.314999999999998</v>
      </c>
      <c r="S961" s="3">
        <v>147.75</v>
      </c>
    </row>
    <row r="962" spans="1:19" ht="14.4" x14ac:dyDescent="0.3">
      <c r="A962" s="2">
        <v>45267</v>
      </c>
      <c r="B962" s="3">
        <v>76.19</v>
      </c>
      <c r="C962" s="3">
        <v>93.15</v>
      </c>
      <c r="D962" s="3">
        <v>105.08</v>
      </c>
      <c r="E962" s="3">
        <v>104.96</v>
      </c>
      <c r="F962" s="3">
        <v>110.66</v>
      </c>
      <c r="G962" s="3">
        <v>69.34</v>
      </c>
      <c r="H962" s="3">
        <v>74.05</v>
      </c>
      <c r="I962" s="3">
        <v>75.27</v>
      </c>
      <c r="J962" s="3">
        <v>98.42</v>
      </c>
      <c r="K962" s="3">
        <v>24.75</v>
      </c>
      <c r="L962" s="3">
        <v>74787.039999999994</v>
      </c>
      <c r="M962" s="3">
        <v>45693.56</v>
      </c>
      <c r="N962" s="3">
        <v>16.05</v>
      </c>
      <c r="O962" s="3">
        <v>5.3280000000000001E-2</v>
      </c>
      <c r="P962" s="3">
        <v>2.52</v>
      </c>
      <c r="Q962" s="3">
        <v>112.53</v>
      </c>
      <c r="R962" s="3">
        <v>39.97</v>
      </c>
      <c r="S962" s="3">
        <v>157.75</v>
      </c>
    </row>
    <row r="963" spans="1:19" ht="14.4" x14ac:dyDescent="0.3">
      <c r="A963" s="2">
        <v>45268</v>
      </c>
      <c r="B963" s="3">
        <v>73.959999999999994</v>
      </c>
      <c r="C963" s="3">
        <v>89.28</v>
      </c>
      <c r="D963" s="3">
        <v>100.27</v>
      </c>
      <c r="E963" s="3">
        <v>101.73</v>
      </c>
      <c r="F963" s="3">
        <v>108.33</v>
      </c>
      <c r="G963" s="3">
        <v>71.23</v>
      </c>
      <c r="H963" s="3">
        <v>75.84</v>
      </c>
      <c r="I963" s="3">
        <v>76.510000000000005</v>
      </c>
      <c r="J963" s="3">
        <v>99.55</v>
      </c>
      <c r="K963" s="3">
        <v>24.65</v>
      </c>
      <c r="L963" s="3">
        <v>73790.850000000006</v>
      </c>
      <c r="M963" s="3">
        <v>45352.02</v>
      </c>
      <c r="N963" s="3">
        <v>15.975</v>
      </c>
      <c r="O963" s="3">
        <v>5.2729999999999999E-2</v>
      </c>
      <c r="P963" s="3">
        <v>2.504</v>
      </c>
      <c r="Q963" s="3">
        <v>113.34</v>
      </c>
      <c r="R963" s="3">
        <v>38.6</v>
      </c>
      <c r="S963" s="3">
        <v>152.69999999999999</v>
      </c>
    </row>
    <row r="964" spans="1:19" ht="14.4" x14ac:dyDescent="0.3">
      <c r="A964" s="4">
        <v>45271</v>
      </c>
      <c r="B964" s="3">
        <v>73.959999999999994</v>
      </c>
      <c r="C964" s="3">
        <v>89.28</v>
      </c>
      <c r="D964" s="3">
        <v>100.27</v>
      </c>
      <c r="E964" s="3">
        <v>101.73</v>
      </c>
      <c r="F964" s="3">
        <v>108.33</v>
      </c>
      <c r="G964" s="3">
        <v>71.319999999999993</v>
      </c>
      <c r="H964" s="3">
        <v>76.03</v>
      </c>
      <c r="I964" s="3">
        <v>76.77</v>
      </c>
      <c r="J964" s="3">
        <v>99.62</v>
      </c>
      <c r="K964" s="3">
        <v>24.85</v>
      </c>
      <c r="L964" s="3">
        <v>73892.3</v>
      </c>
      <c r="M964" s="3">
        <v>45537.19</v>
      </c>
      <c r="N964" s="3">
        <v>15.744999999999999</v>
      </c>
      <c r="O964" s="3">
        <v>5.2409999999999998E-2</v>
      </c>
      <c r="P964" s="3">
        <v>2.35</v>
      </c>
      <c r="Q964" s="3">
        <v>116.14</v>
      </c>
      <c r="R964" s="3">
        <v>36.119999999999997</v>
      </c>
      <c r="S964" s="3">
        <v>153.6</v>
      </c>
    </row>
    <row r="965" spans="1:19" ht="14.4" x14ac:dyDescent="0.3">
      <c r="A965" s="4">
        <v>45272</v>
      </c>
      <c r="B965" s="3">
        <v>73.959999999999994</v>
      </c>
      <c r="C965" s="3">
        <v>89.28</v>
      </c>
      <c r="D965" s="3">
        <v>100.27</v>
      </c>
      <c r="E965" s="3">
        <v>101.73</v>
      </c>
      <c r="F965" s="3">
        <v>108.33</v>
      </c>
      <c r="G965" s="3">
        <v>68.61</v>
      </c>
      <c r="H965" s="3">
        <v>73.239999999999995</v>
      </c>
      <c r="I965" s="3">
        <v>74.98</v>
      </c>
      <c r="J965" s="3">
        <v>98.05</v>
      </c>
      <c r="K965" s="3">
        <v>24.65</v>
      </c>
      <c r="L965" s="3">
        <v>72621.84</v>
      </c>
      <c r="M965" s="3">
        <v>44573.54</v>
      </c>
      <c r="N965" s="3">
        <v>15.615</v>
      </c>
      <c r="O965" s="3">
        <v>5.2729999999999999E-2</v>
      </c>
      <c r="P965" s="3">
        <v>2.3109999999999999</v>
      </c>
      <c r="Q965" s="3">
        <v>117.93</v>
      </c>
      <c r="R965" s="3">
        <v>34.704999999999998</v>
      </c>
      <c r="S965" s="3">
        <v>151.30000000000001</v>
      </c>
    </row>
    <row r="966" spans="1:19" ht="14.4" x14ac:dyDescent="0.3">
      <c r="A966" s="4">
        <v>45273</v>
      </c>
      <c r="B966" s="3">
        <v>73.959999999999994</v>
      </c>
      <c r="C966" s="3">
        <v>89.28</v>
      </c>
      <c r="D966" s="3">
        <v>100.27</v>
      </c>
      <c r="E966" s="3">
        <v>101.73</v>
      </c>
      <c r="F966" s="3">
        <v>108.33</v>
      </c>
      <c r="G966" s="3">
        <v>69.47</v>
      </c>
      <c r="H966" s="3">
        <v>74.260000000000005</v>
      </c>
      <c r="I966" s="3">
        <v>74.87</v>
      </c>
      <c r="J966" s="3">
        <v>98.92</v>
      </c>
      <c r="K966" s="3">
        <v>24.55</v>
      </c>
      <c r="L966" s="3">
        <v>72640.509999999995</v>
      </c>
      <c r="M966" s="3">
        <v>43675.29</v>
      </c>
      <c r="N966" s="3">
        <v>15.455</v>
      </c>
      <c r="O966" s="3">
        <v>5.3519999999999998E-2</v>
      </c>
      <c r="P966" s="3">
        <v>2.335</v>
      </c>
      <c r="Q966" s="3">
        <v>121.54</v>
      </c>
      <c r="R966" s="3">
        <v>35.81</v>
      </c>
      <c r="S966" s="3">
        <v>153.1</v>
      </c>
    </row>
    <row r="967" spans="1:19" ht="14.4" x14ac:dyDescent="0.3">
      <c r="A967" s="4">
        <v>45274</v>
      </c>
      <c r="B967" s="3">
        <v>73.959999999999994</v>
      </c>
      <c r="C967" s="3">
        <v>89.28</v>
      </c>
      <c r="D967" s="3">
        <v>100.27</v>
      </c>
      <c r="E967" s="3">
        <v>101.73</v>
      </c>
      <c r="F967" s="3">
        <v>108.33</v>
      </c>
      <c r="G967" s="3">
        <v>71.58</v>
      </c>
      <c r="H967" s="3">
        <v>76.61</v>
      </c>
      <c r="I967" s="3">
        <v>76.3</v>
      </c>
      <c r="J967" s="3">
        <v>101.58</v>
      </c>
      <c r="K967" s="3">
        <v>24.45</v>
      </c>
      <c r="L967" s="3">
        <v>75289.86</v>
      </c>
      <c r="M967" s="3">
        <v>48879.54</v>
      </c>
      <c r="N967" s="3">
        <v>15.324999999999999</v>
      </c>
      <c r="O967" s="3">
        <v>5.4539999999999998E-2</v>
      </c>
      <c r="P967" s="3">
        <v>2.3919999999999999</v>
      </c>
      <c r="Q967" s="3">
        <v>123.33</v>
      </c>
      <c r="R967" s="3">
        <v>34.85</v>
      </c>
      <c r="S967" s="3">
        <v>152.55000000000001</v>
      </c>
    </row>
    <row r="968" spans="1:19" ht="14.4" x14ac:dyDescent="0.3">
      <c r="A968" s="4">
        <v>45275</v>
      </c>
      <c r="B968" s="3">
        <v>70.8</v>
      </c>
      <c r="C968" s="3">
        <v>86.89</v>
      </c>
      <c r="D968" s="3">
        <v>98.24</v>
      </c>
      <c r="E968" s="3">
        <v>99.81</v>
      </c>
      <c r="F968" s="3">
        <v>104.07</v>
      </c>
      <c r="G968" s="3">
        <v>71.430000000000007</v>
      </c>
      <c r="H968" s="3">
        <v>76.55</v>
      </c>
      <c r="I968" s="3">
        <v>76.34</v>
      </c>
      <c r="J968" s="3">
        <v>100.9</v>
      </c>
      <c r="K968" s="3">
        <v>24.9</v>
      </c>
      <c r="L968" s="5">
        <f>FORECAST(A968,L962:L967,A962:A967)</f>
        <v>73524.705793992151</v>
      </c>
      <c r="M968" s="5">
        <f>FORECAST(A968,M962:M967,A962:A967)</f>
        <v>46192.661030042917</v>
      </c>
      <c r="N968" s="3">
        <v>15.196999999999999</v>
      </c>
      <c r="O968" s="3">
        <v>5.4469999999999998E-2</v>
      </c>
      <c r="P968" s="3">
        <v>2.4910000000000001</v>
      </c>
      <c r="Q968" s="3">
        <v>123.1</v>
      </c>
      <c r="R968" s="3">
        <v>33.19</v>
      </c>
      <c r="S968" s="3">
        <v>151</v>
      </c>
    </row>
    <row r="969" spans="1:19" ht="14.4" x14ac:dyDescent="0.3">
      <c r="A969" s="4">
        <v>45278</v>
      </c>
      <c r="B969" s="3">
        <v>70.8</v>
      </c>
      <c r="C969" s="3">
        <v>86.89</v>
      </c>
      <c r="D969" s="3">
        <v>98.24</v>
      </c>
      <c r="E969" s="3">
        <v>99.81</v>
      </c>
      <c r="F969" s="3">
        <v>104.07</v>
      </c>
      <c r="G969" s="3">
        <v>72.47</v>
      </c>
      <c r="H969" s="3">
        <v>77.95</v>
      </c>
      <c r="I969" s="3">
        <v>76.72</v>
      </c>
      <c r="J969" s="3">
        <v>101.65</v>
      </c>
      <c r="K969" s="3">
        <v>25.25</v>
      </c>
      <c r="L969" s="3">
        <v>74301.59</v>
      </c>
      <c r="M969" s="3">
        <v>48948.42</v>
      </c>
      <c r="N969" s="3">
        <v>12.395</v>
      </c>
      <c r="O969" s="3">
        <v>5.3789999999999998E-2</v>
      </c>
      <c r="P969" s="3">
        <v>2.5030000000000001</v>
      </c>
      <c r="Q969" s="3">
        <v>123.56</v>
      </c>
      <c r="R969" s="3">
        <v>35.520000000000003</v>
      </c>
      <c r="S969" s="3">
        <v>153.1</v>
      </c>
    </row>
    <row r="970" spans="1:19" ht="14.4" x14ac:dyDescent="0.3">
      <c r="A970" s="4">
        <v>45279</v>
      </c>
      <c r="B970" s="3">
        <v>70.8</v>
      </c>
      <c r="C970" s="3">
        <v>86.89</v>
      </c>
      <c r="D970" s="3">
        <v>98.24</v>
      </c>
      <c r="E970" s="3">
        <v>99.81</v>
      </c>
      <c r="F970" s="3">
        <v>104.07</v>
      </c>
      <c r="G970" s="3">
        <v>73.44</v>
      </c>
      <c r="H970" s="3">
        <v>79.23</v>
      </c>
      <c r="I970" s="3">
        <v>77.19</v>
      </c>
      <c r="J970" s="3">
        <v>102.99</v>
      </c>
      <c r="K970" s="3">
        <v>25.1</v>
      </c>
      <c r="L970" s="3">
        <v>74842.59</v>
      </c>
      <c r="M970" s="3">
        <v>50602.19</v>
      </c>
      <c r="N970" s="3">
        <v>11.775</v>
      </c>
      <c r="O970" s="3">
        <v>5.4550000000000001E-2</v>
      </c>
      <c r="P970" s="3">
        <v>2.492</v>
      </c>
      <c r="Q970" s="3">
        <v>123.77</v>
      </c>
      <c r="R970" s="3">
        <v>32.57</v>
      </c>
      <c r="S970" s="3">
        <v>154.19999999999999</v>
      </c>
    </row>
    <row r="971" spans="1:19" ht="14.4" x14ac:dyDescent="0.3">
      <c r="A971" s="4">
        <v>45280</v>
      </c>
      <c r="B971" s="3">
        <v>70.8</v>
      </c>
      <c r="C971" s="3">
        <v>86.89</v>
      </c>
      <c r="D971" s="3">
        <v>98.24</v>
      </c>
      <c r="E971" s="3">
        <v>99.81</v>
      </c>
      <c r="F971" s="3">
        <v>104.07</v>
      </c>
      <c r="G971" s="3">
        <v>74.22</v>
      </c>
      <c r="H971" s="3">
        <v>79.7</v>
      </c>
      <c r="I971" s="3">
        <v>77.36</v>
      </c>
      <c r="J971" s="3">
        <v>101.27</v>
      </c>
      <c r="K971" s="3">
        <v>25.3</v>
      </c>
      <c r="L971" s="3">
        <v>74893.5</v>
      </c>
      <c r="M971" s="3">
        <v>50094.9</v>
      </c>
      <c r="N971" s="3">
        <v>11.81</v>
      </c>
      <c r="O971" s="3">
        <v>5.4519999999999999E-2</v>
      </c>
      <c r="P971" s="3">
        <v>2.4470000000000001</v>
      </c>
      <c r="Q971" s="3">
        <v>122.36</v>
      </c>
      <c r="R971" s="3">
        <v>33.520000000000003</v>
      </c>
      <c r="S971" s="3">
        <v>143.94999999999999</v>
      </c>
    </row>
    <row r="972" spans="1:19" ht="14.4" x14ac:dyDescent="0.3">
      <c r="A972" s="4">
        <v>45281</v>
      </c>
      <c r="B972" s="3">
        <v>70.8</v>
      </c>
      <c r="C972" s="3">
        <v>86.89</v>
      </c>
      <c r="D972" s="3">
        <v>98.24</v>
      </c>
      <c r="E972" s="3">
        <v>99.81</v>
      </c>
      <c r="F972" s="3">
        <v>104.07</v>
      </c>
      <c r="G972" s="3">
        <v>73.89</v>
      </c>
      <c r="H972" s="3">
        <v>79.39</v>
      </c>
      <c r="I972" s="3">
        <v>77.27</v>
      </c>
      <c r="J972" s="3">
        <v>101.73</v>
      </c>
      <c r="K972" s="3">
        <v>25.35</v>
      </c>
      <c r="L972" s="3">
        <v>75412.929999999993</v>
      </c>
      <c r="M972" s="3">
        <v>50664.75</v>
      </c>
      <c r="N972" s="3">
        <v>11.935</v>
      </c>
      <c r="O972" s="3">
        <v>5.4460000000000001E-2</v>
      </c>
      <c r="P972" s="3">
        <v>2.5720000000000001</v>
      </c>
      <c r="Q972" s="3">
        <v>124.23</v>
      </c>
      <c r="R972" s="3">
        <v>34.204999999999998</v>
      </c>
      <c r="S972" s="3">
        <v>147.1</v>
      </c>
    </row>
    <row r="973" spans="1:19" ht="14.4" x14ac:dyDescent="0.3">
      <c r="A973" s="4">
        <v>45282</v>
      </c>
      <c r="B973" s="3">
        <v>70.349999999999994</v>
      </c>
      <c r="C973" s="3">
        <v>86.36</v>
      </c>
      <c r="D973" s="3">
        <v>97.18</v>
      </c>
      <c r="E973" s="3">
        <v>97.99</v>
      </c>
      <c r="F973" s="3">
        <v>103.44</v>
      </c>
      <c r="G973" s="3">
        <v>73.56</v>
      </c>
      <c r="H973" s="3">
        <v>79.069999999999993</v>
      </c>
      <c r="I973" s="3">
        <v>77.290000000000006</v>
      </c>
      <c r="J973" s="3">
        <v>101.91</v>
      </c>
      <c r="K973" s="3">
        <v>25.95</v>
      </c>
      <c r="L973" s="3">
        <v>74379.570000000007</v>
      </c>
      <c r="M973" s="3">
        <v>50734.39</v>
      </c>
      <c r="N973" s="3">
        <v>11.945</v>
      </c>
      <c r="O973" s="3">
        <v>5.4179999999999999E-2</v>
      </c>
      <c r="P973" s="3">
        <v>2.61</v>
      </c>
      <c r="Q973" s="3">
        <v>125.72</v>
      </c>
      <c r="R973" s="3">
        <v>34.173999999999999</v>
      </c>
      <c r="S973" s="3">
        <v>152.55000000000001</v>
      </c>
    </row>
    <row r="974" spans="1:19" ht="14.4" x14ac:dyDescent="0.3">
      <c r="A974" s="4">
        <v>45285</v>
      </c>
      <c r="B974" s="1">
        <f t="shared" ref="B974:E974" si="58">B973</f>
        <v>70.349999999999994</v>
      </c>
      <c r="C974" s="1">
        <f t="shared" si="58"/>
        <v>86.36</v>
      </c>
      <c r="D974" s="1">
        <f t="shared" si="58"/>
        <v>97.18</v>
      </c>
      <c r="E974" s="1">
        <f t="shared" si="58"/>
        <v>97.99</v>
      </c>
      <c r="F974" s="1">
        <f t="shared" ref="F974:F975" si="59">F973</f>
        <v>103.44</v>
      </c>
      <c r="G974" s="3">
        <v>73.790000000000006</v>
      </c>
      <c r="H974" s="1">
        <f>(H973+H975)/2</f>
        <v>80.069999999999993</v>
      </c>
      <c r="I974" s="1">
        <f>(I973+I975)/2</f>
        <v>77.44</v>
      </c>
      <c r="J974" s="1">
        <f>(J973+J975)/2</f>
        <v>102.02500000000001</v>
      </c>
      <c r="K974" s="5">
        <f t="shared" ref="K974:K975" si="60">FORECAST(A974,K968:K973,A968:A973)</f>
        <v>26.006756756756658</v>
      </c>
      <c r="L974" s="5">
        <f t="shared" ref="L974:L975" si="61">FORECAST(A974,L968:L973,A968:A973)</f>
        <v>75675.081803735346</v>
      </c>
      <c r="M974" s="5">
        <f t="shared" ref="M974:M975" si="62">FORECAST(A974,M968:M973,A968:A973)</f>
        <v>53393.137738082558</v>
      </c>
      <c r="N974" s="5">
        <f>FORECAST(A974,N968:N973,A968:A973)</f>
        <v>9.8272702702670358</v>
      </c>
      <c r="O974" s="3">
        <v>5.4260000000000003E-2</v>
      </c>
      <c r="P974" s="3">
        <v>2.4180000000000001</v>
      </c>
      <c r="Q974" s="1">
        <f>AVERAGE(Q973,Q975)</f>
        <v>126.185</v>
      </c>
      <c r="R974" s="5">
        <f>AVERAGE(R973,R975)</f>
        <v>34.174499999999995</v>
      </c>
      <c r="S974" s="1">
        <f>S975</f>
        <v>156.4</v>
      </c>
    </row>
    <row r="975" spans="1:19" ht="14.4" x14ac:dyDescent="0.3">
      <c r="A975" s="4">
        <v>45286</v>
      </c>
      <c r="B975" s="1">
        <f t="shared" ref="B975:D975" si="63">B974</f>
        <v>70.349999999999994</v>
      </c>
      <c r="C975" s="1">
        <f t="shared" si="63"/>
        <v>86.36</v>
      </c>
      <c r="D975" s="1">
        <f t="shared" si="63"/>
        <v>97.18</v>
      </c>
      <c r="E975" s="3">
        <v>97.99</v>
      </c>
      <c r="F975" s="1">
        <f t="shared" si="59"/>
        <v>103.44</v>
      </c>
      <c r="G975" s="3">
        <v>75.569999999999993</v>
      </c>
      <c r="H975" s="3">
        <v>81.069999999999993</v>
      </c>
      <c r="I975" s="3">
        <v>77.59</v>
      </c>
      <c r="J975" s="3">
        <v>102.14</v>
      </c>
      <c r="K975" s="5">
        <f t="shared" si="60"/>
        <v>26.199897735573359</v>
      </c>
      <c r="L975" s="5">
        <f t="shared" si="61"/>
        <v>75673.942100527696</v>
      </c>
      <c r="M975" s="5">
        <f t="shared" si="62"/>
        <v>53571.86371942237</v>
      </c>
      <c r="N975" s="3">
        <v>11.945</v>
      </c>
      <c r="O975" s="3">
        <v>5.364E-2</v>
      </c>
      <c r="P975" s="3">
        <v>2.5499999999999998</v>
      </c>
      <c r="Q975" s="3">
        <v>126.65</v>
      </c>
      <c r="R975" s="3">
        <v>34.174999999999997</v>
      </c>
      <c r="S975" s="3">
        <v>156.4</v>
      </c>
    </row>
    <row r="976" spans="1:19" ht="14.4" x14ac:dyDescent="0.3">
      <c r="A976" s="4">
        <v>45287</v>
      </c>
      <c r="B976" s="3">
        <v>70.349999999999994</v>
      </c>
      <c r="C976" s="3">
        <v>86.36</v>
      </c>
      <c r="D976" s="3">
        <v>97.18</v>
      </c>
      <c r="E976" s="3">
        <v>97.99</v>
      </c>
      <c r="F976" s="3">
        <v>103.44</v>
      </c>
      <c r="G976" s="3">
        <v>74.11</v>
      </c>
      <c r="H976" s="3">
        <v>79.650000000000006</v>
      </c>
      <c r="I976" s="3">
        <v>77.39</v>
      </c>
      <c r="J976" s="3">
        <v>101.66</v>
      </c>
      <c r="K976" s="3">
        <v>26.3</v>
      </c>
      <c r="L976" s="3">
        <v>76657.94</v>
      </c>
      <c r="M976" s="3">
        <v>52207.55</v>
      </c>
      <c r="N976" s="3">
        <v>11.87</v>
      </c>
      <c r="O976" s="3">
        <v>5.4370000000000002E-2</v>
      </c>
      <c r="P976" s="3">
        <v>2.6190000000000002</v>
      </c>
      <c r="Q976" s="3">
        <v>127.79</v>
      </c>
      <c r="R976" s="3">
        <v>35.515000000000001</v>
      </c>
      <c r="S976" s="3">
        <v>154.75</v>
      </c>
    </row>
    <row r="977" spans="1:19" ht="14.4" x14ac:dyDescent="0.3">
      <c r="A977" s="4">
        <v>45288</v>
      </c>
      <c r="B977" s="3">
        <v>70.349999999999994</v>
      </c>
      <c r="C977" s="3">
        <v>86.36</v>
      </c>
      <c r="D977" s="3">
        <v>97.18</v>
      </c>
      <c r="E977" s="3">
        <v>97.99</v>
      </c>
      <c r="F977" s="3">
        <v>103.44</v>
      </c>
      <c r="G977" s="3">
        <v>71.77</v>
      </c>
      <c r="H977" s="3">
        <v>78.39</v>
      </c>
      <c r="I977" s="3">
        <v>77.290000000000006</v>
      </c>
      <c r="J977" s="3">
        <v>100.19</v>
      </c>
      <c r="K977" s="3">
        <v>26.35</v>
      </c>
      <c r="L977" s="3">
        <v>76485.73</v>
      </c>
      <c r="M977" s="3">
        <v>50762.19</v>
      </c>
      <c r="N977" s="3">
        <v>11.725</v>
      </c>
      <c r="O977" s="3">
        <v>5.3870000000000001E-2</v>
      </c>
      <c r="P977" s="3">
        <v>2.5569999999999999</v>
      </c>
      <c r="Q977" s="3">
        <v>128.6</v>
      </c>
      <c r="R977" s="3">
        <v>33.104999999999997</v>
      </c>
      <c r="S977" s="3">
        <v>161.5</v>
      </c>
    </row>
    <row r="978" spans="1:19" ht="14.4" x14ac:dyDescent="0.3">
      <c r="A978" s="4">
        <v>45289</v>
      </c>
      <c r="B978" s="3">
        <v>70.83</v>
      </c>
      <c r="C978" s="3">
        <v>84.89</v>
      </c>
      <c r="D978" s="3">
        <v>97.04</v>
      </c>
      <c r="E978" s="3">
        <v>97.56</v>
      </c>
      <c r="F978" s="3">
        <v>103.05</v>
      </c>
      <c r="G978" s="3">
        <v>71.650000000000006</v>
      </c>
      <c r="H978" s="3">
        <v>77.040000000000006</v>
      </c>
      <c r="I978" s="3">
        <v>77.33</v>
      </c>
      <c r="J978" s="3">
        <v>99.98</v>
      </c>
      <c r="K978" s="3">
        <v>26.75</v>
      </c>
      <c r="L978" s="3">
        <v>76893.149999999994</v>
      </c>
      <c r="M978" s="3">
        <v>49946.59</v>
      </c>
      <c r="N978" s="3">
        <v>11.52</v>
      </c>
      <c r="O978" s="3">
        <v>5.4609999999999999E-2</v>
      </c>
      <c r="P978" s="3">
        <v>2.5139999999999998</v>
      </c>
      <c r="Q978" s="3">
        <v>128.43</v>
      </c>
      <c r="R978" s="3">
        <v>32.35</v>
      </c>
      <c r="S978" s="3">
        <v>168</v>
      </c>
    </row>
    <row r="979" spans="1:19" ht="14.4" x14ac:dyDescent="0.3">
      <c r="A979" s="2">
        <v>45292</v>
      </c>
      <c r="B979" s="1">
        <f t="shared" ref="B979:F979" si="64">B978</f>
        <v>70.83</v>
      </c>
      <c r="C979" s="1">
        <f t="shared" si="64"/>
        <v>84.89</v>
      </c>
      <c r="D979" s="1">
        <f t="shared" si="64"/>
        <v>97.04</v>
      </c>
      <c r="E979" s="1">
        <f t="shared" si="64"/>
        <v>97.56</v>
      </c>
      <c r="F979" s="1">
        <f t="shared" si="64"/>
        <v>103.05</v>
      </c>
      <c r="G979" s="3">
        <v>71.97</v>
      </c>
      <c r="H979" s="1">
        <f>(H978+H980)/2</f>
        <v>76.465000000000003</v>
      </c>
      <c r="I979" s="1">
        <f>(I978+I980)/2</f>
        <v>76.650000000000006</v>
      </c>
      <c r="J979" s="1">
        <f>(J978+J980)/2</f>
        <v>101.17</v>
      </c>
      <c r="K979" s="5">
        <f>FORECAST(A979,K973:K978,A973:A978)</f>
        <v>26.861783112551166</v>
      </c>
      <c r="L979" s="5">
        <f>FORECAST(A979,L973:L978,A973:A978)</f>
        <v>78071.229375546798</v>
      </c>
      <c r="M979" s="5">
        <f>FORECAST(A979,M973:M978,A973:A978)</f>
        <v>50912.584408673458</v>
      </c>
      <c r="N979" s="5">
        <f>FORECAST(A979,N973:N978,A973:A978)</f>
        <v>11.623525931336872</v>
      </c>
      <c r="O979" s="3">
        <v>5.4629999999999998E-2</v>
      </c>
      <c r="P979" s="3">
        <v>2.6669999999999998</v>
      </c>
      <c r="Q979" s="1">
        <f>AVERAGE(Q978,Q980)</f>
        <v>127.44</v>
      </c>
      <c r="R979" s="5">
        <f>AVERAGE(R978,R980)</f>
        <v>31.46</v>
      </c>
      <c r="S979" s="3">
        <v>168</v>
      </c>
    </row>
    <row r="980" spans="1:19" ht="14.4" x14ac:dyDescent="0.3">
      <c r="A980" s="2">
        <v>45293</v>
      </c>
      <c r="B980" s="3">
        <v>70.83</v>
      </c>
      <c r="C980" s="3">
        <v>84.89</v>
      </c>
      <c r="D980" s="3">
        <v>97.04</v>
      </c>
      <c r="E980" s="3">
        <v>94.75</v>
      </c>
      <c r="F980" s="3">
        <v>103.05</v>
      </c>
      <c r="G980" s="3">
        <v>70.38</v>
      </c>
      <c r="H980" s="3">
        <v>75.89</v>
      </c>
      <c r="I980" s="3">
        <v>75.97</v>
      </c>
      <c r="J980" s="3">
        <v>102.36</v>
      </c>
      <c r="K980" s="3">
        <v>27.5</v>
      </c>
      <c r="L980" s="3">
        <v>75709.14</v>
      </c>
      <c r="M980" s="3">
        <v>48660.02</v>
      </c>
      <c r="N980" s="3">
        <v>11.494999999999999</v>
      </c>
      <c r="O980" s="3">
        <v>5.3830000000000003E-2</v>
      </c>
      <c r="P980" s="3">
        <v>2.5680000000000001</v>
      </c>
      <c r="Q980" s="3">
        <v>126.45</v>
      </c>
      <c r="R980" s="3">
        <v>30.57</v>
      </c>
      <c r="S980" s="3">
        <v>165.95</v>
      </c>
    </row>
    <row r="981" spans="1:19" ht="14.4" x14ac:dyDescent="0.3">
      <c r="A981" s="2">
        <v>45294</v>
      </c>
      <c r="B981" s="3">
        <v>70.83</v>
      </c>
      <c r="C981" s="3">
        <v>84.89</v>
      </c>
      <c r="D981" s="3">
        <v>97.04</v>
      </c>
      <c r="E981" s="3">
        <v>94.75</v>
      </c>
      <c r="F981" s="3">
        <v>103.05</v>
      </c>
      <c r="G981" s="3">
        <v>72.7</v>
      </c>
      <c r="H981" s="3">
        <v>78.25</v>
      </c>
      <c r="I981" s="3">
        <v>78.2</v>
      </c>
      <c r="J981" s="3">
        <v>103.22</v>
      </c>
      <c r="K981" s="3">
        <v>27.65</v>
      </c>
      <c r="L981" s="3">
        <v>74510.720000000001</v>
      </c>
      <c r="M981" s="3">
        <v>46173.52</v>
      </c>
      <c r="N981" s="3">
        <v>11.5</v>
      </c>
      <c r="O981" s="3">
        <v>5.339E-2</v>
      </c>
      <c r="P981" s="3">
        <v>2.6680000000000001</v>
      </c>
      <c r="Q981" s="3">
        <v>124.81</v>
      </c>
      <c r="R981" s="3">
        <v>32.795000000000002</v>
      </c>
      <c r="S981" s="3">
        <v>163.15</v>
      </c>
    </row>
    <row r="982" spans="1:19" ht="14.4" x14ac:dyDescent="0.3">
      <c r="A982" s="2">
        <v>45295</v>
      </c>
      <c r="B982" s="3">
        <v>70.83</v>
      </c>
      <c r="C982" s="3">
        <v>84.89</v>
      </c>
      <c r="D982" s="3">
        <v>97.04</v>
      </c>
      <c r="E982" s="3">
        <v>94.75</v>
      </c>
      <c r="F982" s="3">
        <v>103.05</v>
      </c>
      <c r="G982" s="3">
        <v>72.19</v>
      </c>
      <c r="H982" s="3">
        <v>77.59</v>
      </c>
      <c r="I982" s="3">
        <v>77.14</v>
      </c>
      <c r="J982" s="3">
        <v>102.32</v>
      </c>
      <c r="K982" s="3">
        <v>28.2</v>
      </c>
      <c r="L982" s="3">
        <v>74522.490000000005</v>
      </c>
      <c r="M982" s="3">
        <v>45511.88</v>
      </c>
      <c r="N982" s="3">
        <v>11.555</v>
      </c>
      <c r="O982" s="3">
        <v>5.3429999999999998E-2</v>
      </c>
      <c r="P982" s="3">
        <v>2.8210000000000002</v>
      </c>
      <c r="Q982" s="3">
        <v>125.62</v>
      </c>
      <c r="R982" s="3">
        <v>33.409999999999997</v>
      </c>
      <c r="S982" s="3">
        <v>165.95</v>
      </c>
    </row>
    <row r="983" spans="1:19" ht="14.4" x14ac:dyDescent="0.3">
      <c r="A983" s="2">
        <v>45296</v>
      </c>
      <c r="B983" s="3">
        <v>70.58</v>
      </c>
      <c r="C983" s="3">
        <v>84.87</v>
      </c>
      <c r="D983" s="3">
        <v>96.54</v>
      </c>
      <c r="E983" s="3">
        <v>94.75</v>
      </c>
      <c r="F983" s="3">
        <v>102.62</v>
      </c>
      <c r="G983" s="3">
        <v>73.81</v>
      </c>
      <c r="H983" s="3">
        <v>78.760000000000005</v>
      </c>
      <c r="I983" s="3">
        <v>78.290000000000006</v>
      </c>
      <c r="J983" s="3">
        <v>102.63</v>
      </c>
      <c r="K983" s="3">
        <v>28.1</v>
      </c>
      <c r="L983" s="3">
        <v>74488.2</v>
      </c>
      <c r="M983" s="3">
        <v>45269.93</v>
      </c>
      <c r="N983" s="3">
        <v>11.565</v>
      </c>
      <c r="O983" s="3">
        <v>5.3499999999999999E-2</v>
      </c>
      <c r="P983" s="3">
        <v>2.8929999999999998</v>
      </c>
      <c r="Q983" s="3">
        <v>125.79</v>
      </c>
      <c r="R983" s="3">
        <v>34.549999999999997</v>
      </c>
      <c r="S983" s="3">
        <v>164.2</v>
      </c>
    </row>
    <row r="984" spans="1:19" ht="14.4" x14ac:dyDescent="0.3">
      <c r="A984" s="2">
        <v>45299</v>
      </c>
      <c r="B984" s="3">
        <v>70.58</v>
      </c>
      <c r="C984" s="3">
        <v>84.87</v>
      </c>
      <c r="D984" s="3">
        <v>96.54</v>
      </c>
      <c r="E984" s="3">
        <v>96.94</v>
      </c>
      <c r="F984" s="3">
        <v>102.62</v>
      </c>
      <c r="G984" s="3">
        <v>70.77</v>
      </c>
      <c r="H984" s="3">
        <v>76.12</v>
      </c>
      <c r="I984" s="3">
        <v>76.16</v>
      </c>
      <c r="J984" s="3">
        <v>100.92</v>
      </c>
      <c r="K984" s="3">
        <v>28.2</v>
      </c>
      <c r="L984" s="3">
        <v>74103.23</v>
      </c>
      <c r="M984" s="3">
        <v>44412.800000000003</v>
      </c>
      <c r="N984" s="3">
        <v>11.48</v>
      </c>
      <c r="O984" s="3">
        <v>5.373E-2</v>
      </c>
      <c r="P984" s="3">
        <v>2.98</v>
      </c>
      <c r="Q984" s="3">
        <v>128.41</v>
      </c>
      <c r="R984" s="3">
        <v>31.58</v>
      </c>
      <c r="S984" s="3">
        <v>160.9</v>
      </c>
    </row>
    <row r="985" spans="1:19" ht="14.4" x14ac:dyDescent="0.3">
      <c r="A985" s="2">
        <v>45300</v>
      </c>
      <c r="B985" s="3">
        <v>70.58</v>
      </c>
      <c r="C985" s="3">
        <v>84.87</v>
      </c>
      <c r="D985" s="3">
        <v>96.54</v>
      </c>
      <c r="E985" s="3">
        <v>96.94</v>
      </c>
      <c r="F985" s="3">
        <v>102.62</v>
      </c>
      <c r="G985" s="3">
        <v>72.239999999999995</v>
      </c>
      <c r="H985" s="3">
        <v>77.59</v>
      </c>
      <c r="I985" s="3">
        <v>77.41</v>
      </c>
      <c r="J985" s="3">
        <v>99.67</v>
      </c>
      <c r="K985" s="3">
        <v>28.5</v>
      </c>
      <c r="L985" s="3">
        <v>73826.149999999994</v>
      </c>
      <c r="M985" s="3">
        <v>43746.12</v>
      </c>
      <c r="N985" s="3">
        <v>11.3</v>
      </c>
      <c r="O985" s="3">
        <v>5.3460000000000001E-2</v>
      </c>
      <c r="P985" s="3">
        <v>3.19</v>
      </c>
      <c r="Q985" s="3">
        <v>127.04</v>
      </c>
      <c r="R985" s="3">
        <v>30.64</v>
      </c>
      <c r="S985" s="3">
        <v>162.85</v>
      </c>
    </row>
    <row r="986" spans="1:19" ht="14.4" x14ac:dyDescent="0.3">
      <c r="A986" s="2">
        <v>45301</v>
      </c>
      <c r="B986" s="3">
        <v>70.58</v>
      </c>
      <c r="C986" s="3">
        <v>84.87</v>
      </c>
      <c r="D986" s="3">
        <v>96.54</v>
      </c>
      <c r="E986" s="3">
        <v>96.94</v>
      </c>
      <c r="F986" s="3">
        <v>102.62</v>
      </c>
      <c r="G986" s="3">
        <v>71.37</v>
      </c>
      <c r="H986" s="3">
        <v>76.8</v>
      </c>
      <c r="I986" s="3">
        <v>77.040000000000006</v>
      </c>
      <c r="J986" s="3">
        <v>98.69</v>
      </c>
      <c r="K986" s="3">
        <v>28.65</v>
      </c>
      <c r="L986" s="3">
        <v>73586.98</v>
      </c>
      <c r="M986" s="3">
        <v>43357.79</v>
      </c>
      <c r="N986" s="3">
        <v>11.285</v>
      </c>
      <c r="O986" s="3">
        <v>5.3499999999999999E-2</v>
      </c>
      <c r="P986" s="3">
        <v>3.0390000000000001</v>
      </c>
      <c r="Q986" s="3">
        <v>127.65</v>
      </c>
      <c r="R986" s="3">
        <v>30.94</v>
      </c>
      <c r="S986" s="3">
        <v>164.05</v>
      </c>
    </row>
    <row r="987" spans="1:19" ht="14.4" x14ac:dyDescent="0.3">
      <c r="A987" s="2">
        <v>45302</v>
      </c>
      <c r="B987" s="3">
        <v>70.58</v>
      </c>
      <c r="C987" s="3">
        <v>84.87</v>
      </c>
      <c r="D987" s="3">
        <v>96.54</v>
      </c>
      <c r="E987" s="3">
        <v>96.94</v>
      </c>
      <c r="F987" s="3">
        <v>102.62</v>
      </c>
      <c r="G987" s="3">
        <v>72.02</v>
      </c>
      <c r="H987" s="3">
        <v>77.41</v>
      </c>
      <c r="I987" s="3">
        <v>77.48</v>
      </c>
      <c r="J987" s="3">
        <v>98.67</v>
      </c>
      <c r="K987" s="3">
        <v>27.8</v>
      </c>
      <c r="L987" s="3">
        <v>73834.28</v>
      </c>
      <c r="M987" s="3">
        <v>43473.14</v>
      </c>
      <c r="N987" s="3">
        <v>11.244999999999999</v>
      </c>
      <c r="O987" s="3">
        <v>5.3629999999999997E-2</v>
      </c>
      <c r="P987" s="3">
        <v>3.097</v>
      </c>
      <c r="Q987" s="3">
        <v>126.77</v>
      </c>
      <c r="R987" s="3">
        <v>30.815000000000001</v>
      </c>
      <c r="S987" s="3">
        <v>166.9</v>
      </c>
    </row>
    <row r="988" spans="1:19" ht="14.4" x14ac:dyDescent="0.3">
      <c r="A988" s="2">
        <v>45303</v>
      </c>
      <c r="B988" s="3">
        <v>68.88</v>
      </c>
      <c r="C988" s="3">
        <v>84.49</v>
      </c>
      <c r="D988" s="3">
        <v>94.3</v>
      </c>
      <c r="E988" s="3">
        <v>96.94</v>
      </c>
      <c r="F988" s="3">
        <v>101.8</v>
      </c>
      <c r="G988" s="3">
        <v>72.680000000000007</v>
      </c>
      <c r="H988" s="3">
        <v>78.290000000000006</v>
      </c>
      <c r="I988" s="3">
        <v>77.88</v>
      </c>
      <c r="J988" s="3">
        <v>99.95</v>
      </c>
      <c r="K988" s="3">
        <v>28.4</v>
      </c>
      <c r="L988" s="3">
        <v>74240.759999999995</v>
      </c>
      <c r="M988" s="3">
        <v>45277.56</v>
      </c>
      <c r="N988" s="3">
        <v>11.2</v>
      </c>
      <c r="O988" s="3">
        <v>5.3699999999999998E-2</v>
      </c>
      <c r="P988" s="3">
        <v>3.3130000000000002</v>
      </c>
      <c r="Q988" s="3">
        <v>126.96</v>
      </c>
      <c r="R988" s="3">
        <v>31.99</v>
      </c>
      <c r="S988" s="3">
        <v>164.4</v>
      </c>
    </row>
    <row r="989" spans="1:19" ht="14.4" x14ac:dyDescent="0.3">
      <c r="A989" s="2">
        <v>45306</v>
      </c>
      <c r="B989" s="3">
        <v>68.88</v>
      </c>
      <c r="C989" s="3">
        <v>84.49</v>
      </c>
      <c r="D989" s="3">
        <v>94.3</v>
      </c>
      <c r="E989" s="3">
        <v>96.23</v>
      </c>
      <c r="F989" s="3">
        <v>101.8</v>
      </c>
      <c r="G989" s="3">
        <v>72.790000000000006</v>
      </c>
      <c r="H989" s="3">
        <v>78.150000000000006</v>
      </c>
      <c r="I989" s="1">
        <f>(I988+I990)/2</f>
        <v>77.789999999999992</v>
      </c>
      <c r="J989" s="1">
        <f>(J988+J990)/2</f>
        <v>98.82</v>
      </c>
      <c r="K989" s="3">
        <v>28.55</v>
      </c>
      <c r="L989" s="3">
        <v>73675.740000000005</v>
      </c>
      <c r="M989" s="3">
        <v>45268.07</v>
      </c>
      <c r="N989" s="5">
        <f>FORECAST(A989,N983:N988,A983:A988)</f>
        <v>11.022162162161749</v>
      </c>
      <c r="O989" s="3">
        <v>5.3490000000000003E-2</v>
      </c>
      <c r="P989" s="3">
        <v>3.0659999999999998</v>
      </c>
      <c r="Q989" s="1">
        <f>AVERAGE(Q988,Q990)</f>
        <v>126.495</v>
      </c>
      <c r="R989" s="3">
        <v>29.914999999999999</v>
      </c>
      <c r="S989" s="3">
        <v>163.65</v>
      </c>
    </row>
    <row r="990" spans="1:19" ht="14.4" x14ac:dyDescent="0.3">
      <c r="A990" s="2">
        <v>45307</v>
      </c>
      <c r="B990" s="3">
        <v>68.88</v>
      </c>
      <c r="C990" s="3">
        <v>84.49</v>
      </c>
      <c r="D990" s="3">
        <v>94.3</v>
      </c>
      <c r="E990" s="3">
        <v>96.23</v>
      </c>
      <c r="F990" s="3">
        <v>101.8</v>
      </c>
      <c r="G990" s="3">
        <v>72.400000000000006</v>
      </c>
      <c r="H990" s="3">
        <v>78.290000000000006</v>
      </c>
      <c r="I990" s="3">
        <v>77.7</v>
      </c>
      <c r="J990" s="3">
        <v>97.69</v>
      </c>
      <c r="K990" s="3">
        <v>28.45</v>
      </c>
      <c r="L990" s="3">
        <v>73007.62</v>
      </c>
      <c r="M990" s="3">
        <v>44252.01</v>
      </c>
      <c r="N990" s="3">
        <v>10.025</v>
      </c>
      <c r="O990" s="3">
        <v>5.2690000000000001E-2</v>
      </c>
      <c r="P990" s="3">
        <v>2.9</v>
      </c>
      <c r="Q990" s="3">
        <v>126.03</v>
      </c>
      <c r="R990" s="3">
        <v>29.655000000000001</v>
      </c>
      <c r="S990" s="3">
        <v>164.1</v>
      </c>
    </row>
    <row r="991" spans="1:19" ht="14.4" x14ac:dyDescent="0.3">
      <c r="A991" s="2">
        <v>45308</v>
      </c>
      <c r="B991" s="3">
        <v>68.88</v>
      </c>
      <c r="C991" s="3">
        <v>84.49</v>
      </c>
      <c r="D991" s="3">
        <v>94.3</v>
      </c>
      <c r="E991" s="3">
        <v>96.23</v>
      </c>
      <c r="F991" s="3">
        <v>101.8</v>
      </c>
      <c r="G991" s="3">
        <v>72.56</v>
      </c>
      <c r="H991" s="3">
        <v>77.88</v>
      </c>
      <c r="I991" s="3">
        <v>77.45</v>
      </c>
      <c r="J991" s="3">
        <v>96.98</v>
      </c>
      <c r="K991" s="3">
        <v>27.8</v>
      </c>
      <c r="L991" s="3">
        <v>71693.09</v>
      </c>
      <c r="M991" s="3">
        <v>42706.79</v>
      </c>
      <c r="N991" s="3">
        <v>9.5500000000000007</v>
      </c>
      <c r="O991" s="3">
        <v>5.2449999999999997E-2</v>
      </c>
      <c r="P991" s="3">
        <v>2.87</v>
      </c>
      <c r="Q991" s="3">
        <v>125.83</v>
      </c>
      <c r="R991" s="3">
        <v>27.71</v>
      </c>
      <c r="S991" s="3">
        <v>147.25</v>
      </c>
    </row>
    <row r="992" spans="1:19" ht="14.4" x14ac:dyDescent="0.3">
      <c r="A992" s="2">
        <v>45309</v>
      </c>
      <c r="B992" s="3">
        <v>68.88</v>
      </c>
      <c r="C992" s="3">
        <v>84.49</v>
      </c>
      <c r="D992" s="3">
        <v>94.3</v>
      </c>
      <c r="E992" s="3">
        <v>96.23</v>
      </c>
      <c r="F992" s="3">
        <v>101.8</v>
      </c>
      <c r="G992" s="3">
        <v>74.08</v>
      </c>
      <c r="H992" s="3">
        <v>79.099999999999994</v>
      </c>
      <c r="I992" s="3">
        <v>77.989999999999995</v>
      </c>
      <c r="J992" s="3">
        <v>96.8</v>
      </c>
      <c r="K992" s="3">
        <v>27.8</v>
      </c>
      <c r="L992" s="3">
        <v>72344.399999999994</v>
      </c>
      <c r="M992" s="3">
        <v>43026.28</v>
      </c>
      <c r="N992" s="3">
        <v>9.5549999999999997</v>
      </c>
      <c r="O992" s="3">
        <v>5.2789999999999997E-2</v>
      </c>
      <c r="P992" s="3">
        <v>2.6970000000000001</v>
      </c>
      <c r="Q992" s="3">
        <v>126.63</v>
      </c>
      <c r="R992" s="3">
        <v>27.895</v>
      </c>
      <c r="S992" s="3">
        <v>137.19999999999999</v>
      </c>
    </row>
    <row r="993" spans="1:19" ht="14.4" x14ac:dyDescent="0.3">
      <c r="A993" s="2">
        <v>45310</v>
      </c>
      <c r="B993" s="3">
        <v>66.819999999999993</v>
      </c>
      <c r="C993" s="3">
        <v>82.68</v>
      </c>
      <c r="D993" s="3">
        <v>92.74</v>
      </c>
      <c r="E993" s="3">
        <v>96.23</v>
      </c>
      <c r="F993" s="3">
        <v>99.5</v>
      </c>
      <c r="G993" s="3">
        <v>73.41</v>
      </c>
      <c r="H993" s="3">
        <v>78.56</v>
      </c>
      <c r="I993" s="3">
        <v>77.77</v>
      </c>
      <c r="J993" s="3">
        <v>96.95</v>
      </c>
      <c r="K993" s="3">
        <v>27</v>
      </c>
      <c r="L993" s="3">
        <v>72660.91</v>
      </c>
      <c r="M993" s="3">
        <v>43198.57</v>
      </c>
      <c r="N993" s="3">
        <v>9.5850000000000009</v>
      </c>
      <c r="O993" s="3">
        <v>5.2569999999999999E-2</v>
      </c>
      <c r="P993" s="3">
        <v>2.5190000000000001</v>
      </c>
      <c r="Q993" s="3">
        <v>126.45</v>
      </c>
      <c r="R993" s="3">
        <v>28.428999999999998</v>
      </c>
      <c r="S993" s="3">
        <v>140.05000000000001</v>
      </c>
    </row>
    <row r="994" spans="1:19" ht="14.4" x14ac:dyDescent="0.3">
      <c r="A994" s="2">
        <v>45313</v>
      </c>
      <c r="B994" s="3">
        <v>66.819999999999993</v>
      </c>
      <c r="C994" s="3">
        <v>82.68</v>
      </c>
      <c r="D994" s="3">
        <v>92.74</v>
      </c>
      <c r="E994" s="3">
        <v>91.04</v>
      </c>
      <c r="F994" s="3">
        <v>99.5</v>
      </c>
      <c r="G994" s="3">
        <v>75.19</v>
      </c>
      <c r="H994" s="3">
        <v>80.06</v>
      </c>
      <c r="I994" s="3">
        <v>78.3</v>
      </c>
      <c r="J994" s="3">
        <v>96.82</v>
      </c>
      <c r="K994" s="3">
        <v>26.65</v>
      </c>
      <c r="L994" s="3">
        <v>72351.5</v>
      </c>
      <c r="M994" s="3">
        <v>43084.83</v>
      </c>
      <c r="N994" s="3">
        <v>9.4049999999999994</v>
      </c>
      <c r="O994" s="3">
        <v>5.2069999999999998E-2</v>
      </c>
      <c r="P994" s="3">
        <v>2.419</v>
      </c>
      <c r="Q994" s="3">
        <v>127.3</v>
      </c>
      <c r="R994" s="3">
        <v>27.265000000000001</v>
      </c>
      <c r="S994" s="1">
        <f>S995</f>
        <v>136.44999999999999</v>
      </c>
    </row>
    <row r="995" spans="1:19" ht="14.4" x14ac:dyDescent="0.3">
      <c r="A995" s="2">
        <v>45314</v>
      </c>
      <c r="B995" s="3">
        <v>66.819999999999993</v>
      </c>
      <c r="C995" s="3">
        <v>82.68</v>
      </c>
      <c r="D995" s="3">
        <v>92.74</v>
      </c>
      <c r="E995" s="3">
        <v>91.04</v>
      </c>
      <c r="F995" s="3">
        <v>99.5</v>
      </c>
      <c r="G995" s="3">
        <v>74.37</v>
      </c>
      <c r="H995" s="3">
        <v>79.55</v>
      </c>
      <c r="I995" s="3">
        <v>78.180000000000007</v>
      </c>
      <c r="J995" s="3">
        <v>97.91</v>
      </c>
      <c r="K995" s="3">
        <v>27.15</v>
      </c>
      <c r="L995" s="3">
        <v>73337.19</v>
      </c>
      <c r="M995" s="3">
        <v>44556.160000000003</v>
      </c>
      <c r="N995" s="3">
        <v>9.3350000000000009</v>
      </c>
      <c r="O995" s="3">
        <v>5.2510000000000001E-2</v>
      </c>
      <c r="P995" s="3">
        <v>2.4500000000000002</v>
      </c>
      <c r="Q995" s="3">
        <v>127.14</v>
      </c>
      <c r="R995" s="3">
        <v>27.225000000000001</v>
      </c>
      <c r="S995" s="3">
        <v>136.44999999999999</v>
      </c>
    </row>
    <row r="996" spans="1:19" ht="14.4" x14ac:dyDescent="0.3">
      <c r="A996" s="2">
        <v>45315</v>
      </c>
      <c r="B996" s="3">
        <v>66.819999999999993</v>
      </c>
      <c r="C996" s="3">
        <v>82.68</v>
      </c>
      <c r="D996" s="3">
        <v>92.74</v>
      </c>
      <c r="E996" s="3">
        <v>91.04</v>
      </c>
      <c r="F996" s="3">
        <v>99.5</v>
      </c>
      <c r="G996" s="3">
        <v>75.09</v>
      </c>
      <c r="H996" s="3">
        <v>80.040000000000006</v>
      </c>
      <c r="I996" s="3">
        <v>78.33</v>
      </c>
      <c r="J996" s="3">
        <v>99.6</v>
      </c>
      <c r="K996" s="3">
        <v>28.5</v>
      </c>
      <c r="L996" s="3">
        <v>74320.11</v>
      </c>
      <c r="M996" s="3">
        <v>46171.85</v>
      </c>
      <c r="N996" s="3">
        <v>9.5749999999999993</v>
      </c>
      <c r="O996" s="3">
        <v>5.2920000000000002E-2</v>
      </c>
      <c r="P996" s="3">
        <v>2.641</v>
      </c>
      <c r="Q996" s="3">
        <v>127.04</v>
      </c>
      <c r="R996" s="3">
        <v>28.93</v>
      </c>
      <c r="S996" s="3">
        <v>136.80000000000001</v>
      </c>
    </row>
    <row r="997" spans="1:19" ht="14.4" x14ac:dyDescent="0.3">
      <c r="A997" s="2">
        <v>45316</v>
      </c>
      <c r="B997" s="3">
        <v>66.819999999999993</v>
      </c>
      <c r="C997" s="3">
        <v>82.68</v>
      </c>
      <c r="D997" s="3">
        <v>92.74</v>
      </c>
      <c r="E997" s="3">
        <v>91.04</v>
      </c>
      <c r="F997" s="3">
        <v>99.5</v>
      </c>
      <c r="G997" s="3">
        <v>77.36</v>
      </c>
      <c r="H997" s="3">
        <v>82.43</v>
      </c>
      <c r="I997" s="3">
        <v>78.81</v>
      </c>
      <c r="J997" s="3">
        <v>102.13</v>
      </c>
      <c r="K997" s="3">
        <v>29.55</v>
      </c>
      <c r="L997" s="3">
        <v>74040.539999999994</v>
      </c>
      <c r="M997" s="3">
        <v>46310.15</v>
      </c>
      <c r="N997" s="3">
        <v>9.39</v>
      </c>
      <c r="O997" s="3">
        <v>5.2979999999999999E-2</v>
      </c>
      <c r="P997" s="3">
        <v>2.5710000000000002</v>
      </c>
      <c r="Q997" s="3">
        <v>127.29</v>
      </c>
      <c r="R997" s="3">
        <v>27.785</v>
      </c>
      <c r="S997" s="3">
        <v>135.69999999999999</v>
      </c>
    </row>
    <row r="998" spans="1:19" ht="14.4" x14ac:dyDescent="0.3">
      <c r="A998" s="2">
        <v>45317</v>
      </c>
      <c r="B998" s="3">
        <v>63.76</v>
      </c>
      <c r="C998" s="3">
        <v>79.22</v>
      </c>
      <c r="D998" s="3">
        <v>89.26</v>
      </c>
      <c r="E998" s="3">
        <v>91.04</v>
      </c>
      <c r="F998" s="3">
        <v>97.7</v>
      </c>
      <c r="G998" s="3">
        <v>78.010000000000005</v>
      </c>
      <c r="H998" s="3">
        <v>83.55</v>
      </c>
      <c r="I998" s="3">
        <v>78.89</v>
      </c>
      <c r="J998" s="3">
        <v>103</v>
      </c>
      <c r="K998" s="3">
        <v>29.65</v>
      </c>
      <c r="L998" s="3">
        <v>75084.38</v>
      </c>
      <c r="M998" s="3">
        <v>46889.74</v>
      </c>
      <c r="N998" s="3">
        <v>9.2899999999999991</v>
      </c>
      <c r="O998" s="3">
        <v>5.3199999999999997E-2</v>
      </c>
      <c r="P998" s="3">
        <v>2.7120000000000002</v>
      </c>
      <c r="Q998" s="3">
        <v>127.26</v>
      </c>
      <c r="R998" s="3">
        <v>28.079000000000001</v>
      </c>
      <c r="S998" s="1">
        <f>S999</f>
        <v>140.44999999999999</v>
      </c>
    </row>
    <row r="999" spans="1:19" ht="14.4" x14ac:dyDescent="0.3">
      <c r="A999" s="2">
        <v>45320</v>
      </c>
      <c r="B999" s="3">
        <v>63.76</v>
      </c>
      <c r="C999" s="3">
        <v>79.22</v>
      </c>
      <c r="D999" s="3">
        <v>89.26</v>
      </c>
      <c r="E999" s="3">
        <v>90.16</v>
      </c>
      <c r="F999" s="3">
        <v>97.7</v>
      </c>
      <c r="G999" s="3">
        <v>76.78</v>
      </c>
      <c r="H999" s="3">
        <v>82.4</v>
      </c>
      <c r="I999" s="3">
        <v>78.78</v>
      </c>
      <c r="J999" s="3">
        <v>103.13</v>
      </c>
      <c r="K999" s="3">
        <v>29.8</v>
      </c>
      <c r="L999" s="3">
        <v>74370.53</v>
      </c>
      <c r="M999" s="3">
        <v>46346.57</v>
      </c>
      <c r="N999" s="3">
        <v>9.39</v>
      </c>
      <c r="O999" s="3">
        <v>5.3120000000000001E-2</v>
      </c>
      <c r="P999" s="3">
        <v>2.4900000000000002</v>
      </c>
      <c r="Q999" s="3">
        <v>128.18</v>
      </c>
      <c r="R999" s="3">
        <v>28.175000000000001</v>
      </c>
      <c r="S999" s="3">
        <v>140.44999999999999</v>
      </c>
    </row>
    <row r="1000" spans="1:19" ht="14.4" x14ac:dyDescent="0.3">
      <c r="A1000" s="2">
        <v>45321</v>
      </c>
      <c r="B1000" s="3">
        <v>63.76</v>
      </c>
      <c r="C1000" s="3">
        <v>79.22</v>
      </c>
      <c r="D1000" s="3">
        <v>89.26</v>
      </c>
      <c r="E1000" s="3">
        <v>90.16</v>
      </c>
      <c r="F1000" s="3">
        <v>97.7</v>
      </c>
      <c r="G1000" s="3">
        <v>77.819999999999993</v>
      </c>
      <c r="H1000" s="3">
        <v>82.87</v>
      </c>
      <c r="I1000" s="3">
        <v>78.83</v>
      </c>
      <c r="J1000" s="3">
        <v>104.85</v>
      </c>
      <c r="K1000" s="3">
        <v>28.95</v>
      </c>
      <c r="L1000" s="3">
        <v>74611.45</v>
      </c>
      <c r="M1000" s="3">
        <v>47100.28</v>
      </c>
      <c r="N1000" s="3">
        <v>9.48</v>
      </c>
      <c r="O1000" s="3">
        <v>5.314E-2</v>
      </c>
      <c r="P1000" s="3">
        <v>2.077</v>
      </c>
      <c r="Q1000" s="3">
        <v>129.02000000000001</v>
      </c>
      <c r="R1000" s="3">
        <v>29.390999999999998</v>
      </c>
      <c r="S1000" s="3">
        <v>145.1</v>
      </c>
    </row>
    <row r="1001" spans="1:19" ht="14.4" x14ac:dyDescent="0.3">
      <c r="A1001" s="2">
        <v>45322</v>
      </c>
      <c r="B1001" s="3">
        <v>63.76</v>
      </c>
      <c r="C1001" s="3">
        <v>79.22</v>
      </c>
      <c r="D1001" s="3">
        <v>89.26</v>
      </c>
      <c r="E1001" s="3">
        <v>90.16</v>
      </c>
      <c r="F1001" s="3">
        <v>97.7</v>
      </c>
      <c r="G1001" s="3">
        <v>75.849999999999994</v>
      </c>
      <c r="H1001" s="3">
        <v>81.709999999999994</v>
      </c>
      <c r="I1001" s="3">
        <v>78.849999999999994</v>
      </c>
      <c r="J1001" s="3">
        <v>102.81</v>
      </c>
      <c r="K1001" s="3">
        <v>29.55</v>
      </c>
      <c r="L1001" s="3">
        <v>74555.87</v>
      </c>
      <c r="M1001" s="3">
        <v>46961.27</v>
      </c>
      <c r="N1001" s="3">
        <v>9.5299999999999994</v>
      </c>
      <c r="O1001" s="3">
        <v>5.348E-2</v>
      </c>
      <c r="P1001" s="3">
        <v>2.1</v>
      </c>
      <c r="Q1001" s="3">
        <v>127.33</v>
      </c>
      <c r="R1001" s="3">
        <v>30.234999999999999</v>
      </c>
      <c r="S1001" s="3">
        <v>147.6</v>
      </c>
    </row>
    <row r="1002" spans="1:19" ht="14.4" x14ac:dyDescent="0.3">
      <c r="A1002" s="2">
        <v>45323</v>
      </c>
      <c r="B1002" s="3">
        <v>63.76</v>
      </c>
      <c r="C1002" s="3">
        <v>79.22</v>
      </c>
      <c r="D1002" s="3">
        <v>89.26</v>
      </c>
      <c r="E1002" s="3">
        <v>90.16</v>
      </c>
      <c r="F1002" s="3">
        <v>97.7</v>
      </c>
      <c r="G1002" s="3">
        <v>73.819999999999993</v>
      </c>
      <c r="H1002" s="3">
        <v>78.7</v>
      </c>
      <c r="I1002" s="3">
        <v>78.569999999999993</v>
      </c>
      <c r="J1002" s="3">
        <v>102.39</v>
      </c>
      <c r="K1002" s="3">
        <v>29.3</v>
      </c>
      <c r="L1002" s="3">
        <v>74469.95</v>
      </c>
      <c r="M1002" s="3">
        <v>47705.03</v>
      </c>
      <c r="N1002" s="3">
        <v>9.4600000000000009</v>
      </c>
      <c r="O1002" s="3">
        <v>5.3760000000000002E-2</v>
      </c>
      <c r="P1002" s="3">
        <v>2.0499999999999998</v>
      </c>
      <c r="Q1002" s="3">
        <v>129.72999999999999</v>
      </c>
      <c r="R1002" s="3">
        <v>28.99</v>
      </c>
      <c r="S1002" s="3">
        <v>146.30000000000001</v>
      </c>
    </row>
    <row r="1003" spans="1:19" ht="14.4" x14ac:dyDescent="0.3">
      <c r="A1003" s="2">
        <v>45324</v>
      </c>
      <c r="B1003" s="3">
        <v>63.95</v>
      </c>
      <c r="C1003" s="3">
        <v>78.739999999999995</v>
      </c>
      <c r="D1003" s="3">
        <v>88.83</v>
      </c>
      <c r="E1003" s="3">
        <v>90.16</v>
      </c>
      <c r="F1003" s="3">
        <v>95.42</v>
      </c>
      <c r="G1003" s="3">
        <v>72.28</v>
      </c>
      <c r="H1003" s="3">
        <v>77.33</v>
      </c>
      <c r="I1003" s="3">
        <v>77.36</v>
      </c>
      <c r="J1003" s="3">
        <v>101.97</v>
      </c>
      <c r="K1003" s="3">
        <v>29.75</v>
      </c>
      <c r="L1003" s="3">
        <v>74381.960000000006</v>
      </c>
      <c r="M1003" s="3">
        <v>46915.01</v>
      </c>
      <c r="N1003" s="3">
        <v>9.4600000000000009</v>
      </c>
      <c r="O1003" s="3">
        <v>5.2880000000000003E-2</v>
      </c>
      <c r="P1003" s="3">
        <v>2.0790000000000002</v>
      </c>
      <c r="Q1003" s="3">
        <v>128.69999999999999</v>
      </c>
      <c r="R1003" s="3">
        <v>29.305</v>
      </c>
      <c r="S1003" s="3">
        <v>146.05000000000001</v>
      </c>
    </row>
    <row r="1004" spans="1:19" ht="14.4" x14ac:dyDescent="0.3">
      <c r="A1004" s="2">
        <v>45327</v>
      </c>
      <c r="B1004" s="3">
        <v>63.95</v>
      </c>
      <c r="C1004" s="3">
        <v>78.739999999999995</v>
      </c>
      <c r="D1004" s="3">
        <v>88.83</v>
      </c>
      <c r="E1004" s="3">
        <v>92.22</v>
      </c>
      <c r="F1004" s="3">
        <v>95.42</v>
      </c>
      <c r="G1004" s="3">
        <v>72.78</v>
      </c>
      <c r="H1004" s="3">
        <v>77.989999999999995</v>
      </c>
      <c r="I1004" s="3">
        <v>78.08</v>
      </c>
      <c r="J1004" s="3">
        <v>101.55</v>
      </c>
      <c r="K1004" s="3">
        <v>29.75</v>
      </c>
      <c r="L1004" s="3">
        <v>74033.919999999998</v>
      </c>
      <c r="M1004" s="3">
        <v>45847.74</v>
      </c>
      <c r="N1004" s="3">
        <v>9.4550000000000001</v>
      </c>
      <c r="O1004" s="3">
        <v>5.2420000000000001E-2</v>
      </c>
      <c r="P1004" s="3">
        <v>2.0819999999999999</v>
      </c>
      <c r="Q1004" s="3">
        <v>126.75</v>
      </c>
      <c r="R1004" s="3">
        <v>28.34</v>
      </c>
      <c r="S1004" s="3">
        <v>146.55000000000001</v>
      </c>
    </row>
    <row r="1005" spans="1:19" ht="14.4" x14ac:dyDescent="0.3">
      <c r="A1005" s="2">
        <v>45328</v>
      </c>
      <c r="B1005" s="3">
        <v>63.95</v>
      </c>
      <c r="C1005" s="3">
        <v>78.739999999999995</v>
      </c>
      <c r="D1005" s="3">
        <v>88.83</v>
      </c>
      <c r="E1005" s="3">
        <v>92.22</v>
      </c>
      <c r="F1005" s="3">
        <v>95.42</v>
      </c>
      <c r="G1005" s="3">
        <v>73.31</v>
      </c>
      <c r="H1005" s="3">
        <v>78.59</v>
      </c>
      <c r="I1005" s="3">
        <v>78.349999999999994</v>
      </c>
      <c r="J1005" s="3">
        <v>102.25</v>
      </c>
      <c r="K1005" s="3">
        <v>30</v>
      </c>
      <c r="L1005" s="3">
        <v>74558.52</v>
      </c>
      <c r="M1005" s="3">
        <v>45962.07</v>
      </c>
      <c r="N1005" s="3">
        <v>9.4700000000000006</v>
      </c>
      <c r="O1005" s="3">
        <v>5.3069999999999999E-2</v>
      </c>
      <c r="P1005" s="3">
        <v>2.0089999999999999</v>
      </c>
      <c r="Q1005" s="3">
        <v>126.33</v>
      </c>
      <c r="R1005" s="3">
        <v>28.605</v>
      </c>
      <c r="S1005" s="3">
        <v>152.85</v>
      </c>
    </row>
    <row r="1006" spans="1:19" ht="14.4" x14ac:dyDescent="0.3">
      <c r="A1006" s="2">
        <v>45329</v>
      </c>
      <c r="B1006" s="3">
        <v>63.95</v>
      </c>
      <c r="C1006" s="3">
        <v>78.739999999999995</v>
      </c>
      <c r="D1006" s="3">
        <v>88.83</v>
      </c>
      <c r="E1006" s="3">
        <v>92.22</v>
      </c>
      <c r="F1006" s="3">
        <v>95.42</v>
      </c>
      <c r="G1006" s="3">
        <v>73.86</v>
      </c>
      <c r="H1006" s="3">
        <v>79.209999999999994</v>
      </c>
      <c r="I1006" s="3">
        <v>78.849999999999994</v>
      </c>
      <c r="J1006" s="3">
        <v>102.22</v>
      </c>
      <c r="K1006" s="3">
        <v>30.5</v>
      </c>
      <c r="L1006" s="3">
        <v>74313.440000000002</v>
      </c>
      <c r="M1006" s="3">
        <v>45773.56</v>
      </c>
      <c r="N1006" s="3">
        <v>9.4499999999999993</v>
      </c>
      <c r="O1006" s="3">
        <v>5.2909999999999999E-2</v>
      </c>
      <c r="P1006" s="3">
        <v>1.9670000000000001</v>
      </c>
      <c r="Q1006" s="3">
        <v>128.08000000000001</v>
      </c>
      <c r="R1006" s="3">
        <v>28.184999999999999</v>
      </c>
      <c r="S1006" s="3">
        <v>145.1</v>
      </c>
    </row>
    <row r="1007" spans="1:19" ht="14.4" x14ac:dyDescent="0.3">
      <c r="A1007" s="2">
        <v>45330</v>
      </c>
      <c r="B1007" s="3">
        <v>63.95</v>
      </c>
      <c r="C1007" s="3">
        <v>78.739999999999995</v>
      </c>
      <c r="D1007" s="3">
        <v>88.83</v>
      </c>
      <c r="E1007" s="3">
        <v>92.22</v>
      </c>
      <c r="F1007" s="3">
        <v>95.42</v>
      </c>
      <c r="G1007" s="3">
        <v>76.22</v>
      </c>
      <c r="H1007" s="3">
        <v>81.63</v>
      </c>
      <c r="I1007" s="3">
        <v>80.56</v>
      </c>
      <c r="J1007" s="3">
        <v>103.97</v>
      </c>
      <c r="K1007" s="3">
        <v>29.95</v>
      </c>
      <c r="L1007" s="3">
        <v>73725.38</v>
      </c>
      <c r="M1007" s="3">
        <v>44219.48</v>
      </c>
      <c r="N1007" s="3">
        <v>9.4499999999999993</v>
      </c>
      <c r="O1007" s="3">
        <v>5.271E-2</v>
      </c>
      <c r="P1007" s="3">
        <v>1.917</v>
      </c>
      <c r="Q1007" s="3">
        <v>134.12</v>
      </c>
      <c r="R1007" s="3">
        <v>27.81</v>
      </c>
      <c r="S1007" s="3">
        <v>144.44999999999999</v>
      </c>
    </row>
    <row r="1008" spans="1:19" ht="14.4" x14ac:dyDescent="0.3">
      <c r="A1008" s="2">
        <v>45331</v>
      </c>
      <c r="B1008" s="3">
        <v>65.8</v>
      </c>
      <c r="C1008" s="3">
        <v>81.73</v>
      </c>
      <c r="D1008" s="3">
        <v>91</v>
      </c>
      <c r="E1008" s="3">
        <v>92.22</v>
      </c>
      <c r="F1008" s="3">
        <v>96.54</v>
      </c>
      <c r="G1008" s="3">
        <v>76.84</v>
      </c>
      <c r="H1008" s="3">
        <v>82.19</v>
      </c>
      <c r="I1008" s="3">
        <v>80.66</v>
      </c>
      <c r="J1008" s="3">
        <v>101.77</v>
      </c>
      <c r="K1008" s="3">
        <v>29.9</v>
      </c>
      <c r="L1008" s="3">
        <v>73423.3</v>
      </c>
      <c r="M1008" s="3">
        <v>43238.2</v>
      </c>
      <c r="N1008" s="3">
        <v>9.4350000000000005</v>
      </c>
      <c r="O1008" s="3">
        <v>5.2470000000000003E-2</v>
      </c>
      <c r="P1008" s="3">
        <v>1.847</v>
      </c>
      <c r="Q1008" s="3">
        <v>135.49</v>
      </c>
      <c r="R1008" s="3">
        <v>27.114999999999998</v>
      </c>
      <c r="S1008" s="3">
        <v>143.75</v>
      </c>
    </row>
    <row r="1009" spans="1:19" ht="14.4" x14ac:dyDescent="0.3">
      <c r="A1009" s="2">
        <v>45334</v>
      </c>
      <c r="B1009" s="3">
        <v>65.8</v>
      </c>
      <c r="C1009" s="3">
        <v>81.73</v>
      </c>
      <c r="D1009" s="3">
        <v>91</v>
      </c>
      <c r="E1009" s="3">
        <v>92.87</v>
      </c>
      <c r="F1009" s="3">
        <v>96.54</v>
      </c>
      <c r="G1009" s="3">
        <v>76.92</v>
      </c>
      <c r="H1009" s="3">
        <v>82</v>
      </c>
      <c r="I1009" s="3">
        <v>80.59</v>
      </c>
      <c r="J1009" s="3">
        <v>103.17</v>
      </c>
      <c r="K1009" s="5">
        <f t="shared" ref="K1009:K1010" si="65">FORECAST(A1009,K1003:K1008,A1003:A1008)</f>
        <v>30.235135135135124</v>
      </c>
      <c r="L1009" s="3">
        <v>73722.100000000006</v>
      </c>
      <c r="M1009" s="3">
        <v>43271.24</v>
      </c>
      <c r="N1009" s="3">
        <v>9.4350000000000005</v>
      </c>
      <c r="O1009" s="3">
        <v>5.287E-2</v>
      </c>
      <c r="P1009" s="3">
        <v>1.768</v>
      </c>
      <c r="Q1009" s="3">
        <v>135.46</v>
      </c>
      <c r="R1009" s="3">
        <v>25.73</v>
      </c>
      <c r="S1009" s="3">
        <v>140</v>
      </c>
    </row>
    <row r="1010" spans="1:19" ht="14.4" x14ac:dyDescent="0.3">
      <c r="A1010" s="2">
        <v>45335</v>
      </c>
      <c r="B1010" s="3">
        <v>65.8</v>
      </c>
      <c r="C1010" s="3">
        <v>81.73</v>
      </c>
      <c r="D1010" s="3">
        <v>91</v>
      </c>
      <c r="E1010" s="3">
        <v>92.87</v>
      </c>
      <c r="F1010" s="3">
        <v>96.54</v>
      </c>
      <c r="G1010" s="3">
        <v>77.87</v>
      </c>
      <c r="H1010" s="3">
        <v>82.77</v>
      </c>
      <c r="I1010" s="3">
        <v>81.099999999999994</v>
      </c>
      <c r="J1010" s="3">
        <v>101.34</v>
      </c>
      <c r="K1010" s="5">
        <f t="shared" si="65"/>
        <v>30.24795471146831</v>
      </c>
      <c r="L1010" s="3">
        <v>73062.59</v>
      </c>
      <c r="M1010" s="3">
        <v>42486.85</v>
      </c>
      <c r="N1010" s="3">
        <v>9.4049999999999994</v>
      </c>
      <c r="O1010" s="3">
        <v>5.228E-2</v>
      </c>
      <c r="P1010" s="3">
        <v>1.6890000000000001</v>
      </c>
      <c r="Q1010" s="3">
        <v>134.41</v>
      </c>
      <c r="R1010" s="3">
        <v>25.434999999999999</v>
      </c>
      <c r="S1010" s="3">
        <v>144.5</v>
      </c>
    </row>
    <row r="1011" spans="1:19" ht="14.4" x14ac:dyDescent="0.3">
      <c r="A1011" s="2">
        <v>45336</v>
      </c>
      <c r="B1011" s="3">
        <v>65.8</v>
      </c>
      <c r="C1011" s="3">
        <v>81.73</v>
      </c>
      <c r="D1011" s="3">
        <v>91</v>
      </c>
      <c r="E1011" s="3">
        <v>92.87</v>
      </c>
      <c r="F1011" s="3">
        <v>96.54</v>
      </c>
      <c r="G1011" s="3">
        <v>76.64</v>
      </c>
      <c r="H1011" s="3">
        <v>81.599999999999994</v>
      </c>
      <c r="I1011" s="3">
        <v>80.41</v>
      </c>
      <c r="J1011" s="3">
        <v>100.84</v>
      </c>
      <c r="K1011" s="3">
        <v>29.75</v>
      </c>
      <c r="L1011" s="3">
        <v>73009.740000000005</v>
      </c>
      <c r="M1011" s="3">
        <v>42106.75</v>
      </c>
      <c r="N1011" s="3">
        <v>9.3650000000000002</v>
      </c>
      <c r="O1011" s="3">
        <v>5.246E-2</v>
      </c>
      <c r="P1011" s="3">
        <v>1.609</v>
      </c>
      <c r="Q1011" s="3">
        <v>136.66</v>
      </c>
      <c r="R1011" s="3">
        <v>24.855</v>
      </c>
      <c r="S1011" s="3">
        <v>143.94999999999999</v>
      </c>
    </row>
    <row r="1012" spans="1:19" ht="14.4" x14ac:dyDescent="0.3">
      <c r="A1012" s="2">
        <v>45337</v>
      </c>
      <c r="B1012" s="3">
        <v>65.8</v>
      </c>
      <c r="C1012" s="3">
        <v>81.73</v>
      </c>
      <c r="D1012" s="3">
        <v>91</v>
      </c>
      <c r="E1012" s="3">
        <v>92.87</v>
      </c>
      <c r="F1012" s="3">
        <v>96.54</v>
      </c>
      <c r="G1012" s="3">
        <v>78.03</v>
      </c>
      <c r="H1012" s="3">
        <v>82.86</v>
      </c>
      <c r="I1012" s="3">
        <v>81.02</v>
      </c>
      <c r="J1012" s="3">
        <v>103.73</v>
      </c>
      <c r="K1012" s="3">
        <v>29.9</v>
      </c>
      <c r="L1012" s="3">
        <v>73218.44</v>
      </c>
      <c r="M1012" s="3">
        <v>43875.96</v>
      </c>
      <c r="N1012" s="3">
        <v>9.3469999999999995</v>
      </c>
      <c r="O1012" s="3">
        <v>5.2769999999999997E-2</v>
      </c>
      <c r="P1012" s="3">
        <v>1.647</v>
      </c>
      <c r="Q1012" s="3">
        <v>136.88999999999999</v>
      </c>
      <c r="R1012" s="3">
        <v>24.965</v>
      </c>
      <c r="S1012" s="3">
        <v>144.6</v>
      </c>
    </row>
    <row r="1013" spans="1:19" ht="14.4" x14ac:dyDescent="0.3">
      <c r="A1013" s="2">
        <v>45338</v>
      </c>
      <c r="B1013" s="3">
        <v>65.88</v>
      </c>
      <c r="C1013" s="3">
        <v>82.04</v>
      </c>
      <c r="D1013" s="3">
        <v>90.98</v>
      </c>
      <c r="E1013" s="3">
        <v>92.87</v>
      </c>
      <c r="F1013" s="3">
        <v>96.79</v>
      </c>
      <c r="G1013" s="3">
        <v>79.19</v>
      </c>
      <c r="H1013" s="3">
        <v>83.47</v>
      </c>
      <c r="I1013" s="3">
        <v>81.239999999999995</v>
      </c>
      <c r="J1013" s="3">
        <v>103.73</v>
      </c>
      <c r="K1013" s="3">
        <v>29.9</v>
      </c>
      <c r="L1013" s="3">
        <v>73616.06</v>
      </c>
      <c r="M1013" s="3">
        <v>43415.92</v>
      </c>
      <c r="N1013" s="3">
        <v>8.57</v>
      </c>
      <c r="O1013" s="3">
        <v>5.289E-2</v>
      </c>
      <c r="P1013" s="3">
        <v>1.68</v>
      </c>
      <c r="Q1013" s="3">
        <v>137.12</v>
      </c>
      <c r="R1013" s="3">
        <v>24.82</v>
      </c>
      <c r="S1013" s="3">
        <v>145.65</v>
      </c>
    </row>
    <row r="1014" spans="1:19" ht="14.4" x14ac:dyDescent="0.3">
      <c r="A1014" s="2">
        <v>45341</v>
      </c>
      <c r="B1014" s="3">
        <v>65.88</v>
      </c>
      <c r="C1014" s="3">
        <v>82.04</v>
      </c>
      <c r="D1014" s="3">
        <v>90.98</v>
      </c>
      <c r="E1014" s="3">
        <v>93.15</v>
      </c>
      <c r="F1014" s="3">
        <v>96.79</v>
      </c>
      <c r="G1014" s="3">
        <v>78.11</v>
      </c>
      <c r="H1014" s="3">
        <v>83.56</v>
      </c>
      <c r="I1014" s="1">
        <f>(I1013+I1015)/2</f>
        <v>81.009999999999991</v>
      </c>
      <c r="J1014" s="1">
        <f>(J1013+J1015)/2</f>
        <v>103.24000000000001</v>
      </c>
      <c r="K1014" s="3">
        <v>31.15</v>
      </c>
      <c r="L1014" s="3">
        <v>73580.88</v>
      </c>
      <c r="M1014" s="3">
        <v>43764.2</v>
      </c>
      <c r="N1014" s="5">
        <f>FORECAST(A1014,N1008:N1013,A1008:A1013)</f>
        <v>8.755216216216013</v>
      </c>
      <c r="O1014" s="3">
        <v>5.2690000000000001E-2</v>
      </c>
      <c r="P1014" s="3">
        <v>1.5580000000000001</v>
      </c>
      <c r="Q1014" s="1">
        <f>AVERAGE(Q1013,Q1015)</f>
        <v>136.77500000000001</v>
      </c>
      <c r="R1014" s="3">
        <v>23.6</v>
      </c>
      <c r="S1014" s="3">
        <v>145.75</v>
      </c>
    </row>
    <row r="1015" spans="1:19" ht="14.4" x14ac:dyDescent="0.3">
      <c r="A1015" s="2">
        <v>45342</v>
      </c>
      <c r="B1015" s="3">
        <v>65.88</v>
      </c>
      <c r="C1015" s="3">
        <v>82.04</v>
      </c>
      <c r="D1015" s="3">
        <v>90.98</v>
      </c>
      <c r="E1015" s="3">
        <v>93.15</v>
      </c>
      <c r="F1015" s="3">
        <v>96.79</v>
      </c>
      <c r="G1015" s="3">
        <v>78.180000000000007</v>
      </c>
      <c r="H1015" s="3">
        <v>82.34</v>
      </c>
      <c r="I1015" s="3">
        <v>80.78</v>
      </c>
      <c r="J1015" s="3">
        <v>102.75</v>
      </c>
      <c r="K1015" s="3">
        <v>30.95</v>
      </c>
      <c r="L1015" s="3">
        <v>72946.009999999995</v>
      </c>
      <c r="M1015" s="3">
        <v>44079.96</v>
      </c>
      <c r="N1015" s="3">
        <v>8.3699999999999992</v>
      </c>
      <c r="O1015" s="3">
        <v>5.2850000000000001E-2</v>
      </c>
      <c r="P1015" s="3">
        <v>1.6459999999999999</v>
      </c>
      <c r="Q1015" s="3">
        <v>136.43</v>
      </c>
      <c r="R1015" s="3">
        <v>24.17</v>
      </c>
      <c r="S1015" s="3">
        <v>146.44999999999999</v>
      </c>
    </row>
    <row r="1016" spans="1:19" ht="14.4" x14ac:dyDescent="0.3">
      <c r="A1016" s="2">
        <v>45343</v>
      </c>
      <c r="B1016" s="3">
        <v>65.88</v>
      </c>
      <c r="C1016" s="3">
        <v>82.04</v>
      </c>
      <c r="D1016" s="3">
        <v>90.98</v>
      </c>
      <c r="E1016" s="3">
        <v>93.15</v>
      </c>
      <c r="F1016" s="3">
        <v>96.79</v>
      </c>
      <c r="G1016" s="3">
        <v>77.91</v>
      </c>
      <c r="H1016" s="3">
        <v>83.03</v>
      </c>
      <c r="I1016" s="3">
        <v>81.02</v>
      </c>
      <c r="J1016" s="3">
        <v>104.85</v>
      </c>
      <c r="K1016" s="3">
        <v>30.75</v>
      </c>
      <c r="L1016" s="3">
        <v>73029.61</v>
      </c>
      <c r="M1016" s="3">
        <v>42593.14</v>
      </c>
      <c r="N1016" s="3">
        <v>8.2949999999999999</v>
      </c>
      <c r="O1016" s="3">
        <v>5.2780000000000001E-2</v>
      </c>
      <c r="P1016" s="3">
        <v>1.863</v>
      </c>
      <c r="Q1016" s="3">
        <v>136.69</v>
      </c>
      <c r="R1016" s="3">
        <v>23.975000000000001</v>
      </c>
      <c r="S1016" s="3">
        <v>144.30000000000001</v>
      </c>
    </row>
    <row r="1017" spans="1:19" ht="14.4" x14ac:dyDescent="0.3">
      <c r="A1017" s="2">
        <v>45344</v>
      </c>
      <c r="B1017" s="3">
        <v>65.88</v>
      </c>
      <c r="C1017" s="3">
        <v>82.04</v>
      </c>
      <c r="D1017" s="3">
        <v>90.98</v>
      </c>
      <c r="E1017" s="3">
        <v>93.15</v>
      </c>
      <c r="F1017" s="3">
        <v>96.79</v>
      </c>
      <c r="G1017" s="3">
        <v>78.61</v>
      </c>
      <c r="H1017" s="3">
        <v>83.67</v>
      </c>
      <c r="I1017" s="3">
        <v>81.19</v>
      </c>
      <c r="J1017" s="3">
        <v>104.76</v>
      </c>
      <c r="K1017" s="3">
        <v>32.299999999999997</v>
      </c>
      <c r="L1017" s="3">
        <v>74112.740000000005</v>
      </c>
      <c r="M1017" s="3">
        <v>42627.49</v>
      </c>
      <c r="N1017" s="3">
        <v>8.1549999999999994</v>
      </c>
      <c r="O1017" s="3">
        <v>5.219E-2</v>
      </c>
      <c r="P1017" s="3">
        <v>1.8320000000000001</v>
      </c>
      <c r="Q1017" s="3">
        <v>139.29</v>
      </c>
      <c r="R1017" s="3">
        <v>23.195</v>
      </c>
      <c r="S1017" s="3">
        <v>144.85</v>
      </c>
    </row>
    <row r="1018" spans="1:19" ht="14.4" x14ac:dyDescent="0.3">
      <c r="A1018" s="2">
        <v>45345</v>
      </c>
      <c r="B1018" s="3">
        <v>66.13</v>
      </c>
      <c r="C1018" s="3">
        <v>82.13</v>
      </c>
      <c r="D1018" s="3">
        <v>91.23</v>
      </c>
      <c r="E1018" s="3">
        <v>93.15</v>
      </c>
      <c r="F1018" s="3">
        <v>97.82</v>
      </c>
      <c r="G1018" s="3">
        <v>76.489999999999995</v>
      </c>
      <c r="H1018" s="3">
        <v>81.62</v>
      </c>
      <c r="I1018" s="3">
        <v>80.709999999999994</v>
      </c>
      <c r="J1018" s="3">
        <v>103.84</v>
      </c>
      <c r="K1018" s="3">
        <v>31.6</v>
      </c>
      <c r="L1018" s="3">
        <v>74213.39</v>
      </c>
      <c r="M1018" s="3">
        <v>42804.28</v>
      </c>
      <c r="N1018" s="3">
        <v>8.125</v>
      </c>
      <c r="O1018" s="3">
        <v>5.1749999999999997E-2</v>
      </c>
      <c r="P1018" s="3">
        <v>1.603</v>
      </c>
      <c r="Q1018" s="3">
        <v>138.38</v>
      </c>
      <c r="R1018" s="3">
        <v>22.934000000000001</v>
      </c>
      <c r="S1018" s="3">
        <v>147</v>
      </c>
    </row>
    <row r="1019" spans="1:19" ht="14.4" x14ac:dyDescent="0.3">
      <c r="A1019" s="2">
        <v>45348</v>
      </c>
      <c r="B1019" s="3">
        <v>66.13</v>
      </c>
      <c r="C1019" s="3">
        <v>82.13</v>
      </c>
      <c r="D1019" s="3">
        <v>91.23</v>
      </c>
      <c r="E1019" s="3">
        <v>92.42</v>
      </c>
      <c r="F1019" s="3">
        <v>97.82</v>
      </c>
      <c r="G1019" s="3">
        <v>77.58</v>
      </c>
      <c r="H1019" s="3">
        <v>82.53</v>
      </c>
      <c r="I1019" s="3">
        <v>80.83</v>
      </c>
      <c r="J1019" s="3">
        <v>104.25</v>
      </c>
      <c r="K1019" s="3">
        <v>31.2</v>
      </c>
      <c r="L1019" s="3">
        <v>73621.240000000005</v>
      </c>
      <c r="M1019" s="3">
        <v>42978.79</v>
      </c>
      <c r="N1019" s="3">
        <v>8.3000000000000007</v>
      </c>
      <c r="O1019" s="3">
        <v>5.1810000000000002E-2</v>
      </c>
      <c r="P1019" s="3">
        <v>1.659</v>
      </c>
      <c r="Q1019" s="3">
        <v>137.91</v>
      </c>
      <c r="R1019" s="3">
        <v>24.01</v>
      </c>
      <c r="S1019" s="3">
        <v>147.05000000000001</v>
      </c>
    </row>
    <row r="1020" spans="1:19" ht="14.4" x14ac:dyDescent="0.3">
      <c r="A1020" s="2">
        <v>45349</v>
      </c>
      <c r="B1020" s="3">
        <v>66.13</v>
      </c>
      <c r="C1020" s="3">
        <v>82.13</v>
      </c>
      <c r="D1020" s="3">
        <v>91.23</v>
      </c>
      <c r="E1020" s="3">
        <v>92.42</v>
      </c>
      <c r="F1020" s="3">
        <v>97.82</v>
      </c>
      <c r="G1020" s="3">
        <v>78.87</v>
      </c>
      <c r="H1020" s="3">
        <v>83.65</v>
      </c>
      <c r="I1020" s="3">
        <v>80.930000000000007</v>
      </c>
      <c r="J1020" s="3">
        <v>104.03</v>
      </c>
      <c r="K1020" s="3">
        <v>31.25</v>
      </c>
      <c r="L1020" s="3">
        <v>73142.11</v>
      </c>
      <c r="M1020" s="3">
        <v>43097.91</v>
      </c>
      <c r="N1020" s="3">
        <v>8.2200000000000006</v>
      </c>
      <c r="O1020" s="3">
        <v>5.2350000000000001E-2</v>
      </c>
      <c r="P1020" s="3">
        <v>1.615</v>
      </c>
      <c r="Q1020" s="3">
        <v>138.63</v>
      </c>
      <c r="R1020" s="3">
        <v>24.39</v>
      </c>
      <c r="S1020" s="3">
        <v>145.19999999999999</v>
      </c>
    </row>
    <row r="1021" spans="1:19" ht="14.4" x14ac:dyDescent="0.3">
      <c r="A1021" s="2">
        <v>45350</v>
      </c>
      <c r="B1021" s="3">
        <v>66.13</v>
      </c>
      <c r="C1021" s="3">
        <v>82.13</v>
      </c>
      <c r="D1021" s="3">
        <v>91.23</v>
      </c>
      <c r="E1021" s="3">
        <v>92.42</v>
      </c>
      <c r="F1021" s="3">
        <v>97.82</v>
      </c>
      <c r="G1021" s="3">
        <v>78.540000000000006</v>
      </c>
      <c r="H1021" s="3">
        <v>83.68</v>
      </c>
      <c r="I1021" s="3">
        <v>80.86</v>
      </c>
      <c r="J1021" s="3">
        <v>104.32</v>
      </c>
      <c r="K1021" s="3">
        <v>31.25</v>
      </c>
      <c r="L1021" s="3">
        <v>72204.53</v>
      </c>
      <c r="M1021" s="3">
        <v>42415.55</v>
      </c>
      <c r="N1021" s="3">
        <v>8.4949999999999992</v>
      </c>
      <c r="O1021" s="3">
        <v>5.1880000000000003E-2</v>
      </c>
      <c r="P1021" s="3">
        <v>1.885</v>
      </c>
      <c r="Q1021" s="3">
        <v>138.84</v>
      </c>
      <c r="R1021" s="3">
        <v>25.619</v>
      </c>
      <c r="S1021" s="3">
        <v>140.9</v>
      </c>
    </row>
    <row r="1022" spans="1:19" ht="14.4" x14ac:dyDescent="0.3">
      <c r="A1022" s="2">
        <v>45351</v>
      </c>
      <c r="B1022" s="3">
        <v>66.13</v>
      </c>
      <c r="C1022" s="3">
        <v>82.13</v>
      </c>
      <c r="D1022" s="3">
        <v>91.23</v>
      </c>
      <c r="E1022" s="3">
        <v>92.42</v>
      </c>
      <c r="F1022" s="3">
        <v>97.82</v>
      </c>
      <c r="G1022" s="3">
        <v>78.260000000000005</v>
      </c>
      <c r="H1022" s="3">
        <v>83.62</v>
      </c>
      <c r="I1022" s="3">
        <v>80.88</v>
      </c>
      <c r="J1022" s="3">
        <v>104.52</v>
      </c>
      <c r="K1022" s="3">
        <v>30.25</v>
      </c>
      <c r="L1022" s="3">
        <v>72729.73</v>
      </c>
      <c r="M1022" s="3">
        <v>43808.68</v>
      </c>
      <c r="N1022" s="3">
        <v>8.3699999999999992</v>
      </c>
      <c r="O1022" s="3">
        <v>5.2060000000000002E-2</v>
      </c>
      <c r="P1022" s="3">
        <v>1.86</v>
      </c>
      <c r="Q1022" s="3">
        <v>138.41999999999999</v>
      </c>
      <c r="R1022" s="3">
        <v>24.864999999999998</v>
      </c>
      <c r="S1022" s="3">
        <v>142.15</v>
      </c>
    </row>
    <row r="1023" spans="1:19" ht="14.4" x14ac:dyDescent="0.3">
      <c r="A1023" s="2">
        <v>45352</v>
      </c>
      <c r="B1023" s="3">
        <v>69.47</v>
      </c>
      <c r="C1023" s="3">
        <v>85.62</v>
      </c>
      <c r="D1023" s="3">
        <v>95.38</v>
      </c>
      <c r="E1023" s="3">
        <v>92.42</v>
      </c>
      <c r="F1023" s="3">
        <v>101.32</v>
      </c>
      <c r="G1023" s="3">
        <v>79.97</v>
      </c>
      <c r="H1023" s="3">
        <v>83.55</v>
      </c>
      <c r="I1023" s="3">
        <v>83.07</v>
      </c>
      <c r="J1023" s="3">
        <v>105.84</v>
      </c>
      <c r="K1023" s="3">
        <v>30.55</v>
      </c>
      <c r="L1023" s="3">
        <v>72775.490000000005</v>
      </c>
      <c r="M1023" s="3">
        <v>43579.61</v>
      </c>
      <c r="N1023" s="3">
        <v>8.3000000000000007</v>
      </c>
      <c r="O1023" s="3">
        <v>5.2290000000000003E-2</v>
      </c>
      <c r="P1023" s="3">
        <v>1.835</v>
      </c>
      <c r="Q1023" s="3">
        <v>138.57</v>
      </c>
      <c r="R1023" s="3">
        <v>25.809000000000001</v>
      </c>
      <c r="S1023" s="3">
        <v>144.35</v>
      </c>
    </row>
    <row r="1024" spans="1:19" ht="14.4" x14ac:dyDescent="0.3">
      <c r="A1024" s="2">
        <v>45355</v>
      </c>
      <c r="B1024" s="3">
        <v>69.47</v>
      </c>
      <c r="C1024" s="3">
        <v>85.62</v>
      </c>
      <c r="D1024" s="3">
        <v>95.38</v>
      </c>
      <c r="E1024" s="3">
        <v>94.9</v>
      </c>
      <c r="F1024" s="3">
        <v>101.32</v>
      </c>
      <c r="G1024" s="3">
        <v>78.739999999999995</v>
      </c>
      <c r="H1024" s="3">
        <v>82.8</v>
      </c>
      <c r="I1024" s="3">
        <v>82.06</v>
      </c>
      <c r="J1024" s="3">
        <v>104.36</v>
      </c>
      <c r="K1024" s="3">
        <v>31.25</v>
      </c>
      <c r="L1024" s="3">
        <v>72633.149999999994</v>
      </c>
      <c r="M1024" s="3">
        <v>44922.06</v>
      </c>
      <c r="N1024" s="3">
        <v>8.34</v>
      </c>
      <c r="O1024" s="3">
        <v>5.2510000000000001E-2</v>
      </c>
      <c r="P1024" s="3">
        <v>1.9159999999999999</v>
      </c>
      <c r="Q1024" s="3">
        <v>138.07</v>
      </c>
      <c r="R1024" s="3">
        <v>26.885000000000002</v>
      </c>
      <c r="S1024" s="3">
        <v>153.55000000000001</v>
      </c>
    </row>
    <row r="1025" spans="1:19" ht="14.4" x14ac:dyDescent="0.3">
      <c r="A1025" s="2">
        <v>45356</v>
      </c>
      <c r="B1025" s="3">
        <v>69.47</v>
      </c>
      <c r="C1025" s="3">
        <v>85.62</v>
      </c>
      <c r="D1025" s="3">
        <v>95.38</v>
      </c>
      <c r="E1025" s="3">
        <v>94.9</v>
      </c>
      <c r="F1025" s="3">
        <v>101.32</v>
      </c>
      <c r="G1025" s="3">
        <v>78.150000000000006</v>
      </c>
      <c r="H1025" s="3">
        <v>82.04</v>
      </c>
      <c r="I1025" s="3">
        <v>81.62</v>
      </c>
      <c r="J1025" s="3">
        <v>105.64</v>
      </c>
      <c r="K1025" s="3">
        <v>30.8</v>
      </c>
      <c r="L1025" s="3">
        <v>72241.72</v>
      </c>
      <c r="M1025" s="3">
        <v>46588.77</v>
      </c>
      <c r="N1025" s="3">
        <v>8.3800000000000008</v>
      </c>
      <c r="O1025" s="3">
        <v>5.2690000000000001E-2</v>
      </c>
      <c r="P1025" s="3">
        <v>1.9570000000000001</v>
      </c>
      <c r="Q1025" s="3">
        <v>139.41999999999999</v>
      </c>
      <c r="R1025" s="3">
        <v>27.47</v>
      </c>
      <c r="S1025" s="3">
        <v>149.75</v>
      </c>
    </row>
    <row r="1026" spans="1:19" ht="14.4" x14ac:dyDescent="0.3">
      <c r="A1026" s="2">
        <v>45357</v>
      </c>
      <c r="B1026" s="3">
        <v>69.47</v>
      </c>
      <c r="C1026" s="3">
        <v>85.62</v>
      </c>
      <c r="D1026" s="3">
        <v>95.38</v>
      </c>
      <c r="E1026" s="3">
        <v>94.9</v>
      </c>
      <c r="F1026" s="3">
        <v>101.32</v>
      </c>
      <c r="G1026" s="3">
        <v>79.13</v>
      </c>
      <c r="H1026" s="3">
        <v>82.96</v>
      </c>
      <c r="I1026" s="3">
        <v>82.42</v>
      </c>
      <c r="J1026" s="3">
        <v>106.77</v>
      </c>
      <c r="K1026" s="3">
        <v>31.2</v>
      </c>
      <c r="L1026" s="3">
        <v>73578.179999999993</v>
      </c>
      <c r="M1026" s="3">
        <v>47236.11</v>
      </c>
      <c r="N1026" s="3">
        <v>8.4149999999999991</v>
      </c>
      <c r="O1026" s="3">
        <v>5.3089999999999998E-2</v>
      </c>
      <c r="P1026" s="3">
        <v>1.929</v>
      </c>
      <c r="Q1026" s="3">
        <v>139.43</v>
      </c>
      <c r="R1026" s="3">
        <v>26.57</v>
      </c>
      <c r="S1026" s="3">
        <v>147.6</v>
      </c>
    </row>
    <row r="1027" spans="1:19" ht="14.4" x14ac:dyDescent="0.3">
      <c r="A1027" s="2">
        <v>45358</v>
      </c>
      <c r="B1027" s="3">
        <v>69.47</v>
      </c>
      <c r="C1027" s="3">
        <v>85.62</v>
      </c>
      <c r="D1027" s="3">
        <v>95.38</v>
      </c>
      <c r="E1027" s="3">
        <v>94.9</v>
      </c>
      <c r="F1027" s="3">
        <v>101.32</v>
      </c>
      <c r="G1027" s="3">
        <v>78.930000000000007</v>
      </c>
      <c r="H1027" s="3">
        <v>82.96</v>
      </c>
      <c r="I1027" s="3">
        <v>82.44</v>
      </c>
      <c r="J1027" s="3">
        <v>107.37</v>
      </c>
      <c r="K1027" s="3">
        <v>31.3</v>
      </c>
      <c r="L1027" s="3">
        <v>73604.11</v>
      </c>
      <c r="M1027" s="3">
        <v>48397.48</v>
      </c>
      <c r="N1027" s="3">
        <v>8.4</v>
      </c>
      <c r="O1027" s="3">
        <v>5.3510000000000002E-2</v>
      </c>
      <c r="P1027" s="3">
        <v>1.8180000000000001</v>
      </c>
      <c r="Q1027" s="3">
        <v>138.85</v>
      </c>
      <c r="R1027" s="3">
        <v>25.99</v>
      </c>
      <c r="S1027" s="3">
        <v>147.85</v>
      </c>
    </row>
    <row r="1028" spans="1:19" ht="14.4" x14ac:dyDescent="0.3">
      <c r="A1028" s="2">
        <v>45359</v>
      </c>
      <c r="B1028" s="3">
        <v>72.42</v>
      </c>
      <c r="C1028" s="3">
        <v>90.49</v>
      </c>
      <c r="D1028" s="3">
        <v>101.98</v>
      </c>
      <c r="E1028" s="3">
        <v>94.9</v>
      </c>
      <c r="F1028" s="3">
        <v>106.86</v>
      </c>
      <c r="G1028" s="3">
        <v>78.010000000000005</v>
      </c>
      <c r="H1028" s="3">
        <v>82.08</v>
      </c>
      <c r="I1028" s="3">
        <v>81.97</v>
      </c>
      <c r="J1028" s="3">
        <v>108.38</v>
      </c>
      <c r="K1028" s="3">
        <v>31.15</v>
      </c>
      <c r="L1028" s="3">
        <v>73717.78</v>
      </c>
      <c r="M1028" s="3">
        <v>48876.58</v>
      </c>
      <c r="N1028" s="3">
        <v>8.4600000000000009</v>
      </c>
      <c r="O1028" s="3">
        <v>5.339E-2</v>
      </c>
      <c r="P1028" s="3">
        <v>1.8049999999999999</v>
      </c>
      <c r="Q1028" s="3">
        <v>138.66</v>
      </c>
      <c r="R1028" s="3">
        <v>26.39</v>
      </c>
      <c r="S1028" s="1">
        <f>S1029</f>
        <v>143.6</v>
      </c>
    </row>
    <row r="1029" spans="1:19" ht="14.4" x14ac:dyDescent="0.3">
      <c r="A1029" s="2">
        <v>45362</v>
      </c>
      <c r="B1029" s="3">
        <v>72.42</v>
      </c>
      <c r="C1029" s="3">
        <v>90.49</v>
      </c>
      <c r="D1029" s="3">
        <v>101.98</v>
      </c>
      <c r="E1029" s="3">
        <v>97.24</v>
      </c>
      <c r="F1029" s="3">
        <v>106.86</v>
      </c>
      <c r="G1029" s="3">
        <v>77.930000000000007</v>
      </c>
      <c r="H1029" s="3">
        <v>82.21</v>
      </c>
      <c r="I1029" s="3">
        <v>82.28</v>
      </c>
      <c r="J1029" s="3">
        <v>109.02</v>
      </c>
      <c r="K1029" s="3">
        <v>29.9</v>
      </c>
      <c r="L1029" s="3">
        <v>73481.740000000005</v>
      </c>
      <c r="M1029" s="3">
        <v>49745.06</v>
      </c>
      <c r="N1029" s="3">
        <v>8.4649999999999999</v>
      </c>
      <c r="O1029" s="3">
        <v>5.3519999999999998E-2</v>
      </c>
      <c r="P1029" s="3">
        <v>1.7589999999999999</v>
      </c>
      <c r="Q1029" s="3">
        <v>136.97</v>
      </c>
      <c r="R1029" s="3">
        <v>24.93</v>
      </c>
      <c r="S1029" s="3">
        <v>143.6</v>
      </c>
    </row>
    <row r="1030" spans="1:19" ht="14.4" x14ac:dyDescent="0.3">
      <c r="A1030" s="2">
        <v>45363</v>
      </c>
      <c r="B1030" s="3">
        <v>72.42</v>
      </c>
      <c r="C1030" s="3">
        <v>90.49</v>
      </c>
      <c r="D1030" s="3">
        <v>101.98</v>
      </c>
      <c r="E1030" s="3">
        <v>97.24</v>
      </c>
      <c r="F1030" s="3">
        <v>106.86</v>
      </c>
      <c r="G1030" s="3">
        <v>77.56</v>
      </c>
      <c r="H1030" s="3">
        <v>81.92</v>
      </c>
      <c r="I1030" s="3">
        <v>82.14</v>
      </c>
      <c r="J1030" s="3">
        <v>108.32</v>
      </c>
      <c r="K1030" s="3">
        <v>30.25</v>
      </c>
      <c r="L1030" s="3">
        <v>73484.56</v>
      </c>
      <c r="M1030" s="3">
        <v>48143.13</v>
      </c>
      <c r="N1030" s="3">
        <v>8.4649999999999999</v>
      </c>
      <c r="O1030" s="3">
        <v>5.3539999999999997E-2</v>
      </c>
      <c r="P1030" s="3">
        <v>1.714</v>
      </c>
      <c r="Q1030" s="3">
        <v>136.99</v>
      </c>
      <c r="R1030" s="3">
        <v>24.774999999999999</v>
      </c>
      <c r="S1030" s="3">
        <v>141</v>
      </c>
    </row>
    <row r="1031" spans="1:19" ht="14.4" x14ac:dyDescent="0.3">
      <c r="A1031" s="2">
        <v>45364</v>
      </c>
      <c r="B1031" s="3">
        <v>72.42</v>
      </c>
      <c r="C1031" s="3">
        <v>90.49</v>
      </c>
      <c r="D1031" s="3">
        <v>101.98</v>
      </c>
      <c r="E1031" s="3">
        <v>97.24</v>
      </c>
      <c r="F1031" s="3">
        <v>106.86</v>
      </c>
      <c r="G1031" s="3">
        <v>79.72</v>
      </c>
      <c r="H1031" s="3">
        <v>84.03</v>
      </c>
      <c r="I1031" s="3">
        <v>83.46</v>
      </c>
      <c r="J1031" s="3">
        <v>109.53</v>
      </c>
      <c r="K1031" s="3">
        <v>30.55</v>
      </c>
      <c r="L1031" s="3">
        <v>74258.63</v>
      </c>
      <c r="M1031" s="3">
        <v>50364.52</v>
      </c>
      <c r="N1031" s="3">
        <v>8.4749999999999996</v>
      </c>
      <c r="O1031" s="3">
        <v>5.3830000000000003E-2</v>
      </c>
      <c r="P1031" s="3">
        <v>1.6579999999999999</v>
      </c>
      <c r="Q1031" s="3">
        <v>137.47</v>
      </c>
      <c r="R1031" s="3">
        <v>24.905000000000001</v>
      </c>
      <c r="S1031" s="3">
        <v>133.1</v>
      </c>
    </row>
    <row r="1032" spans="1:19" ht="14.4" x14ac:dyDescent="0.3">
      <c r="A1032" s="2">
        <v>45365</v>
      </c>
      <c r="B1032" s="3">
        <v>72.42</v>
      </c>
      <c r="C1032" s="3">
        <v>90.49</v>
      </c>
      <c r="D1032" s="3">
        <v>101.98</v>
      </c>
      <c r="E1032" s="3">
        <v>97.24</v>
      </c>
      <c r="F1032" s="3">
        <v>106.86</v>
      </c>
      <c r="G1032" s="3">
        <v>81.260000000000005</v>
      </c>
      <c r="H1032" s="3">
        <v>85.42</v>
      </c>
      <c r="I1032" s="3">
        <v>83.9</v>
      </c>
      <c r="J1032" s="3">
        <v>111.47</v>
      </c>
      <c r="K1032" s="3">
        <v>30.6</v>
      </c>
      <c r="L1032" s="3">
        <v>73866.789999999994</v>
      </c>
      <c r="M1032" s="3">
        <v>49574.45</v>
      </c>
      <c r="N1032" s="3">
        <v>8.49</v>
      </c>
      <c r="O1032" s="3">
        <v>5.3370000000000001E-2</v>
      </c>
      <c r="P1032" s="3">
        <v>1.7410000000000001</v>
      </c>
      <c r="Q1032" s="3">
        <v>135.44999999999999</v>
      </c>
      <c r="R1032" s="3">
        <v>26.05</v>
      </c>
      <c r="S1032" s="3">
        <v>137.19999999999999</v>
      </c>
    </row>
    <row r="1033" spans="1:19" ht="14.4" x14ac:dyDescent="0.3">
      <c r="A1033" s="2">
        <v>45366</v>
      </c>
      <c r="B1033" s="3">
        <v>70.930000000000007</v>
      </c>
      <c r="C1033" s="3">
        <v>89.59</v>
      </c>
      <c r="D1033" s="3">
        <v>99.84</v>
      </c>
      <c r="E1033" s="3">
        <v>97.24</v>
      </c>
      <c r="F1033" s="3">
        <v>107.45</v>
      </c>
      <c r="G1033" s="3">
        <v>81.040000000000006</v>
      </c>
      <c r="H1033" s="3">
        <v>85.34</v>
      </c>
      <c r="I1033" s="3">
        <v>83.82</v>
      </c>
      <c r="J1033" s="3">
        <v>111.27</v>
      </c>
      <c r="K1033" s="3">
        <v>30.05</v>
      </c>
      <c r="L1033" s="3">
        <v>72990.7</v>
      </c>
      <c r="M1033" s="3">
        <v>48961.88</v>
      </c>
      <c r="N1033" s="3">
        <v>8.5210000000000008</v>
      </c>
      <c r="O1033" s="3">
        <v>5.3330000000000002E-2</v>
      </c>
      <c r="P1033" s="3">
        <v>1.655</v>
      </c>
      <c r="Q1033" s="3">
        <v>134.63999999999999</v>
      </c>
      <c r="R1033" s="3">
        <v>27.026</v>
      </c>
      <c r="S1033" s="3">
        <v>136.85</v>
      </c>
    </row>
    <row r="1034" spans="1:19" ht="14.4" x14ac:dyDescent="0.3">
      <c r="A1034" s="2">
        <v>45369</v>
      </c>
      <c r="B1034" s="3">
        <v>70.930000000000007</v>
      </c>
      <c r="C1034" s="3">
        <v>89.59</v>
      </c>
      <c r="D1034" s="3">
        <v>99.84</v>
      </c>
      <c r="E1034" s="3">
        <v>100.64</v>
      </c>
      <c r="F1034" s="3">
        <v>107.45</v>
      </c>
      <c r="G1034" s="3">
        <v>82.72</v>
      </c>
      <c r="H1034" s="3">
        <v>86.89</v>
      </c>
      <c r="I1034" s="3">
        <v>84.47</v>
      </c>
      <c r="J1034" s="3">
        <v>112.3</v>
      </c>
      <c r="K1034" s="3">
        <v>29.5</v>
      </c>
      <c r="L1034" s="3">
        <v>72430.460000000006</v>
      </c>
      <c r="M1034" s="3">
        <v>47418.96</v>
      </c>
      <c r="N1034" s="3">
        <v>9.8800000000000008</v>
      </c>
      <c r="O1034" s="3">
        <v>5.2769999999999997E-2</v>
      </c>
      <c r="P1034" s="3">
        <v>1.7030000000000001</v>
      </c>
      <c r="Q1034" s="3">
        <v>134.4</v>
      </c>
      <c r="R1034" s="3">
        <v>28.82</v>
      </c>
      <c r="S1034" s="3">
        <v>136.44999999999999</v>
      </c>
    </row>
    <row r="1035" spans="1:19" ht="14.4" x14ac:dyDescent="0.3">
      <c r="A1035" s="2">
        <v>45370</v>
      </c>
      <c r="B1035" s="3">
        <v>70.930000000000007</v>
      </c>
      <c r="C1035" s="3">
        <v>89.59</v>
      </c>
      <c r="D1035" s="3">
        <v>99.84</v>
      </c>
      <c r="E1035" s="3">
        <v>100.64</v>
      </c>
      <c r="F1035" s="3">
        <v>107.45</v>
      </c>
      <c r="G1035" s="3">
        <v>83.47</v>
      </c>
      <c r="H1035" s="3">
        <v>87.38</v>
      </c>
      <c r="I1035" s="3">
        <v>84.62</v>
      </c>
      <c r="J1035" s="3">
        <v>113.09</v>
      </c>
      <c r="K1035" s="3">
        <v>29.75</v>
      </c>
      <c r="L1035" s="3">
        <v>71868.070000000007</v>
      </c>
      <c r="M1035" s="3">
        <v>46154.21</v>
      </c>
      <c r="N1035" s="3">
        <v>9.9</v>
      </c>
      <c r="O1035" s="3">
        <v>5.2880000000000003E-2</v>
      </c>
      <c r="P1035" s="3">
        <v>1.744</v>
      </c>
      <c r="Q1035" s="3">
        <v>135.5</v>
      </c>
      <c r="R1035" s="3">
        <v>28.864999999999998</v>
      </c>
      <c r="S1035" s="3">
        <v>134.5</v>
      </c>
    </row>
    <row r="1036" spans="1:19" ht="14.4" x14ac:dyDescent="0.3">
      <c r="A1036" s="2">
        <v>45371</v>
      </c>
      <c r="B1036" s="3">
        <v>70.930000000000007</v>
      </c>
      <c r="C1036" s="3">
        <v>89.59</v>
      </c>
      <c r="D1036" s="3">
        <v>99.84</v>
      </c>
      <c r="E1036" s="3">
        <v>100.64</v>
      </c>
      <c r="F1036" s="3">
        <v>107.45</v>
      </c>
      <c r="G1036" s="3">
        <v>81.680000000000007</v>
      </c>
      <c r="H1036" s="3">
        <v>85.95</v>
      </c>
      <c r="I1036" s="3">
        <v>84.15</v>
      </c>
      <c r="J1036" s="3">
        <v>112.99</v>
      </c>
      <c r="K1036" s="3">
        <v>29.6</v>
      </c>
      <c r="L1036" s="3">
        <v>72419.7</v>
      </c>
      <c r="M1036" s="3">
        <v>47701.43</v>
      </c>
      <c r="N1036" s="3">
        <v>9.57</v>
      </c>
      <c r="O1036" s="3">
        <v>5.3440000000000001E-2</v>
      </c>
      <c r="P1036" s="3">
        <v>1.6990000000000001</v>
      </c>
      <c r="Q1036" s="3">
        <v>136.1</v>
      </c>
      <c r="R1036" s="3">
        <v>27.74</v>
      </c>
      <c r="S1036" s="3">
        <v>133.75</v>
      </c>
    </row>
    <row r="1037" spans="1:19" ht="14.4" x14ac:dyDescent="0.3">
      <c r="A1037" s="2">
        <v>45372</v>
      </c>
      <c r="B1037" s="3">
        <v>70.930000000000007</v>
      </c>
      <c r="C1037" s="3">
        <v>89.59</v>
      </c>
      <c r="D1037" s="3">
        <v>99.84</v>
      </c>
      <c r="E1037" s="3">
        <v>100.64</v>
      </c>
      <c r="F1037" s="3">
        <v>107.45</v>
      </c>
      <c r="G1037" s="3">
        <v>81.069999999999993</v>
      </c>
      <c r="H1037" s="3">
        <v>85.78</v>
      </c>
      <c r="I1037" s="3">
        <v>84.14</v>
      </c>
      <c r="J1037" s="3">
        <v>113.49</v>
      </c>
      <c r="K1037" s="3">
        <v>30.65</v>
      </c>
      <c r="L1037" s="5">
        <f>FORECAST(A1037,L1031:L1036,A1031:A1036)</f>
        <v>71641.539437750354</v>
      </c>
      <c r="M1037" s="5">
        <f>FORECAST(A1037,M1031:M1036,A1031:A1036)</f>
        <v>46173.753855422139</v>
      </c>
      <c r="N1037" s="3">
        <v>9.2850000000000001</v>
      </c>
      <c r="O1037" s="3">
        <v>5.3120000000000001E-2</v>
      </c>
      <c r="P1037" s="3">
        <v>1.6830000000000001</v>
      </c>
      <c r="Q1037" s="3">
        <v>138.1</v>
      </c>
      <c r="R1037" s="3">
        <v>26.4</v>
      </c>
      <c r="S1037" s="3">
        <v>135.94999999999999</v>
      </c>
    </row>
    <row r="1038" spans="1:19" ht="14.4" x14ac:dyDescent="0.3">
      <c r="A1038" s="2">
        <v>45373</v>
      </c>
      <c r="B1038" s="3">
        <v>70.16</v>
      </c>
      <c r="C1038" s="3">
        <v>89.59</v>
      </c>
      <c r="D1038" s="3">
        <v>99.51</v>
      </c>
      <c r="E1038" s="3">
        <v>100.91</v>
      </c>
      <c r="F1038" s="3">
        <v>105.39</v>
      </c>
      <c r="G1038" s="3">
        <v>80.63</v>
      </c>
      <c r="H1038" s="3">
        <v>85.43</v>
      </c>
      <c r="I1038" s="3">
        <v>84.03</v>
      </c>
      <c r="J1038" s="3">
        <v>113.49</v>
      </c>
      <c r="K1038" s="3">
        <v>30.1</v>
      </c>
      <c r="L1038" s="3">
        <v>73254.19</v>
      </c>
      <c r="M1038" s="3">
        <v>50298.41</v>
      </c>
      <c r="N1038" s="3">
        <v>9.4450000000000003</v>
      </c>
      <c r="O1038" s="3">
        <v>5.2630000000000003E-2</v>
      </c>
      <c r="P1038" s="3">
        <v>1.659</v>
      </c>
      <c r="Q1038" s="3">
        <v>136.22999999999999</v>
      </c>
      <c r="R1038" s="3">
        <v>27.776</v>
      </c>
      <c r="S1038" s="3">
        <v>135.85</v>
      </c>
    </row>
    <row r="1039" spans="1:19" ht="14.4" x14ac:dyDescent="0.3">
      <c r="A1039" s="2">
        <v>45376</v>
      </c>
      <c r="B1039" s="3">
        <v>70.16</v>
      </c>
      <c r="C1039" s="3">
        <v>89.59</v>
      </c>
      <c r="D1039" s="3">
        <v>99.51</v>
      </c>
      <c r="E1039" s="3">
        <v>100.91</v>
      </c>
      <c r="F1039" s="3">
        <v>105.39</v>
      </c>
      <c r="G1039" s="3">
        <v>81.95</v>
      </c>
      <c r="H1039" s="3">
        <v>86.75</v>
      </c>
      <c r="I1039" s="3">
        <v>84.23</v>
      </c>
      <c r="J1039" s="3">
        <v>114.65</v>
      </c>
      <c r="K1039" s="3">
        <v>30.5</v>
      </c>
      <c r="L1039" s="3">
        <v>73282.899999999994</v>
      </c>
      <c r="M1039" s="3">
        <v>50676</v>
      </c>
      <c r="N1039" s="3">
        <v>9.7149999999999999</v>
      </c>
      <c r="O1039" s="3">
        <v>5.2940000000000001E-2</v>
      </c>
      <c r="P1039" s="3">
        <v>1.615</v>
      </c>
      <c r="Q1039" s="3">
        <v>135.81</v>
      </c>
      <c r="R1039" s="3">
        <v>28.49</v>
      </c>
      <c r="S1039" s="1">
        <f>S1040</f>
        <v>134.05000000000001</v>
      </c>
    </row>
    <row r="1040" spans="1:19" ht="14.4" x14ac:dyDescent="0.3">
      <c r="A1040" s="2">
        <v>45377</v>
      </c>
      <c r="B1040" s="3">
        <v>70.16</v>
      </c>
      <c r="C1040" s="3">
        <v>89.59</v>
      </c>
      <c r="D1040" s="3">
        <v>99.51</v>
      </c>
      <c r="E1040" s="3">
        <v>100.91</v>
      </c>
      <c r="F1040" s="3">
        <v>105.39</v>
      </c>
      <c r="G1040" s="3">
        <v>81.62</v>
      </c>
      <c r="H1040" s="3">
        <v>86.25</v>
      </c>
      <c r="I1040" s="3">
        <v>84.14</v>
      </c>
      <c r="J1040" s="3">
        <v>113.79</v>
      </c>
      <c r="K1040" s="3">
        <v>30.2</v>
      </c>
      <c r="L1040" s="3">
        <v>73608.070000000007</v>
      </c>
      <c r="M1040" s="3">
        <v>50569.760000000002</v>
      </c>
      <c r="N1040" s="3">
        <v>9.5749999999999993</v>
      </c>
      <c r="O1040" s="3">
        <v>5.2740000000000002E-2</v>
      </c>
      <c r="P1040" s="3">
        <v>1.575</v>
      </c>
      <c r="Q1040" s="3">
        <v>137.12</v>
      </c>
      <c r="R1040" s="3">
        <v>27.13</v>
      </c>
      <c r="S1040" s="3">
        <v>134.05000000000001</v>
      </c>
    </row>
    <row r="1041" spans="1:19" ht="14.4" x14ac:dyDescent="0.3">
      <c r="A1041" s="2">
        <v>45378</v>
      </c>
      <c r="B1041" s="3">
        <v>70.16</v>
      </c>
      <c r="C1041" s="3">
        <v>89.59</v>
      </c>
      <c r="D1041" s="3">
        <v>99.51</v>
      </c>
      <c r="E1041" s="3">
        <v>100.91</v>
      </c>
      <c r="F1041" s="3">
        <v>105.39</v>
      </c>
      <c r="G1041" s="3">
        <v>81.349999999999994</v>
      </c>
      <c r="H1041" s="3">
        <v>86.09</v>
      </c>
      <c r="I1041" s="3">
        <v>84.11</v>
      </c>
      <c r="J1041" s="3">
        <v>114.97</v>
      </c>
      <c r="K1041" s="3">
        <v>30.4</v>
      </c>
      <c r="L1041" s="3">
        <v>73909.47</v>
      </c>
      <c r="M1041" s="3">
        <v>50407.9</v>
      </c>
      <c r="N1041" s="3">
        <v>9.4</v>
      </c>
      <c r="O1041" s="3">
        <v>5.2850000000000001E-2</v>
      </c>
      <c r="P1041" s="3">
        <v>1.718</v>
      </c>
      <c r="Q1041" s="3">
        <v>136.97999999999999</v>
      </c>
      <c r="R1041" s="3">
        <v>27.687000000000001</v>
      </c>
      <c r="S1041" s="3">
        <v>133.55000000000001</v>
      </c>
    </row>
    <row r="1042" spans="1:19" ht="14.4" x14ac:dyDescent="0.3">
      <c r="A1042" s="2">
        <v>45379</v>
      </c>
      <c r="B1042" s="3">
        <v>73.17</v>
      </c>
      <c r="C1042" s="3">
        <v>91.01</v>
      </c>
      <c r="D1042" s="3">
        <v>102.58</v>
      </c>
      <c r="E1042" s="3">
        <v>100.91</v>
      </c>
      <c r="F1042" s="3">
        <v>105.67</v>
      </c>
      <c r="G1042" s="3">
        <v>83.17</v>
      </c>
      <c r="H1042" s="3">
        <v>87.48</v>
      </c>
      <c r="I1042" s="3">
        <v>84.15</v>
      </c>
      <c r="J1042" s="3">
        <v>116.24</v>
      </c>
      <c r="K1042" s="3">
        <v>30.75</v>
      </c>
      <c r="L1042" s="3">
        <v>74535.990000000005</v>
      </c>
      <c r="M1042" s="3">
        <v>51964.11</v>
      </c>
      <c r="N1042" s="3">
        <v>9.5350000000000001</v>
      </c>
      <c r="O1042" s="3">
        <v>5.28E-2</v>
      </c>
      <c r="P1042" s="3">
        <v>1.7629999999999999</v>
      </c>
      <c r="Q1042" s="3">
        <v>137.43</v>
      </c>
      <c r="R1042" s="3">
        <v>27.34</v>
      </c>
      <c r="S1042" s="3">
        <v>134.35</v>
      </c>
    </row>
    <row r="1043" spans="1:19" ht="14.4" x14ac:dyDescent="0.3">
      <c r="A1043" s="2">
        <v>45380</v>
      </c>
      <c r="B1043" s="1">
        <f t="shared" ref="B1043:F1044" si="66">B1042</f>
        <v>73.17</v>
      </c>
      <c r="C1043" s="1">
        <f t="shared" si="66"/>
        <v>91.01</v>
      </c>
      <c r="D1043" s="1">
        <f t="shared" si="66"/>
        <v>102.58</v>
      </c>
      <c r="E1043" s="1">
        <f t="shared" si="66"/>
        <v>100.91</v>
      </c>
      <c r="F1043" s="1">
        <f t="shared" si="66"/>
        <v>105.67</v>
      </c>
      <c r="G1043" s="5">
        <f>(G1042+G1044)/2</f>
        <v>83.44</v>
      </c>
      <c r="H1043" s="1">
        <f>(H1042+H1044)/2</f>
        <v>87.45</v>
      </c>
      <c r="I1043" s="1">
        <f>(I1042+I1044)/2</f>
        <v>85.960000000000008</v>
      </c>
      <c r="J1043" s="1">
        <f>(J1042+J1044)/2</f>
        <v>116.61499999999999</v>
      </c>
      <c r="K1043" s="5">
        <f t="shared" ref="K1043:K1044" si="67">FORECAST(A1043,K1037:K1042,A1037:A1042)</f>
        <v>30.517381974248906</v>
      </c>
      <c r="L1043" s="5">
        <f t="shared" ref="L1043:L1044" si="68">FORECAST(A1043,L1037:L1042,A1037:A1042)</f>
        <v>74667.979236258194</v>
      </c>
      <c r="M1043" s="5">
        <f t="shared" ref="M1043:M1044" si="69">FORECAST(A1043,M1037:M1042,A1037:A1042)</f>
        <v>52343.597726356238</v>
      </c>
      <c r="N1043" s="5">
        <f>FORECAST(A1043,N1037:N1042,A1037:A1042)</f>
        <v>9.5995278969958235</v>
      </c>
      <c r="O1043" s="3">
        <v>5.296E-2</v>
      </c>
      <c r="P1043" s="1">
        <f>AVERAGE(P1042,P1044)</f>
        <v>1.9184999999999999</v>
      </c>
      <c r="Q1043" s="1">
        <f>AVERAGE(Q1042,Q1044)</f>
        <v>137.23000000000002</v>
      </c>
      <c r="R1043" s="5">
        <f>AVERAGE(R1042,R1044)</f>
        <v>27.34</v>
      </c>
      <c r="S1043" s="1">
        <f>S1044</f>
        <v>140.30000000000001</v>
      </c>
    </row>
    <row r="1044" spans="1:19" ht="14.4" x14ac:dyDescent="0.3">
      <c r="A1044" s="2">
        <v>45383</v>
      </c>
      <c r="B1044" s="1">
        <f t="shared" si="66"/>
        <v>73.17</v>
      </c>
      <c r="C1044" s="1">
        <f t="shared" si="66"/>
        <v>91.01</v>
      </c>
      <c r="D1044" s="1">
        <f t="shared" si="66"/>
        <v>102.58</v>
      </c>
      <c r="E1044" s="1">
        <f t="shared" si="66"/>
        <v>100.91</v>
      </c>
      <c r="F1044" s="1">
        <f t="shared" si="66"/>
        <v>105.67</v>
      </c>
      <c r="G1044" s="3">
        <v>83.71</v>
      </c>
      <c r="H1044" s="3">
        <v>87.42</v>
      </c>
      <c r="I1044" s="3">
        <v>87.77</v>
      </c>
      <c r="J1044" s="3">
        <v>116.99</v>
      </c>
      <c r="K1044" s="5">
        <f t="shared" si="67"/>
        <v>30.816268414337628</v>
      </c>
      <c r="L1044" s="5">
        <f t="shared" si="68"/>
        <v>75164.678111964837</v>
      </c>
      <c r="M1044" s="5">
        <f t="shared" si="69"/>
        <v>52642.697321224958</v>
      </c>
      <c r="N1044" s="3">
        <v>9.5350000000000001</v>
      </c>
      <c r="O1044" s="3">
        <v>5.2780000000000001E-2</v>
      </c>
      <c r="P1044" s="3">
        <v>2.0739999999999998</v>
      </c>
      <c r="Q1044" s="3">
        <v>137.03</v>
      </c>
      <c r="R1044" s="3">
        <v>27.34</v>
      </c>
      <c r="S1044" s="3">
        <v>140.30000000000001</v>
      </c>
    </row>
    <row r="1045" spans="1:19" ht="14.4" x14ac:dyDescent="0.3">
      <c r="A1045" s="2">
        <v>45384</v>
      </c>
      <c r="B1045" s="3">
        <v>73.17</v>
      </c>
      <c r="C1045" s="3">
        <v>91.01</v>
      </c>
      <c r="D1045" s="3">
        <v>102.58</v>
      </c>
      <c r="E1045" s="3">
        <v>102.51</v>
      </c>
      <c r="F1045" s="3">
        <v>105.67</v>
      </c>
      <c r="G1045" s="3">
        <v>85.15</v>
      </c>
      <c r="H1045" s="3">
        <v>88.92</v>
      </c>
      <c r="I1045" s="3">
        <v>89.24</v>
      </c>
      <c r="J1045" s="3">
        <v>119.28</v>
      </c>
      <c r="K1045" s="3">
        <v>31.6</v>
      </c>
      <c r="L1045" s="3">
        <v>74429.48</v>
      </c>
      <c r="M1045" s="3">
        <v>52831.44</v>
      </c>
      <c r="N1045" s="3">
        <v>9.4649999999999999</v>
      </c>
      <c r="O1045" s="3">
        <v>5.3260000000000002E-2</v>
      </c>
      <c r="P1045" s="3">
        <v>2.105</v>
      </c>
      <c r="Q1045" s="3">
        <v>137.5</v>
      </c>
      <c r="R1045" s="3">
        <v>26.204999999999998</v>
      </c>
      <c r="S1045" s="3">
        <v>142.4</v>
      </c>
    </row>
    <row r="1046" spans="1:19" ht="14.4" x14ac:dyDescent="0.3">
      <c r="A1046" s="2">
        <v>45385</v>
      </c>
      <c r="B1046" s="3">
        <v>73.17</v>
      </c>
      <c r="C1046" s="3">
        <v>91.01</v>
      </c>
      <c r="D1046" s="3">
        <v>102.58</v>
      </c>
      <c r="E1046" s="3">
        <v>102.51</v>
      </c>
      <c r="F1046" s="3">
        <v>105.67</v>
      </c>
      <c r="G1046" s="3">
        <v>85.43</v>
      </c>
      <c r="H1046" s="3">
        <v>89.35</v>
      </c>
      <c r="I1046" s="3">
        <v>89.63</v>
      </c>
      <c r="J1046" s="3">
        <v>119.3</v>
      </c>
      <c r="K1046" s="3">
        <v>31.6</v>
      </c>
      <c r="L1046" s="3">
        <v>74097.929999999993</v>
      </c>
      <c r="M1046" s="3">
        <v>53079.49</v>
      </c>
      <c r="N1046" s="3">
        <v>9.5</v>
      </c>
      <c r="O1046" s="3">
        <v>5.3539999999999997E-2</v>
      </c>
      <c r="P1046" s="3">
        <v>2.0670000000000002</v>
      </c>
      <c r="Q1046" s="3">
        <v>137.38999999999999</v>
      </c>
      <c r="R1046" s="3">
        <v>25.565000000000001</v>
      </c>
      <c r="S1046" s="3">
        <v>143.85</v>
      </c>
    </row>
    <row r="1047" spans="1:19" ht="14.4" x14ac:dyDescent="0.3">
      <c r="A1047" s="2">
        <v>45386</v>
      </c>
      <c r="B1047" s="3">
        <v>73.17</v>
      </c>
      <c r="C1047" s="3">
        <v>91.01</v>
      </c>
      <c r="D1047" s="3">
        <v>102.58</v>
      </c>
      <c r="E1047" s="3">
        <v>102.51</v>
      </c>
      <c r="F1047" s="3">
        <v>105.67</v>
      </c>
      <c r="G1047" s="3">
        <v>86.59</v>
      </c>
      <c r="H1047" s="3">
        <v>90.65</v>
      </c>
      <c r="I1047" s="3">
        <v>90.53</v>
      </c>
      <c r="J1047" s="3">
        <v>119.72</v>
      </c>
      <c r="K1047" s="5">
        <f>FORECAST(A1047,K1041:K1046,A1041:A1046)</f>
        <v>31.681732497791018</v>
      </c>
      <c r="L1047" s="3">
        <v>75372.98</v>
      </c>
      <c r="M1047" s="3">
        <v>55374.71</v>
      </c>
      <c r="N1047" s="3">
        <v>9.5449999999999999</v>
      </c>
      <c r="O1047" s="3">
        <v>5.3420000000000002E-2</v>
      </c>
      <c r="P1047" s="3">
        <v>1.9970000000000001</v>
      </c>
      <c r="Q1047" s="3">
        <v>136.69999999999999</v>
      </c>
      <c r="R1047" s="3">
        <v>26.204999999999998</v>
      </c>
      <c r="S1047" s="3">
        <v>144.80000000000001</v>
      </c>
    </row>
    <row r="1048" spans="1:19" ht="14.4" x14ac:dyDescent="0.3">
      <c r="A1048" s="2">
        <v>45387</v>
      </c>
      <c r="B1048" s="3">
        <v>75.430000000000007</v>
      </c>
      <c r="C1048" s="3">
        <v>93</v>
      </c>
      <c r="D1048" s="3">
        <v>103.63</v>
      </c>
      <c r="E1048" s="3">
        <v>102.51</v>
      </c>
      <c r="F1048" s="3">
        <v>105.16</v>
      </c>
      <c r="G1048" s="3">
        <v>86.91</v>
      </c>
      <c r="H1048" s="3">
        <v>91.17</v>
      </c>
      <c r="I1048" s="3">
        <v>90.74</v>
      </c>
      <c r="J1048" s="3">
        <v>121.37</v>
      </c>
      <c r="K1048" s="3">
        <v>31.35</v>
      </c>
      <c r="L1048" s="3">
        <v>74774.720000000001</v>
      </c>
      <c r="M1048" s="3">
        <v>54937.99</v>
      </c>
      <c r="N1048" s="3">
        <v>9.5449999999999999</v>
      </c>
      <c r="O1048" s="3">
        <v>5.3530000000000001E-2</v>
      </c>
      <c r="P1048" s="3">
        <v>2.0099999999999998</v>
      </c>
      <c r="Q1048" s="3">
        <v>137.87</v>
      </c>
      <c r="R1048" s="3">
        <v>26.605</v>
      </c>
      <c r="S1048" s="3">
        <v>145.44999999999999</v>
      </c>
    </row>
    <row r="1049" spans="1:19" ht="14.4" x14ac:dyDescent="0.3">
      <c r="A1049" s="2">
        <v>45390</v>
      </c>
      <c r="B1049" s="3">
        <v>75.430000000000007</v>
      </c>
      <c r="C1049" s="3">
        <v>93</v>
      </c>
      <c r="D1049" s="3">
        <v>103.63</v>
      </c>
      <c r="E1049" s="3">
        <v>106.93</v>
      </c>
      <c r="F1049" s="3">
        <v>105.16</v>
      </c>
      <c r="G1049" s="3">
        <v>86.43</v>
      </c>
      <c r="H1049" s="3">
        <v>90.38</v>
      </c>
      <c r="I1049" s="3">
        <v>90.02</v>
      </c>
      <c r="J1049" s="3">
        <v>120.55</v>
      </c>
      <c r="K1049" s="3">
        <v>31.9</v>
      </c>
      <c r="L1049" s="3">
        <v>75334.92</v>
      </c>
      <c r="M1049" s="3">
        <v>56513.61</v>
      </c>
      <c r="N1049" s="3">
        <v>9.5749999999999993</v>
      </c>
      <c r="O1049" s="3">
        <v>5.364E-2</v>
      </c>
      <c r="P1049" s="3">
        <v>2.0510000000000002</v>
      </c>
      <c r="Q1049" s="3">
        <v>136.88</v>
      </c>
      <c r="R1049" s="3">
        <v>27.91</v>
      </c>
      <c r="S1049" s="3">
        <v>145.5</v>
      </c>
    </row>
    <row r="1050" spans="1:19" ht="14.4" x14ac:dyDescent="0.3">
      <c r="A1050" s="2">
        <v>45391</v>
      </c>
      <c r="B1050" s="3">
        <v>75.430000000000007</v>
      </c>
      <c r="C1050" s="3">
        <v>93</v>
      </c>
      <c r="D1050" s="3">
        <v>103.63</v>
      </c>
      <c r="E1050" s="3">
        <v>106.93</v>
      </c>
      <c r="F1050" s="3">
        <v>105.16</v>
      </c>
      <c r="G1050" s="3">
        <v>85.23</v>
      </c>
      <c r="H1050" s="3">
        <v>89.42</v>
      </c>
      <c r="I1050" s="3">
        <v>89.43</v>
      </c>
      <c r="J1050" s="3">
        <v>121.18</v>
      </c>
      <c r="K1050" s="3">
        <v>31.85</v>
      </c>
      <c r="L1050" s="3">
        <v>75486.92</v>
      </c>
      <c r="M1050" s="3">
        <v>57249.65</v>
      </c>
      <c r="N1050" s="3">
        <v>9.5850000000000009</v>
      </c>
      <c r="O1050" s="3">
        <v>5.416E-2</v>
      </c>
      <c r="P1050" s="3">
        <v>2.0640000000000001</v>
      </c>
      <c r="Q1050" s="3">
        <v>135.06</v>
      </c>
      <c r="R1050" s="3">
        <v>27.35</v>
      </c>
      <c r="S1050" s="3">
        <v>147.94999999999999</v>
      </c>
    </row>
    <row r="1051" spans="1:19" ht="14.4" x14ac:dyDescent="0.3">
      <c r="A1051" s="2">
        <v>45392</v>
      </c>
      <c r="B1051" s="3">
        <v>75.430000000000007</v>
      </c>
      <c r="C1051" s="3">
        <v>93</v>
      </c>
      <c r="D1051" s="3">
        <v>103.63</v>
      </c>
      <c r="E1051" s="3">
        <v>106.93</v>
      </c>
      <c r="F1051" s="3">
        <v>105.16</v>
      </c>
      <c r="G1051" s="3">
        <v>86.21</v>
      </c>
      <c r="H1051" s="3">
        <v>90.48</v>
      </c>
      <c r="I1051" s="3">
        <v>90.13</v>
      </c>
      <c r="J1051" s="3">
        <v>122.2</v>
      </c>
      <c r="K1051" s="3">
        <v>32.6</v>
      </c>
      <c r="L1051" s="3">
        <v>75520.37</v>
      </c>
      <c r="M1051" s="3">
        <v>56819.96</v>
      </c>
      <c r="N1051" s="3">
        <v>9.5850000000000009</v>
      </c>
      <c r="O1051" s="3">
        <v>5.3249999999999999E-2</v>
      </c>
      <c r="P1051" s="3">
        <v>2.0739999999999998</v>
      </c>
      <c r="Q1051" s="3">
        <v>132.94</v>
      </c>
      <c r="R1051" s="3">
        <v>27.1</v>
      </c>
      <c r="S1051" s="3">
        <v>150.44999999999999</v>
      </c>
    </row>
    <row r="1052" spans="1:19" ht="14.4" x14ac:dyDescent="0.3">
      <c r="A1052" s="2">
        <v>45393</v>
      </c>
      <c r="B1052" s="3">
        <v>75.430000000000007</v>
      </c>
      <c r="C1052" s="3">
        <v>93</v>
      </c>
      <c r="D1052" s="3">
        <v>103.63</v>
      </c>
      <c r="E1052" s="3">
        <v>106.93</v>
      </c>
      <c r="F1052" s="3">
        <v>105.16</v>
      </c>
      <c r="G1052" s="3">
        <v>85.02</v>
      </c>
      <c r="H1052" s="3">
        <v>89.74</v>
      </c>
      <c r="I1052" s="3">
        <v>89.79</v>
      </c>
      <c r="J1052" s="3">
        <v>121.79</v>
      </c>
      <c r="K1052" s="3">
        <v>32.9</v>
      </c>
      <c r="L1052" s="3">
        <v>75303.25</v>
      </c>
      <c r="M1052" s="3">
        <v>57350.080000000002</v>
      </c>
      <c r="N1052" s="3">
        <v>9.61</v>
      </c>
      <c r="O1052" s="3">
        <v>5.3370000000000001E-2</v>
      </c>
      <c r="P1052" s="3">
        <v>2</v>
      </c>
      <c r="Q1052" s="3">
        <v>133.47999999999999</v>
      </c>
      <c r="R1052" s="3">
        <v>29.375</v>
      </c>
      <c r="S1052" s="1">
        <f>S1053</f>
        <v>151.85</v>
      </c>
    </row>
    <row r="1053" spans="1:19" ht="14.4" x14ac:dyDescent="0.3">
      <c r="A1053" s="2">
        <v>45394</v>
      </c>
      <c r="B1053" s="3">
        <v>72.41</v>
      </c>
      <c r="C1053" s="3">
        <v>92.75</v>
      </c>
      <c r="D1053" s="3">
        <v>104.42</v>
      </c>
      <c r="E1053" s="3">
        <v>106.93</v>
      </c>
      <c r="F1053" s="3">
        <v>106.36</v>
      </c>
      <c r="G1053" s="3">
        <v>85.66</v>
      </c>
      <c r="H1053" s="3">
        <v>90.45</v>
      </c>
      <c r="I1053" s="3">
        <v>90.22</v>
      </c>
      <c r="J1053" s="3">
        <v>120.37</v>
      </c>
      <c r="K1053" s="3">
        <v>32.299999999999997</v>
      </c>
      <c r="L1053" s="3">
        <v>75311.759999999995</v>
      </c>
      <c r="M1053" s="3">
        <v>62086.95</v>
      </c>
      <c r="N1053" s="3">
        <v>9.6449999999999996</v>
      </c>
      <c r="O1053" s="3">
        <v>5.2999999999999999E-2</v>
      </c>
      <c r="P1053" s="3">
        <v>2.0289999999999999</v>
      </c>
      <c r="Q1053" s="3">
        <v>133.55000000000001</v>
      </c>
      <c r="R1053" s="3">
        <v>30.731999999999999</v>
      </c>
      <c r="S1053" s="3">
        <v>151.85</v>
      </c>
    </row>
    <row r="1054" spans="1:19" ht="14.4" x14ac:dyDescent="0.3">
      <c r="A1054" s="2">
        <v>45397</v>
      </c>
      <c r="B1054" s="3">
        <v>72.41</v>
      </c>
      <c r="C1054" s="3">
        <v>92.75</v>
      </c>
      <c r="D1054" s="3">
        <v>104.42</v>
      </c>
      <c r="E1054" s="3">
        <v>110.95</v>
      </c>
      <c r="F1054" s="3">
        <v>106.36</v>
      </c>
      <c r="G1054" s="3">
        <v>85.41</v>
      </c>
      <c r="H1054" s="3">
        <v>90.1</v>
      </c>
      <c r="I1054" s="3">
        <v>89.96</v>
      </c>
      <c r="J1054" s="3">
        <v>119.68</v>
      </c>
      <c r="K1054" s="3">
        <v>32.700000000000003</v>
      </c>
      <c r="L1054" s="3">
        <v>74518.63</v>
      </c>
      <c r="M1054" s="3">
        <v>59131.13</v>
      </c>
      <c r="N1054" s="3">
        <v>9.6869999999999994</v>
      </c>
      <c r="O1054" s="3">
        <v>5.2630000000000003E-2</v>
      </c>
      <c r="P1054" s="3">
        <v>1.6910000000000001</v>
      </c>
      <c r="Q1054" s="3">
        <v>130.54</v>
      </c>
      <c r="R1054" s="3">
        <v>31.145</v>
      </c>
      <c r="S1054" s="3">
        <v>146.5</v>
      </c>
    </row>
    <row r="1055" spans="1:19" ht="14.4" x14ac:dyDescent="0.3">
      <c r="A1055" s="2">
        <v>45398</v>
      </c>
      <c r="B1055" s="3">
        <v>72.41</v>
      </c>
      <c r="C1055" s="3">
        <v>92.75</v>
      </c>
      <c r="D1055" s="3">
        <v>104.42</v>
      </c>
      <c r="E1055" s="3">
        <v>110.95</v>
      </c>
      <c r="F1055" s="3">
        <v>106.36</v>
      </c>
      <c r="G1055" s="3">
        <v>85.36</v>
      </c>
      <c r="H1055" s="3">
        <v>90.02</v>
      </c>
      <c r="I1055" s="3">
        <v>89.91</v>
      </c>
      <c r="J1055" s="3">
        <v>118.69</v>
      </c>
      <c r="K1055" s="3">
        <v>32.75</v>
      </c>
      <c r="L1055" s="3">
        <v>72999.600000000006</v>
      </c>
      <c r="M1055" s="3">
        <v>57148.23</v>
      </c>
      <c r="N1055" s="3">
        <v>11.26</v>
      </c>
      <c r="O1055" s="3">
        <v>5.246E-2</v>
      </c>
      <c r="P1055" s="3">
        <v>1.732</v>
      </c>
      <c r="Q1055" s="3">
        <v>129.9</v>
      </c>
      <c r="R1055" s="3">
        <v>33.14</v>
      </c>
      <c r="S1055" s="3">
        <v>148.19999999999999</v>
      </c>
    </row>
    <row r="1056" spans="1:19" ht="14.4" x14ac:dyDescent="0.3">
      <c r="A1056" s="2">
        <v>45399</v>
      </c>
      <c r="B1056" s="3">
        <v>72.41</v>
      </c>
      <c r="C1056" s="3">
        <v>92.75</v>
      </c>
      <c r="D1056" s="3">
        <v>104.42</v>
      </c>
      <c r="E1056" s="3">
        <v>110.95</v>
      </c>
      <c r="F1056" s="3">
        <v>106.36</v>
      </c>
      <c r="G1056" s="3">
        <v>82.69</v>
      </c>
      <c r="H1056" s="3">
        <v>87.29</v>
      </c>
      <c r="I1056" s="3">
        <v>88.84</v>
      </c>
      <c r="J1056" s="3">
        <v>118.63</v>
      </c>
      <c r="K1056" s="3">
        <v>32.6</v>
      </c>
      <c r="L1056" s="3">
        <v>72995.179999999993</v>
      </c>
      <c r="M1056" s="3">
        <v>58769.31</v>
      </c>
      <c r="N1056" s="3">
        <v>10.744999999999999</v>
      </c>
      <c r="O1056" s="3">
        <v>5.2510000000000001E-2</v>
      </c>
      <c r="P1056" s="3">
        <v>1.712</v>
      </c>
      <c r="Q1056" s="3">
        <v>130.74</v>
      </c>
      <c r="R1056" s="3">
        <v>31.29</v>
      </c>
      <c r="S1056" s="1">
        <f>S1057</f>
        <v>144.94999999999999</v>
      </c>
    </row>
    <row r="1057" spans="1:19" ht="14.4" x14ac:dyDescent="0.3">
      <c r="A1057" s="2">
        <v>45400</v>
      </c>
      <c r="B1057" s="3">
        <v>72.41</v>
      </c>
      <c r="C1057" s="3">
        <v>92.75</v>
      </c>
      <c r="D1057" s="3">
        <v>104.42</v>
      </c>
      <c r="E1057" s="3">
        <v>110.95</v>
      </c>
      <c r="F1057" s="3">
        <v>106.36</v>
      </c>
      <c r="G1057" s="3">
        <v>82.73</v>
      </c>
      <c r="H1057" s="3">
        <v>87.11</v>
      </c>
      <c r="I1057" s="3">
        <v>88.81</v>
      </c>
      <c r="J1057" s="3">
        <v>118.52</v>
      </c>
      <c r="K1057" s="3">
        <v>32.700000000000003</v>
      </c>
      <c r="L1057" s="3">
        <v>73271.429999999993</v>
      </c>
      <c r="M1057" s="3">
        <v>58326.14</v>
      </c>
      <c r="N1057" s="3">
        <v>10.88</v>
      </c>
      <c r="O1057" s="3">
        <v>5.2200000000000003E-2</v>
      </c>
      <c r="P1057" s="3">
        <v>1.7569999999999999</v>
      </c>
      <c r="Q1057" s="3">
        <v>130.97999999999999</v>
      </c>
      <c r="R1057" s="3">
        <v>32.31</v>
      </c>
      <c r="S1057" s="3">
        <v>144.94999999999999</v>
      </c>
    </row>
    <row r="1058" spans="1:19" ht="14.4" x14ac:dyDescent="0.3">
      <c r="A1058" s="2">
        <v>45401</v>
      </c>
      <c r="B1058" s="3">
        <v>75.709999999999994</v>
      </c>
      <c r="C1058" s="3">
        <v>95.8</v>
      </c>
      <c r="D1058" s="3">
        <v>108.91</v>
      </c>
      <c r="E1058" s="3">
        <v>110.95</v>
      </c>
      <c r="F1058" s="3">
        <v>108.06</v>
      </c>
      <c r="G1058" s="3">
        <v>83.14</v>
      </c>
      <c r="H1058" s="3">
        <v>87.29</v>
      </c>
      <c r="I1058" s="3">
        <v>88.82</v>
      </c>
      <c r="J1058" s="3">
        <v>119.88</v>
      </c>
      <c r="K1058" s="3">
        <v>32.85</v>
      </c>
      <c r="L1058" s="3">
        <v>73363.56</v>
      </c>
      <c r="M1058" s="3">
        <v>58277.95</v>
      </c>
      <c r="N1058" s="3">
        <v>10.5</v>
      </c>
      <c r="O1058" s="3">
        <v>5.2310000000000002E-2</v>
      </c>
      <c r="P1058" s="3">
        <v>1.752</v>
      </c>
      <c r="Q1058" s="3">
        <v>131.21</v>
      </c>
      <c r="R1058" s="3">
        <v>30.757999999999999</v>
      </c>
      <c r="S1058" s="3">
        <v>147.65</v>
      </c>
    </row>
    <row r="1059" spans="1:19" ht="14.4" x14ac:dyDescent="0.3">
      <c r="A1059" s="2">
        <v>45404</v>
      </c>
      <c r="B1059" s="3">
        <v>75.709999999999994</v>
      </c>
      <c r="C1059" s="3">
        <v>95.8</v>
      </c>
      <c r="D1059" s="3">
        <v>108.91</v>
      </c>
      <c r="E1059" s="3">
        <v>106.69</v>
      </c>
      <c r="F1059" s="3">
        <v>108.06</v>
      </c>
      <c r="G1059" s="3">
        <v>82.85</v>
      </c>
      <c r="H1059" s="3">
        <v>87</v>
      </c>
      <c r="I1059" s="3">
        <v>88.72</v>
      </c>
      <c r="J1059" s="3">
        <v>120.56</v>
      </c>
      <c r="K1059" s="3">
        <v>31.65</v>
      </c>
      <c r="L1059" s="3">
        <v>73551.12</v>
      </c>
      <c r="M1059" s="3">
        <v>55296.51</v>
      </c>
      <c r="N1059" s="3">
        <v>10.53</v>
      </c>
      <c r="O1059" s="3">
        <v>5.2089999999999997E-2</v>
      </c>
      <c r="P1059" s="3">
        <v>1.7909999999999999</v>
      </c>
      <c r="Q1059" s="3">
        <v>131.65</v>
      </c>
      <c r="R1059" s="3">
        <v>29.31</v>
      </c>
      <c r="S1059" s="3">
        <v>148.9</v>
      </c>
    </row>
    <row r="1060" spans="1:19" ht="14.4" x14ac:dyDescent="0.3">
      <c r="A1060" s="2">
        <v>45405</v>
      </c>
      <c r="B1060" s="3">
        <v>75.709999999999994</v>
      </c>
      <c r="C1060" s="3">
        <v>95.8</v>
      </c>
      <c r="D1060" s="3">
        <v>108.91</v>
      </c>
      <c r="E1060" s="3">
        <v>106.69</v>
      </c>
      <c r="F1060" s="3">
        <v>108.06</v>
      </c>
      <c r="G1060" s="3">
        <v>83.36</v>
      </c>
      <c r="H1060" s="3">
        <v>88.42</v>
      </c>
      <c r="I1060" s="3">
        <v>89.04</v>
      </c>
      <c r="J1060" s="3">
        <v>121.03</v>
      </c>
      <c r="K1060" s="3">
        <v>31.55</v>
      </c>
      <c r="L1060" s="3">
        <v>74010.83</v>
      </c>
      <c r="M1060" s="3">
        <v>54400.73</v>
      </c>
      <c r="N1060" s="3">
        <v>10.225</v>
      </c>
      <c r="O1060" s="3">
        <v>5.2310000000000002E-2</v>
      </c>
      <c r="P1060" s="3">
        <v>1.8120000000000001</v>
      </c>
      <c r="Q1060" s="3">
        <v>132.33000000000001</v>
      </c>
      <c r="R1060" s="3">
        <v>28.414999999999999</v>
      </c>
      <c r="S1060" s="3">
        <v>153.1</v>
      </c>
    </row>
    <row r="1061" spans="1:19" ht="14.4" x14ac:dyDescent="0.3">
      <c r="A1061" s="2">
        <v>45406</v>
      </c>
      <c r="B1061" s="3">
        <v>75.709999999999994</v>
      </c>
      <c r="C1061" s="3">
        <v>95.8</v>
      </c>
      <c r="D1061" s="3">
        <v>108.91</v>
      </c>
      <c r="E1061" s="3">
        <v>106.69</v>
      </c>
      <c r="F1061" s="3">
        <v>108.06</v>
      </c>
      <c r="G1061" s="3">
        <v>82.81</v>
      </c>
      <c r="H1061" s="3">
        <v>88.02</v>
      </c>
      <c r="I1061" s="3">
        <v>89.02</v>
      </c>
      <c r="J1061" s="3">
        <v>121.05</v>
      </c>
      <c r="K1061" s="3">
        <v>31.7</v>
      </c>
      <c r="L1061" s="3">
        <v>74513.929999999993</v>
      </c>
      <c r="M1061" s="3">
        <v>54758.04</v>
      </c>
      <c r="N1061" s="3">
        <v>10.435</v>
      </c>
      <c r="O1061" s="3">
        <v>5.1999999999999998E-2</v>
      </c>
      <c r="P1061" s="3">
        <v>1.653</v>
      </c>
      <c r="Q1061" s="3">
        <v>132.57</v>
      </c>
      <c r="R1061" s="3">
        <v>29.02</v>
      </c>
      <c r="S1061" s="3">
        <v>153.85</v>
      </c>
    </row>
    <row r="1062" spans="1:19" ht="14.4" x14ac:dyDescent="0.3">
      <c r="A1062" s="2">
        <v>45407</v>
      </c>
      <c r="B1062" s="3">
        <v>75.709999999999994</v>
      </c>
      <c r="C1062" s="3">
        <v>95.8</v>
      </c>
      <c r="D1062" s="3">
        <v>108.91</v>
      </c>
      <c r="E1062" s="3">
        <v>106.69</v>
      </c>
      <c r="F1062" s="3">
        <v>108.06</v>
      </c>
      <c r="G1062" s="3">
        <v>83.57</v>
      </c>
      <c r="H1062" s="3">
        <v>89.01</v>
      </c>
      <c r="I1062" s="3">
        <v>89.18</v>
      </c>
      <c r="J1062" s="3">
        <v>121.33</v>
      </c>
      <c r="K1062" s="3">
        <v>32.1</v>
      </c>
      <c r="L1062" s="3">
        <v>74329.37</v>
      </c>
      <c r="M1062" s="3">
        <v>54455.13</v>
      </c>
      <c r="N1062" s="3">
        <v>10.43</v>
      </c>
      <c r="O1062" s="3">
        <v>5.2490000000000002E-2</v>
      </c>
      <c r="P1062" s="3">
        <v>1.6379999999999999</v>
      </c>
      <c r="Q1062" s="3">
        <v>131.82</v>
      </c>
      <c r="R1062" s="3">
        <v>29.77</v>
      </c>
      <c r="S1062" s="3">
        <v>159.35</v>
      </c>
    </row>
    <row r="1063" spans="1:19" ht="14.4" x14ac:dyDescent="0.3">
      <c r="A1063" s="2">
        <v>45408</v>
      </c>
      <c r="B1063" s="3">
        <v>71.77</v>
      </c>
      <c r="C1063" s="3">
        <v>91.31</v>
      </c>
      <c r="D1063" s="3">
        <v>103.78</v>
      </c>
      <c r="E1063" s="3">
        <v>106.69</v>
      </c>
      <c r="F1063" s="3">
        <v>107.74</v>
      </c>
      <c r="G1063" s="3">
        <v>83.85</v>
      </c>
      <c r="H1063" s="3">
        <v>89.5</v>
      </c>
      <c r="I1063" s="3">
        <v>89.19</v>
      </c>
      <c r="J1063" s="3">
        <v>117.96</v>
      </c>
      <c r="K1063" s="3">
        <v>31.95</v>
      </c>
      <c r="L1063" s="3">
        <v>75370.990000000005</v>
      </c>
      <c r="M1063" s="3">
        <v>54809.63</v>
      </c>
      <c r="N1063" s="3">
        <v>10.324999999999999</v>
      </c>
      <c r="O1063" s="3">
        <v>5.3150000000000003E-2</v>
      </c>
      <c r="P1063" s="3">
        <v>1.6140000000000001</v>
      </c>
      <c r="Q1063" s="3">
        <v>131.69999999999999</v>
      </c>
      <c r="R1063" s="3">
        <v>28.885000000000002</v>
      </c>
      <c r="S1063" s="3">
        <v>158.85</v>
      </c>
    </row>
    <row r="1064" spans="1:19" ht="14.4" x14ac:dyDescent="0.3">
      <c r="A1064" s="2">
        <v>45411</v>
      </c>
      <c r="B1064" s="3">
        <v>71.77</v>
      </c>
      <c r="C1064" s="3">
        <v>91.31</v>
      </c>
      <c r="D1064" s="3">
        <v>103.78</v>
      </c>
      <c r="E1064" s="3">
        <v>103.58</v>
      </c>
      <c r="F1064" s="3">
        <v>107.74</v>
      </c>
      <c r="G1064" s="3">
        <v>82.63</v>
      </c>
      <c r="H1064" s="3">
        <v>88.4</v>
      </c>
      <c r="I1064" s="3">
        <v>89.11</v>
      </c>
      <c r="J1064" s="3">
        <v>119.64</v>
      </c>
      <c r="K1064" s="3">
        <v>32.15</v>
      </c>
      <c r="L1064" s="3">
        <v>76456.149999999994</v>
      </c>
      <c r="M1064" s="3">
        <v>56596.21</v>
      </c>
      <c r="N1064" s="3">
        <v>10.210000000000001</v>
      </c>
      <c r="O1064" s="3">
        <v>5.3690000000000002E-2</v>
      </c>
      <c r="P1064" s="3">
        <v>2.0299999999999998</v>
      </c>
      <c r="Q1064" s="3">
        <v>130.78</v>
      </c>
      <c r="R1064" s="3">
        <v>27.994</v>
      </c>
      <c r="S1064" s="3">
        <v>155.30000000000001</v>
      </c>
    </row>
    <row r="1065" spans="1:19" ht="14.4" x14ac:dyDescent="0.3">
      <c r="A1065" s="2">
        <v>45412</v>
      </c>
      <c r="B1065" s="3">
        <v>71.77</v>
      </c>
      <c r="C1065" s="3">
        <v>91.31</v>
      </c>
      <c r="D1065" s="3">
        <v>103.78</v>
      </c>
      <c r="E1065" s="3">
        <v>103.58</v>
      </c>
      <c r="F1065" s="3">
        <v>107.74</v>
      </c>
      <c r="G1065" s="3">
        <v>81.93</v>
      </c>
      <c r="H1065" s="3">
        <v>87.86</v>
      </c>
      <c r="I1065" s="3">
        <v>89.17</v>
      </c>
      <c r="J1065" s="3">
        <v>118.27</v>
      </c>
      <c r="K1065" s="3">
        <v>32.700000000000003</v>
      </c>
      <c r="L1065" s="3">
        <v>76076.17</v>
      </c>
      <c r="M1065" s="3">
        <v>53283.85</v>
      </c>
      <c r="N1065" s="3">
        <v>10.335000000000001</v>
      </c>
      <c r="O1065" s="3">
        <v>5.3220000000000003E-2</v>
      </c>
      <c r="P1065" s="3">
        <v>1.9910000000000001</v>
      </c>
      <c r="Q1065" s="3">
        <v>128.76</v>
      </c>
      <c r="R1065" s="3">
        <v>29.12</v>
      </c>
      <c r="S1065" s="3">
        <v>156.30000000000001</v>
      </c>
    </row>
    <row r="1066" spans="1:19" ht="14.4" x14ac:dyDescent="0.3">
      <c r="A1066" s="2">
        <v>45413</v>
      </c>
      <c r="B1066" s="3">
        <v>71.77</v>
      </c>
      <c r="C1066" s="3">
        <v>91.31</v>
      </c>
      <c r="D1066" s="3">
        <v>103.78</v>
      </c>
      <c r="E1066" s="3">
        <v>103.58</v>
      </c>
      <c r="F1066" s="3">
        <v>107.74</v>
      </c>
      <c r="G1066" s="3">
        <v>79</v>
      </c>
      <c r="H1066" s="3">
        <v>83.44</v>
      </c>
      <c r="I1066" s="3">
        <v>83.46</v>
      </c>
      <c r="J1066" s="3">
        <v>116.03</v>
      </c>
      <c r="K1066" s="5">
        <f>FORECAST(A1066,K1060:K1065,A1060:A1065)</f>
        <v>32.656652360515181</v>
      </c>
      <c r="L1066" s="5">
        <f>FORECAST(A1066,L1060:L1065,A1060:A1065)</f>
        <v>76763.827682403848</v>
      </c>
      <c r="M1066" s="5">
        <f>FORECAST(A1066,M1060:M1065,A1060:A1065)</f>
        <v>54845.881244635209</v>
      </c>
      <c r="N1066" s="3">
        <v>10.234999999999999</v>
      </c>
      <c r="O1066" s="3">
        <v>5.3760000000000002E-2</v>
      </c>
      <c r="P1066" s="3">
        <v>1.9319999999999999</v>
      </c>
      <c r="Q1066" s="3">
        <v>128.68</v>
      </c>
      <c r="R1066" s="3">
        <v>28.73</v>
      </c>
      <c r="S1066" s="1">
        <f>S1067</f>
        <v>156.19999999999999</v>
      </c>
    </row>
    <row r="1067" spans="1:19" ht="14.4" x14ac:dyDescent="0.3">
      <c r="A1067" s="2">
        <v>45414</v>
      </c>
      <c r="B1067" s="3">
        <v>71.77</v>
      </c>
      <c r="C1067" s="3">
        <v>91.31</v>
      </c>
      <c r="D1067" s="3">
        <v>103.78</v>
      </c>
      <c r="E1067" s="3">
        <v>103.58</v>
      </c>
      <c r="F1067" s="3">
        <v>107.74</v>
      </c>
      <c r="G1067" s="3">
        <v>78.95</v>
      </c>
      <c r="H1067" s="3">
        <v>83.67</v>
      </c>
      <c r="I1067" s="3">
        <v>83.87</v>
      </c>
      <c r="J1067" s="3">
        <v>116.24</v>
      </c>
      <c r="K1067" s="3">
        <v>32.6</v>
      </c>
      <c r="L1067" s="3">
        <v>76046.850000000006</v>
      </c>
      <c r="M1067" s="3">
        <v>52363.42</v>
      </c>
      <c r="N1067" s="3">
        <v>10.41</v>
      </c>
      <c r="O1067" s="3">
        <v>5.3900000000000003E-2</v>
      </c>
      <c r="P1067" s="3">
        <v>2.0350000000000001</v>
      </c>
      <c r="Q1067" s="3">
        <v>126.54</v>
      </c>
      <c r="R1067" s="3">
        <v>30.914999999999999</v>
      </c>
      <c r="S1067" s="3">
        <v>156.19999999999999</v>
      </c>
    </row>
    <row r="1068" spans="1:19" ht="14.4" x14ac:dyDescent="0.3">
      <c r="A1068" s="2">
        <v>45415</v>
      </c>
      <c r="B1068" s="3">
        <v>71.540000000000006</v>
      </c>
      <c r="C1068" s="3">
        <v>91.37</v>
      </c>
      <c r="D1068" s="3">
        <v>102.73</v>
      </c>
      <c r="E1068" s="3">
        <v>106.02</v>
      </c>
      <c r="F1068" s="3">
        <v>107.08</v>
      </c>
      <c r="G1068" s="3">
        <v>78.11</v>
      </c>
      <c r="H1068" s="3">
        <v>82.96</v>
      </c>
      <c r="I1068" s="3">
        <v>83.2</v>
      </c>
      <c r="J1068" s="3">
        <v>116</v>
      </c>
      <c r="K1068" s="3">
        <v>33.200000000000003</v>
      </c>
      <c r="L1068" s="3">
        <v>76428.33</v>
      </c>
      <c r="M1068" s="3">
        <v>51988.46</v>
      </c>
      <c r="N1068" s="3">
        <v>10.47</v>
      </c>
      <c r="O1068" s="3">
        <v>5.4010000000000002E-2</v>
      </c>
      <c r="P1068" s="3">
        <v>2.1419999999999999</v>
      </c>
      <c r="Q1068" s="3">
        <v>130.5</v>
      </c>
      <c r="R1068" s="3">
        <v>30.53</v>
      </c>
      <c r="S1068" s="3">
        <v>157.55000000000001</v>
      </c>
    </row>
    <row r="1069" spans="1:19" ht="14.4" x14ac:dyDescent="0.3">
      <c r="A1069" s="2">
        <v>45418</v>
      </c>
      <c r="B1069" s="1">
        <f t="shared" ref="B1069:F1069" si="70">B1068</f>
        <v>71.540000000000006</v>
      </c>
      <c r="C1069" s="1">
        <f t="shared" si="70"/>
        <v>91.37</v>
      </c>
      <c r="D1069" s="1">
        <f t="shared" si="70"/>
        <v>102.73</v>
      </c>
      <c r="E1069" s="1">
        <f t="shared" si="70"/>
        <v>106.02</v>
      </c>
      <c r="F1069" s="1">
        <f t="shared" si="70"/>
        <v>107.08</v>
      </c>
      <c r="G1069" s="3">
        <v>78.48</v>
      </c>
      <c r="H1069" s="3">
        <v>83.33</v>
      </c>
      <c r="I1069" s="3">
        <v>83.56</v>
      </c>
      <c r="J1069" s="3">
        <v>116.75</v>
      </c>
      <c r="K1069" s="3">
        <v>33.549999999999997</v>
      </c>
      <c r="L1069" s="3">
        <v>76776.45</v>
      </c>
      <c r="M1069" s="3">
        <v>53586.93</v>
      </c>
      <c r="N1069" s="3">
        <v>10.47</v>
      </c>
      <c r="O1069" s="3">
        <v>5.4089999999999999E-2</v>
      </c>
      <c r="P1069" s="3">
        <v>2.1949999999999998</v>
      </c>
      <c r="Q1069" s="3">
        <v>131.28</v>
      </c>
      <c r="R1069" s="3">
        <v>31.8</v>
      </c>
      <c r="S1069" s="3">
        <v>152.94999999999999</v>
      </c>
    </row>
    <row r="1070" spans="1:19" ht="14.4" x14ac:dyDescent="0.3">
      <c r="A1070" s="2">
        <v>45419</v>
      </c>
      <c r="B1070" s="3">
        <v>71.540000000000006</v>
      </c>
      <c r="C1070" s="3">
        <v>91.37</v>
      </c>
      <c r="D1070" s="3">
        <v>102.73</v>
      </c>
      <c r="E1070" s="3">
        <v>106.02</v>
      </c>
      <c r="F1070" s="3">
        <v>107.08</v>
      </c>
      <c r="G1070" s="3">
        <v>78.38</v>
      </c>
      <c r="H1070" s="3">
        <v>83.16</v>
      </c>
      <c r="I1070" s="3">
        <v>83.57</v>
      </c>
      <c r="J1070" s="3">
        <v>116.17</v>
      </c>
      <c r="K1070" s="3">
        <v>33.9</v>
      </c>
      <c r="L1070" s="3">
        <v>76929.48</v>
      </c>
      <c r="M1070" s="3">
        <v>52907.35</v>
      </c>
      <c r="N1070" s="3">
        <v>10.5</v>
      </c>
      <c r="O1070" s="3">
        <v>5.398E-2</v>
      </c>
      <c r="P1070" s="3">
        <v>2.2069999999999999</v>
      </c>
      <c r="Q1070" s="3">
        <v>133.72</v>
      </c>
      <c r="R1070" s="3">
        <v>31.065000000000001</v>
      </c>
      <c r="S1070" s="3">
        <v>148.69999999999999</v>
      </c>
    </row>
    <row r="1071" spans="1:19" ht="14.4" x14ac:dyDescent="0.3">
      <c r="A1071" s="2">
        <v>45420</v>
      </c>
      <c r="B1071" s="3">
        <v>71.540000000000006</v>
      </c>
      <c r="C1071" s="3">
        <v>91.37</v>
      </c>
      <c r="D1071" s="3">
        <v>102.73</v>
      </c>
      <c r="E1071" s="3">
        <v>106.02</v>
      </c>
      <c r="F1071" s="3">
        <v>107.08</v>
      </c>
      <c r="G1071" s="3">
        <v>78.989999999999995</v>
      </c>
      <c r="H1071" s="3">
        <v>83.58</v>
      </c>
      <c r="I1071" s="3">
        <v>84.16</v>
      </c>
      <c r="J1071" s="3">
        <v>116.15</v>
      </c>
      <c r="K1071" s="3">
        <v>34.450000000000003</v>
      </c>
      <c r="L1071" s="3">
        <v>77177.429999999993</v>
      </c>
      <c r="M1071" s="3">
        <v>53084.93</v>
      </c>
      <c r="N1071" s="3">
        <v>10.46</v>
      </c>
      <c r="O1071" s="3">
        <v>5.3839999999999999E-2</v>
      </c>
      <c r="P1071" s="3">
        <v>2.1869999999999998</v>
      </c>
      <c r="Q1071" s="3">
        <v>133.38999999999999</v>
      </c>
      <c r="R1071" s="3">
        <v>30.61</v>
      </c>
      <c r="S1071" s="3">
        <v>147.5</v>
      </c>
    </row>
    <row r="1072" spans="1:19" ht="14.4" x14ac:dyDescent="0.3">
      <c r="A1072" s="2">
        <v>45421</v>
      </c>
      <c r="B1072" s="3">
        <v>71.540000000000006</v>
      </c>
      <c r="C1072" s="3">
        <v>91.37</v>
      </c>
      <c r="D1072" s="3">
        <v>102.73</v>
      </c>
      <c r="E1072" s="3">
        <v>106.02</v>
      </c>
      <c r="F1072" s="3">
        <v>107.08</v>
      </c>
      <c r="G1072" s="3">
        <v>79.260000000000005</v>
      </c>
      <c r="H1072" s="3">
        <v>83.88</v>
      </c>
      <c r="I1072" s="3">
        <v>84.18</v>
      </c>
      <c r="J1072" s="3">
        <v>118.44</v>
      </c>
      <c r="K1072" s="3">
        <v>34.4</v>
      </c>
      <c r="L1072" s="3">
        <v>77539.149999999994</v>
      </c>
      <c r="M1072" s="3">
        <v>53977.68</v>
      </c>
      <c r="N1072" s="3">
        <v>10.46</v>
      </c>
      <c r="O1072" s="3">
        <v>5.4100000000000002E-2</v>
      </c>
      <c r="P1072" s="3">
        <v>2.3010000000000002</v>
      </c>
      <c r="Q1072" s="3">
        <v>134.94999999999999</v>
      </c>
      <c r="R1072" s="3">
        <v>30.864999999999998</v>
      </c>
      <c r="S1072" s="3">
        <v>142.80000000000001</v>
      </c>
    </row>
    <row r="1073" spans="1:19" ht="14.4" x14ac:dyDescent="0.3">
      <c r="A1073" s="2">
        <v>45422</v>
      </c>
      <c r="B1073" s="3">
        <v>72.05</v>
      </c>
      <c r="C1073" s="3">
        <v>92.93</v>
      </c>
      <c r="D1073" s="3">
        <v>104.89</v>
      </c>
      <c r="E1073" s="3">
        <v>106.02</v>
      </c>
      <c r="F1073" s="3">
        <v>108.05</v>
      </c>
      <c r="G1073" s="3">
        <v>78.260000000000005</v>
      </c>
      <c r="H1073" s="3">
        <v>82.79</v>
      </c>
      <c r="I1073" s="3">
        <v>83.65</v>
      </c>
      <c r="J1073" s="3">
        <v>117.96</v>
      </c>
      <c r="K1073" s="3">
        <v>36.5</v>
      </c>
      <c r="L1073" s="3">
        <v>78464.22</v>
      </c>
      <c r="M1073" s="3">
        <v>55943.14</v>
      </c>
      <c r="N1073" s="3">
        <v>10.475</v>
      </c>
      <c r="O1073" s="3">
        <v>5.4170000000000003E-2</v>
      </c>
      <c r="P1073" s="3">
        <v>2.2519999999999998</v>
      </c>
      <c r="Q1073" s="3">
        <v>133.99</v>
      </c>
      <c r="R1073" s="3">
        <v>30.03</v>
      </c>
      <c r="S1073" s="3">
        <v>145.05000000000001</v>
      </c>
    </row>
    <row r="1074" spans="1:19" ht="14.4" x14ac:dyDescent="0.3">
      <c r="A1074" s="2">
        <v>45425</v>
      </c>
      <c r="B1074" s="3">
        <v>72.05</v>
      </c>
      <c r="C1074" s="3">
        <v>92.93</v>
      </c>
      <c r="D1074" s="3">
        <v>104.89</v>
      </c>
      <c r="E1074" s="3">
        <v>106.05</v>
      </c>
      <c r="F1074" s="3">
        <v>108.05</v>
      </c>
      <c r="G1074" s="3">
        <v>79.12</v>
      </c>
      <c r="H1074" s="3">
        <v>83.36</v>
      </c>
      <c r="I1074" s="3">
        <v>84.14</v>
      </c>
      <c r="J1074" s="3">
        <v>117.91</v>
      </c>
      <c r="K1074" s="3">
        <v>36.15</v>
      </c>
      <c r="L1074" s="3">
        <v>78686.89</v>
      </c>
      <c r="M1074" s="3">
        <v>55453.2</v>
      </c>
      <c r="N1074" s="3">
        <v>10.45</v>
      </c>
      <c r="O1074" s="3">
        <v>5.4429999999999999E-2</v>
      </c>
      <c r="P1074" s="3">
        <v>2.3809999999999998</v>
      </c>
      <c r="Q1074" s="3">
        <v>133.74</v>
      </c>
      <c r="R1074" s="3">
        <v>29.58</v>
      </c>
      <c r="S1074" s="3">
        <v>145.1</v>
      </c>
    </row>
    <row r="1075" spans="1:19" ht="14.4" x14ac:dyDescent="0.3">
      <c r="A1075" s="2">
        <v>45426</v>
      </c>
      <c r="B1075" s="3">
        <v>72.05</v>
      </c>
      <c r="C1075" s="3">
        <v>92.93</v>
      </c>
      <c r="D1075" s="3">
        <v>104.89</v>
      </c>
      <c r="E1075" s="3">
        <v>106.05</v>
      </c>
      <c r="F1075" s="3">
        <v>108.05</v>
      </c>
      <c r="G1075" s="3">
        <v>78.02</v>
      </c>
      <c r="H1075" s="3">
        <v>82.38</v>
      </c>
      <c r="I1075" s="3">
        <v>83.56</v>
      </c>
      <c r="J1075" s="3">
        <v>117.67</v>
      </c>
      <c r="K1075" s="3">
        <v>35.549999999999997</v>
      </c>
      <c r="L1075" s="3">
        <v>78632.58</v>
      </c>
      <c r="M1075" s="3">
        <v>55351.62</v>
      </c>
      <c r="N1075" s="3">
        <v>10.45</v>
      </c>
      <c r="O1075" s="3">
        <v>5.4449999999999998E-2</v>
      </c>
      <c r="P1075" s="3">
        <v>2.3439999999999999</v>
      </c>
      <c r="Q1075" s="3">
        <v>134.38999999999999</v>
      </c>
      <c r="R1075" s="3">
        <v>29.67</v>
      </c>
      <c r="S1075" s="3">
        <v>144.85</v>
      </c>
    </row>
    <row r="1076" spans="1:19" ht="14.4" x14ac:dyDescent="0.3">
      <c r="A1076" s="2">
        <v>45427</v>
      </c>
      <c r="B1076" s="3">
        <v>72.05</v>
      </c>
      <c r="C1076" s="3">
        <v>92.93</v>
      </c>
      <c r="D1076" s="3">
        <v>104.89</v>
      </c>
      <c r="E1076" s="3">
        <v>106.05</v>
      </c>
      <c r="F1076" s="3">
        <v>108.05</v>
      </c>
      <c r="G1076" s="3">
        <v>78.63</v>
      </c>
      <c r="H1076" s="3">
        <v>82.75</v>
      </c>
      <c r="I1076" s="3">
        <v>83.67</v>
      </c>
      <c r="J1076" s="3">
        <v>118.58</v>
      </c>
      <c r="K1076" s="5">
        <f>FORECAST(A1076,K1070:K1075,A1070:A1075)</f>
        <v>36.464163090129659</v>
      </c>
      <c r="L1076" s="3">
        <v>79361.570000000007</v>
      </c>
      <c r="M1076" s="3">
        <v>56268.57</v>
      </c>
      <c r="N1076" s="3">
        <v>10.468999999999999</v>
      </c>
      <c r="O1076" s="3">
        <v>5.4699999999999999E-2</v>
      </c>
      <c r="P1076" s="3">
        <v>2.4159999999999999</v>
      </c>
      <c r="Q1076" s="3">
        <v>137.87</v>
      </c>
      <c r="R1076" s="3">
        <v>29.734999999999999</v>
      </c>
      <c r="S1076" s="3">
        <v>145.55000000000001</v>
      </c>
    </row>
    <row r="1077" spans="1:19" ht="14.4" x14ac:dyDescent="0.3">
      <c r="A1077" s="2">
        <v>45428</v>
      </c>
      <c r="B1077" s="3">
        <v>72.05</v>
      </c>
      <c r="C1077" s="3">
        <v>92.93</v>
      </c>
      <c r="D1077" s="3">
        <v>104.89</v>
      </c>
      <c r="E1077" s="3">
        <v>106.05</v>
      </c>
      <c r="F1077" s="3">
        <v>108.05</v>
      </c>
      <c r="G1077" s="3">
        <v>79.23</v>
      </c>
      <c r="H1077" s="3">
        <v>83.27</v>
      </c>
      <c r="I1077" s="3">
        <v>83.94</v>
      </c>
      <c r="J1077" s="3">
        <v>117.87</v>
      </c>
      <c r="K1077" s="3">
        <v>35.799999999999997</v>
      </c>
      <c r="L1077" s="3">
        <v>79508.98</v>
      </c>
      <c r="M1077" s="3">
        <v>55309.59</v>
      </c>
      <c r="N1077" s="3">
        <v>11.045</v>
      </c>
      <c r="O1077" s="3">
        <v>5.491E-2</v>
      </c>
      <c r="P1077" s="3">
        <v>2.4950000000000001</v>
      </c>
      <c r="Q1077" s="3">
        <v>137.11000000000001</v>
      </c>
      <c r="R1077" s="3">
        <v>30.25</v>
      </c>
      <c r="S1077" s="3">
        <v>148</v>
      </c>
    </row>
    <row r="1078" spans="1:19" ht="14.4" x14ac:dyDescent="0.3">
      <c r="A1078" s="2">
        <v>45429</v>
      </c>
      <c r="B1078" s="3">
        <v>71.86</v>
      </c>
      <c r="C1078" s="3">
        <v>92.39</v>
      </c>
      <c r="D1078" s="3">
        <v>103.69</v>
      </c>
      <c r="E1078" s="3">
        <v>106.05</v>
      </c>
      <c r="F1078" s="3">
        <v>108.7</v>
      </c>
      <c r="G1078" s="3">
        <v>80.06</v>
      </c>
      <c r="H1078" s="3">
        <v>83.98</v>
      </c>
      <c r="I1078" s="3">
        <v>84.38</v>
      </c>
      <c r="J1078" s="3">
        <v>119.64</v>
      </c>
      <c r="K1078" s="3">
        <v>35.85</v>
      </c>
      <c r="L1078" s="3">
        <v>79530.63</v>
      </c>
      <c r="M1078" s="3">
        <v>56788.87</v>
      </c>
      <c r="N1078" s="3">
        <v>11.16</v>
      </c>
      <c r="O1078" s="3">
        <v>5.5059999999999998E-2</v>
      </c>
      <c r="P1078" s="3">
        <v>2.6259999999999999</v>
      </c>
      <c r="Q1078" s="3">
        <v>138.4</v>
      </c>
      <c r="R1078" s="3">
        <v>30.768999999999998</v>
      </c>
      <c r="S1078" s="3">
        <v>151.4</v>
      </c>
    </row>
    <row r="1079" spans="1:19" ht="14.4" x14ac:dyDescent="0.3">
      <c r="A1079" s="2">
        <v>45432</v>
      </c>
      <c r="B1079" s="3">
        <v>71.86</v>
      </c>
      <c r="C1079" s="3">
        <v>92.39</v>
      </c>
      <c r="D1079" s="3">
        <v>103.69</v>
      </c>
      <c r="E1079" s="3">
        <v>110.38</v>
      </c>
      <c r="F1079" s="3">
        <v>108.7</v>
      </c>
      <c r="G1079" s="3">
        <v>79.8</v>
      </c>
      <c r="H1079" s="3">
        <v>83.71</v>
      </c>
      <c r="I1079" s="3">
        <v>84.33</v>
      </c>
      <c r="J1079" s="3">
        <v>118.67</v>
      </c>
      <c r="K1079" s="3">
        <v>36.25</v>
      </c>
      <c r="L1079" s="3">
        <v>80072.990000000005</v>
      </c>
      <c r="M1079" s="3">
        <v>58180.36</v>
      </c>
      <c r="N1079" s="3">
        <v>11.505000000000001</v>
      </c>
      <c r="O1079" s="3">
        <v>5.4899999999999997E-2</v>
      </c>
      <c r="P1079" s="3">
        <v>2.7509999999999999</v>
      </c>
      <c r="Q1079" s="3">
        <v>136.94999999999999</v>
      </c>
      <c r="R1079" s="3">
        <v>31.77</v>
      </c>
      <c r="S1079" s="1">
        <f>S1080</f>
        <v>160.44999999999999</v>
      </c>
    </row>
    <row r="1080" spans="1:19" ht="14.4" x14ac:dyDescent="0.3">
      <c r="A1080" s="2">
        <v>45433</v>
      </c>
      <c r="B1080" s="3">
        <v>71.86</v>
      </c>
      <c r="C1080" s="3">
        <v>92.39</v>
      </c>
      <c r="D1080" s="3">
        <v>103.69</v>
      </c>
      <c r="E1080" s="3">
        <v>110.38</v>
      </c>
      <c r="F1080" s="3">
        <v>108.7</v>
      </c>
      <c r="G1080" s="3">
        <v>79.260000000000005</v>
      </c>
      <c r="H1080" s="3">
        <v>82.88</v>
      </c>
      <c r="I1080" s="3">
        <v>84.13</v>
      </c>
      <c r="J1080" s="3">
        <v>117.85</v>
      </c>
      <c r="K1080" s="3">
        <v>36.85</v>
      </c>
      <c r="L1080" s="3">
        <v>79808.070000000007</v>
      </c>
      <c r="M1080" s="3">
        <v>57529.74</v>
      </c>
      <c r="N1080" s="3">
        <v>11.824999999999999</v>
      </c>
      <c r="O1080" s="3">
        <v>5.5289999999999999E-2</v>
      </c>
      <c r="P1080" s="3">
        <v>2.6709999999999998</v>
      </c>
      <c r="Q1080" s="3">
        <v>137.27000000000001</v>
      </c>
      <c r="R1080" s="3">
        <v>33.005000000000003</v>
      </c>
      <c r="S1080" s="3">
        <v>160.44999999999999</v>
      </c>
    </row>
    <row r="1081" spans="1:19" ht="14.4" x14ac:dyDescent="0.3">
      <c r="A1081" s="2">
        <v>45434</v>
      </c>
      <c r="B1081" s="3">
        <v>71.86</v>
      </c>
      <c r="C1081" s="3">
        <v>92.39</v>
      </c>
      <c r="D1081" s="3">
        <v>103.69</v>
      </c>
      <c r="E1081" s="3">
        <v>110.38</v>
      </c>
      <c r="F1081" s="3">
        <v>108.7</v>
      </c>
      <c r="G1081" s="3">
        <v>77.569999999999993</v>
      </c>
      <c r="H1081" s="3">
        <v>81.900000000000006</v>
      </c>
      <c r="I1081" s="3">
        <v>83.76</v>
      </c>
      <c r="J1081" s="3">
        <v>115.48</v>
      </c>
      <c r="K1081" s="3">
        <v>36.450000000000003</v>
      </c>
      <c r="L1081" s="3">
        <v>79492.570000000007</v>
      </c>
      <c r="M1081" s="3">
        <v>56242.51</v>
      </c>
      <c r="N1081" s="3">
        <v>11.975</v>
      </c>
      <c r="O1081" s="3">
        <v>5.4730000000000001E-2</v>
      </c>
      <c r="P1081" s="3">
        <v>2.8420000000000001</v>
      </c>
      <c r="Q1081" s="3">
        <v>136.88999999999999</v>
      </c>
      <c r="R1081" s="3">
        <v>34.39</v>
      </c>
      <c r="S1081" s="3">
        <v>154.5</v>
      </c>
    </row>
    <row r="1082" spans="1:19" ht="14.4" x14ac:dyDescent="0.3">
      <c r="A1082" s="2">
        <v>45435</v>
      </c>
      <c r="B1082" s="3">
        <v>71.86</v>
      </c>
      <c r="C1082" s="3">
        <v>92.39</v>
      </c>
      <c r="D1082" s="3">
        <v>103.69</v>
      </c>
      <c r="E1082" s="3">
        <v>110.38</v>
      </c>
      <c r="F1082" s="3">
        <v>108.7</v>
      </c>
      <c r="G1082" s="3">
        <v>76.87</v>
      </c>
      <c r="H1082" s="3">
        <v>81.36</v>
      </c>
      <c r="I1082" s="3">
        <v>83.65</v>
      </c>
      <c r="J1082" s="3">
        <v>113.51</v>
      </c>
      <c r="K1082" s="3">
        <v>36.65</v>
      </c>
      <c r="L1082" s="3">
        <v>78956.070000000007</v>
      </c>
      <c r="M1082" s="3">
        <v>54500.95</v>
      </c>
      <c r="N1082" s="3">
        <v>12.255000000000001</v>
      </c>
      <c r="O1082" s="3">
        <v>5.4080000000000003E-2</v>
      </c>
      <c r="P1082" s="3">
        <v>2.657</v>
      </c>
      <c r="Q1082" s="3">
        <v>135.4</v>
      </c>
      <c r="R1082" s="3">
        <v>35.229999999999997</v>
      </c>
      <c r="S1082" s="3">
        <v>155.75</v>
      </c>
    </row>
    <row r="1083" spans="1:19" ht="14.4" x14ac:dyDescent="0.3">
      <c r="A1083" s="2">
        <v>45436</v>
      </c>
      <c r="B1083" s="3">
        <v>74.87</v>
      </c>
      <c r="C1083" s="3">
        <v>95.36</v>
      </c>
      <c r="D1083" s="3">
        <v>107.11</v>
      </c>
      <c r="E1083" s="3">
        <v>111.35</v>
      </c>
      <c r="F1083" s="3">
        <v>111.29</v>
      </c>
      <c r="G1083" s="3">
        <v>77.72</v>
      </c>
      <c r="H1083" s="3">
        <v>82.12</v>
      </c>
      <c r="I1083" s="3">
        <v>83.83</v>
      </c>
      <c r="J1083" s="3">
        <v>113.42</v>
      </c>
      <c r="K1083" s="3">
        <v>36.25</v>
      </c>
      <c r="L1083" s="3">
        <v>79150.84</v>
      </c>
      <c r="M1083" s="3">
        <v>55282.35</v>
      </c>
      <c r="N1083" s="3">
        <v>11.94</v>
      </c>
      <c r="O1083" s="3">
        <v>5.4190000000000002E-2</v>
      </c>
      <c r="P1083" s="3">
        <v>2.52</v>
      </c>
      <c r="Q1083" s="3">
        <v>136.34</v>
      </c>
      <c r="R1083" s="3">
        <v>34.115000000000002</v>
      </c>
      <c r="S1083" s="3">
        <v>157.75</v>
      </c>
    </row>
    <row r="1084" spans="1:19" ht="14.4" x14ac:dyDescent="0.3">
      <c r="A1084" s="2">
        <v>45439</v>
      </c>
      <c r="B1084" s="1">
        <f t="shared" ref="B1084:F1084" si="71">B1083</f>
        <v>74.87</v>
      </c>
      <c r="C1084" s="1">
        <f t="shared" si="71"/>
        <v>95.36</v>
      </c>
      <c r="D1084" s="1">
        <f t="shared" si="71"/>
        <v>107.11</v>
      </c>
      <c r="E1084" s="1">
        <f t="shared" si="71"/>
        <v>111.35</v>
      </c>
      <c r="F1084" s="1">
        <f t="shared" si="71"/>
        <v>111.29</v>
      </c>
      <c r="G1084" s="3">
        <v>78.650000000000006</v>
      </c>
      <c r="H1084" s="3">
        <v>83.1</v>
      </c>
      <c r="I1084" s="1">
        <f>(I1083+I1085)/2</f>
        <v>83.990000000000009</v>
      </c>
      <c r="J1084" s="1">
        <f>(J1083+J1085)/2</f>
        <v>114.15</v>
      </c>
      <c r="K1084" s="3">
        <v>36.85</v>
      </c>
      <c r="L1084" s="3">
        <v>78920.88</v>
      </c>
      <c r="M1084" s="3">
        <v>55974.62</v>
      </c>
      <c r="N1084" s="5">
        <f>FORECAST(A1084,N1078:N1083,A1078:A1083)</f>
        <v>12.605945945945678</v>
      </c>
      <c r="O1084" s="3">
        <v>5.4449999999999998E-2</v>
      </c>
      <c r="P1084" s="3">
        <v>2.78</v>
      </c>
      <c r="Q1084" s="1">
        <f>AVERAGE(Q1083,Q1085)</f>
        <v>135.005</v>
      </c>
      <c r="R1084" s="3">
        <v>34.799999999999997</v>
      </c>
      <c r="S1084" s="3">
        <v>160.80000000000001</v>
      </c>
    </row>
    <row r="1085" spans="1:19" ht="14.4" x14ac:dyDescent="0.3">
      <c r="A1085" s="2">
        <v>45440</v>
      </c>
      <c r="B1085" s="3">
        <v>74.87</v>
      </c>
      <c r="C1085" s="3">
        <v>95.36</v>
      </c>
      <c r="D1085" s="3">
        <v>107.11</v>
      </c>
      <c r="E1085" s="3">
        <v>111.35</v>
      </c>
      <c r="F1085" s="3">
        <v>111.29</v>
      </c>
      <c r="G1085" s="3">
        <v>79.83</v>
      </c>
      <c r="H1085" s="3">
        <v>84.22</v>
      </c>
      <c r="I1085" s="3">
        <v>84.15</v>
      </c>
      <c r="J1085" s="3">
        <v>114.88</v>
      </c>
      <c r="K1085" s="3">
        <v>37.65</v>
      </c>
      <c r="L1085" s="3">
        <v>78576.14</v>
      </c>
      <c r="M1085" s="3">
        <v>55218.1</v>
      </c>
      <c r="N1085" s="3">
        <v>11.955</v>
      </c>
      <c r="O1085" s="3">
        <v>5.4690000000000003E-2</v>
      </c>
      <c r="P1085" s="3">
        <v>2.59</v>
      </c>
      <c r="Q1085" s="3">
        <v>133.66999999999999</v>
      </c>
      <c r="R1085" s="3">
        <v>33.534999999999997</v>
      </c>
      <c r="S1085" s="3">
        <v>157.15</v>
      </c>
    </row>
    <row r="1086" spans="1:19" ht="14.4" x14ac:dyDescent="0.3">
      <c r="A1086" s="2">
        <v>45441</v>
      </c>
      <c r="B1086" s="3">
        <v>74.87</v>
      </c>
      <c r="C1086" s="3">
        <v>95.36</v>
      </c>
      <c r="D1086" s="3">
        <v>107.11</v>
      </c>
      <c r="E1086" s="3">
        <v>111.35</v>
      </c>
      <c r="F1086" s="3">
        <v>111.29</v>
      </c>
      <c r="G1086" s="3">
        <v>79.23</v>
      </c>
      <c r="H1086" s="3">
        <v>83.6</v>
      </c>
      <c r="I1086" s="3">
        <v>84.05</v>
      </c>
      <c r="J1086" s="3">
        <v>113.63</v>
      </c>
      <c r="K1086" s="3">
        <v>38.200000000000003</v>
      </c>
      <c r="L1086" s="5">
        <f>FORECAST(A1086,L1080:L1085,A1080:A1085)</f>
        <v>78472.562231759541</v>
      </c>
      <c r="M1086" s="5">
        <f>FORECAST(A1086,M1080:M1085,A1080:A1085)</f>
        <v>54973.614635192789</v>
      </c>
      <c r="N1086" s="3">
        <v>11.83</v>
      </c>
      <c r="O1086" s="3">
        <v>5.4289999999999998E-2</v>
      </c>
      <c r="P1086" s="3">
        <v>2.4929999999999999</v>
      </c>
      <c r="Q1086" s="3">
        <v>131.94999999999999</v>
      </c>
      <c r="R1086" s="3">
        <v>33.880000000000003</v>
      </c>
      <c r="S1086" s="3">
        <v>156.80000000000001</v>
      </c>
    </row>
    <row r="1087" spans="1:19" ht="14.4" x14ac:dyDescent="0.3">
      <c r="A1087" s="2">
        <v>45442</v>
      </c>
      <c r="B1087" s="3">
        <v>74.87</v>
      </c>
      <c r="C1087" s="3">
        <v>95.36</v>
      </c>
      <c r="D1087" s="3">
        <v>107.11</v>
      </c>
      <c r="E1087" s="3">
        <v>111.35</v>
      </c>
      <c r="F1087" s="3">
        <v>111.29</v>
      </c>
      <c r="G1087" s="3">
        <v>77.91</v>
      </c>
      <c r="H1087" s="3">
        <v>81.86</v>
      </c>
      <c r="I1087" s="3">
        <v>84</v>
      </c>
      <c r="J1087" s="3">
        <v>113.99</v>
      </c>
      <c r="K1087" s="3">
        <v>37.5</v>
      </c>
      <c r="L1087" s="3">
        <v>77161.710000000006</v>
      </c>
      <c r="M1087" s="3">
        <v>54703.4</v>
      </c>
      <c r="N1087" s="3">
        <v>11.96</v>
      </c>
      <c r="O1087" s="3">
        <v>5.33E-2</v>
      </c>
      <c r="P1087" s="3">
        <v>2.5720000000000001</v>
      </c>
      <c r="Q1087" s="3">
        <v>133.24</v>
      </c>
      <c r="R1087" s="3">
        <v>35.192</v>
      </c>
      <c r="S1087" s="3">
        <v>154.30000000000001</v>
      </c>
    </row>
    <row r="1088" spans="1:19" ht="14.4" x14ac:dyDescent="0.3">
      <c r="A1088" s="2">
        <v>45443</v>
      </c>
      <c r="B1088" s="3">
        <v>76.97</v>
      </c>
      <c r="C1088" s="3">
        <v>98.19</v>
      </c>
      <c r="D1088" s="3">
        <v>110.11</v>
      </c>
      <c r="E1088" s="3">
        <v>111.35</v>
      </c>
      <c r="F1088" s="3">
        <v>111.73</v>
      </c>
      <c r="G1088" s="3">
        <v>76.989999999999995</v>
      </c>
      <c r="H1088" s="3">
        <v>81.62</v>
      </c>
      <c r="I1088" s="3">
        <v>84.04</v>
      </c>
      <c r="J1088" s="3">
        <v>117.26</v>
      </c>
      <c r="K1088" s="3">
        <v>37.950000000000003</v>
      </c>
      <c r="L1088" s="3">
        <v>76704.259999999995</v>
      </c>
      <c r="M1088" s="3">
        <v>53620.26</v>
      </c>
      <c r="N1088" s="3">
        <v>11.904999999999999</v>
      </c>
      <c r="O1088" s="3">
        <v>5.3129999999999997E-2</v>
      </c>
      <c r="P1088" s="3">
        <v>2.5870000000000002</v>
      </c>
      <c r="Q1088" s="3">
        <v>133.9</v>
      </c>
      <c r="R1088" s="3">
        <v>34.222999999999999</v>
      </c>
      <c r="S1088" s="3">
        <v>153.15</v>
      </c>
    </row>
    <row r="1089" spans="1:19" ht="14.4" x14ac:dyDescent="0.3">
      <c r="A1089" s="2">
        <v>45446</v>
      </c>
      <c r="B1089" s="3">
        <v>76.97</v>
      </c>
      <c r="C1089" s="3">
        <v>98.19</v>
      </c>
      <c r="D1089" s="3">
        <v>110.11</v>
      </c>
      <c r="E1089" s="3">
        <v>109.62</v>
      </c>
      <c r="F1089" s="3">
        <v>111.73</v>
      </c>
      <c r="G1089" s="3">
        <v>74.22</v>
      </c>
      <c r="H1089" s="3">
        <v>78.22</v>
      </c>
      <c r="I1089" s="3">
        <v>79.17</v>
      </c>
      <c r="J1089" s="3">
        <v>114.45</v>
      </c>
      <c r="K1089" s="3">
        <v>38.1</v>
      </c>
      <c r="L1089" s="3">
        <v>77746.23</v>
      </c>
      <c r="M1089" s="3">
        <v>53005.87</v>
      </c>
      <c r="N1089" s="3">
        <v>12.05</v>
      </c>
      <c r="O1089" s="3">
        <v>5.4030000000000002E-2</v>
      </c>
      <c r="P1089" s="3">
        <v>2.8039999999999998</v>
      </c>
      <c r="Q1089" s="3">
        <v>133.65</v>
      </c>
      <c r="R1089" s="3">
        <v>36.015000000000001</v>
      </c>
      <c r="S1089" s="3">
        <v>157.80000000000001</v>
      </c>
    </row>
    <row r="1090" spans="1:19" ht="14.4" x14ac:dyDescent="0.3">
      <c r="A1090" s="2">
        <v>45447</v>
      </c>
      <c r="B1090" s="3">
        <v>76.97</v>
      </c>
      <c r="C1090" s="3">
        <v>98.19</v>
      </c>
      <c r="D1090" s="3">
        <v>110.11</v>
      </c>
      <c r="E1090" s="3">
        <v>109.62</v>
      </c>
      <c r="F1090" s="3">
        <v>111.73</v>
      </c>
      <c r="G1090" s="3">
        <v>73.25</v>
      </c>
      <c r="H1090" s="3">
        <v>77.27</v>
      </c>
      <c r="I1090" s="3">
        <v>78.459999999999994</v>
      </c>
      <c r="J1090" s="3">
        <v>112.67</v>
      </c>
      <c r="K1090" s="3">
        <v>37.65</v>
      </c>
      <c r="L1090" s="3">
        <v>76832.740000000005</v>
      </c>
      <c r="M1090" s="3">
        <v>50842.04</v>
      </c>
      <c r="N1090" s="3">
        <v>11.99</v>
      </c>
      <c r="O1090" s="3">
        <v>5.3409999999999999E-2</v>
      </c>
      <c r="P1090" s="3">
        <v>2.67</v>
      </c>
      <c r="Q1090" s="3">
        <v>134.76</v>
      </c>
      <c r="R1090" s="3">
        <v>33.795000000000002</v>
      </c>
      <c r="S1090" s="3">
        <v>145.15</v>
      </c>
    </row>
    <row r="1091" spans="1:19" ht="14.4" x14ac:dyDescent="0.3">
      <c r="A1091" s="2">
        <v>45448</v>
      </c>
      <c r="B1091" s="3">
        <v>76.97</v>
      </c>
      <c r="C1091" s="3">
        <v>98.19</v>
      </c>
      <c r="D1091" s="3">
        <v>110.11</v>
      </c>
      <c r="E1091" s="3">
        <v>109.62</v>
      </c>
      <c r="F1091" s="3">
        <v>111.73</v>
      </c>
      <c r="G1091" s="3">
        <v>74.069999999999993</v>
      </c>
      <c r="H1091" s="3">
        <v>78.040000000000006</v>
      </c>
      <c r="I1091" s="3">
        <v>78.87</v>
      </c>
      <c r="J1091" s="3">
        <v>113.12</v>
      </c>
      <c r="K1091" s="3">
        <v>38.049999999999997</v>
      </c>
      <c r="L1091" s="3">
        <v>76829.13</v>
      </c>
      <c r="M1091" s="3">
        <v>51970.59</v>
      </c>
      <c r="N1091" s="3">
        <v>11.97</v>
      </c>
      <c r="O1091" s="3">
        <v>5.28E-2</v>
      </c>
      <c r="P1091" s="3">
        <v>2.8279999999999998</v>
      </c>
      <c r="Q1091" s="3">
        <v>135.34</v>
      </c>
      <c r="R1091" s="3">
        <v>33.354999999999997</v>
      </c>
      <c r="S1091" s="3">
        <v>156.94999999999999</v>
      </c>
    </row>
    <row r="1092" spans="1:19" ht="14.4" x14ac:dyDescent="0.3">
      <c r="A1092" s="2">
        <v>45449</v>
      </c>
      <c r="B1092" s="3">
        <v>76.97</v>
      </c>
      <c r="C1092" s="3">
        <v>98.19</v>
      </c>
      <c r="D1092" s="3">
        <v>110.11</v>
      </c>
      <c r="E1092" s="3">
        <v>109.62</v>
      </c>
      <c r="F1092" s="3">
        <v>111.73</v>
      </c>
      <c r="G1092" s="3">
        <v>75.55</v>
      </c>
      <c r="H1092" s="3">
        <v>79.5</v>
      </c>
      <c r="I1092" s="3">
        <v>80.010000000000005</v>
      </c>
      <c r="J1092" s="3">
        <v>113.97</v>
      </c>
      <c r="K1092" s="3">
        <v>39.25</v>
      </c>
      <c r="L1092" s="3">
        <v>77123.64</v>
      </c>
      <c r="M1092" s="3">
        <v>52735.64</v>
      </c>
      <c r="N1092" s="3">
        <v>11.984999999999999</v>
      </c>
      <c r="O1092" s="3">
        <v>5.2699999999999997E-2</v>
      </c>
      <c r="P1092" s="3">
        <v>2.8919999999999999</v>
      </c>
      <c r="Q1092" s="3">
        <v>134.86000000000001</v>
      </c>
      <c r="R1092" s="3">
        <v>33.685000000000002</v>
      </c>
      <c r="S1092" s="3">
        <v>162.55000000000001</v>
      </c>
    </row>
    <row r="1093" spans="1:19" ht="14.4" x14ac:dyDescent="0.3">
      <c r="A1093" s="2">
        <v>45450</v>
      </c>
      <c r="B1093" s="3">
        <v>76.13</v>
      </c>
      <c r="C1093" s="3">
        <v>96.98</v>
      </c>
      <c r="D1093" s="3">
        <v>108.91</v>
      </c>
      <c r="E1093" s="3">
        <v>109.62</v>
      </c>
      <c r="F1093" s="3">
        <v>112.64</v>
      </c>
      <c r="G1093" s="3">
        <v>75.53</v>
      </c>
      <c r="H1093" s="3">
        <v>79.34</v>
      </c>
      <c r="I1093" s="3">
        <v>79.790000000000006</v>
      </c>
      <c r="J1093" s="3">
        <v>112.75</v>
      </c>
      <c r="K1093" s="3">
        <v>39.799999999999997</v>
      </c>
      <c r="L1093" s="3">
        <v>76851.78</v>
      </c>
      <c r="M1093" s="3">
        <v>51250.81</v>
      </c>
      <c r="N1093" s="3">
        <v>11.97</v>
      </c>
      <c r="O1093" s="3">
        <v>5.2979999999999999E-2</v>
      </c>
      <c r="P1093" s="3">
        <v>2.996</v>
      </c>
      <c r="Q1093" s="3">
        <v>133.79</v>
      </c>
      <c r="R1093" s="3">
        <v>33.109000000000002</v>
      </c>
      <c r="S1093" s="3">
        <v>163.5</v>
      </c>
    </row>
    <row r="1094" spans="1:19" ht="14.4" x14ac:dyDescent="0.3">
      <c r="A1094" s="2">
        <v>45453</v>
      </c>
      <c r="B1094" s="3">
        <v>76.13</v>
      </c>
      <c r="C1094" s="3">
        <v>96.98</v>
      </c>
      <c r="D1094" s="3">
        <v>108.91</v>
      </c>
      <c r="E1094" s="3">
        <v>107.81</v>
      </c>
      <c r="F1094" s="3">
        <v>112.64</v>
      </c>
      <c r="G1094" s="3">
        <v>77.739999999999995</v>
      </c>
      <c r="H1094" s="3">
        <v>81.23</v>
      </c>
      <c r="I1094" s="3">
        <v>81.260000000000005</v>
      </c>
      <c r="J1094" s="3">
        <v>113.08</v>
      </c>
      <c r="K1094" s="5">
        <f>FORECAST(A1094,K1088:K1093,A1088:A1093)</f>
        <v>39.901351351352787</v>
      </c>
      <c r="L1094" s="3">
        <v>76188.160000000003</v>
      </c>
      <c r="M1094" s="3">
        <v>50440.12</v>
      </c>
      <c r="N1094" s="3">
        <v>11.965</v>
      </c>
      <c r="O1094" s="3">
        <v>5.3370000000000001E-2</v>
      </c>
      <c r="P1094" s="3">
        <v>2.9769999999999999</v>
      </c>
      <c r="Q1094" s="3">
        <v>133.88</v>
      </c>
      <c r="R1094" s="3">
        <v>34.26</v>
      </c>
      <c r="S1094" s="3">
        <v>165.43</v>
      </c>
    </row>
    <row r="1095" spans="1:19" ht="14.4" x14ac:dyDescent="0.3">
      <c r="A1095" s="2">
        <v>45454</v>
      </c>
      <c r="B1095" s="3">
        <v>76.13</v>
      </c>
      <c r="C1095" s="3">
        <v>96.98</v>
      </c>
      <c r="D1095" s="3">
        <v>108.91</v>
      </c>
      <c r="E1095" s="3">
        <v>107.81</v>
      </c>
      <c r="F1095" s="3">
        <v>112.64</v>
      </c>
      <c r="G1095" s="3">
        <v>77.900000000000006</v>
      </c>
      <c r="H1095" s="3">
        <v>81.540000000000006</v>
      </c>
      <c r="I1095" s="3">
        <v>81.36</v>
      </c>
      <c r="J1095" s="3">
        <v>112.17</v>
      </c>
      <c r="K1095" s="3">
        <v>38.6</v>
      </c>
      <c r="L1095" s="3">
        <v>76077.3</v>
      </c>
      <c r="M1095" s="3">
        <v>49609.36</v>
      </c>
      <c r="N1095" s="3">
        <v>12</v>
      </c>
      <c r="O1095" s="3">
        <v>5.373E-2</v>
      </c>
      <c r="P1095" s="3">
        <v>3.1930000000000001</v>
      </c>
      <c r="Q1095" s="3">
        <v>134.59</v>
      </c>
      <c r="R1095" s="3">
        <v>34.284999999999997</v>
      </c>
      <c r="S1095" s="3">
        <v>168.68</v>
      </c>
    </row>
    <row r="1096" spans="1:19" ht="14.4" x14ac:dyDescent="0.3">
      <c r="A1096" s="2">
        <v>45455</v>
      </c>
      <c r="B1096" s="3">
        <v>76.13</v>
      </c>
      <c r="C1096" s="3">
        <v>96.98</v>
      </c>
      <c r="D1096" s="3">
        <v>108.91</v>
      </c>
      <c r="E1096" s="3">
        <v>107.81</v>
      </c>
      <c r="F1096" s="3">
        <v>112.64</v>
      </c>
      <c r="G1096" s="3">
        <v>78.5</v>
      </c>
      <c r="H1096" s="3">
        <v>82.15</v>
      </c>
      <c r="I1096" s="3">
        <v>81.680000000000007</v>
      </c>
      <c r="J1096" s="3">
        <v>110.93</v>
      </c>
      <c r="K1096" s="3">
        <v>39.6</v>
      </c>
      <c r="L1096" s="3">
        <v>77050.8</v>
      </c>
      <c r="M1096" s="3">
        <v>50790.98</v>
      </c>
      <c r="N1096" s="3">
        <v>12.03</v>
      </c>
      <c r="O1096" s="3">
        <v>5.4379999999999998E-2</v>
      </c>
      <c r="P1096" s="3">
        <v>3.1219999999999999</v>
      </c>
      <c r="Q1096" s="3">
        <v>136.05000000000001</v>
      </c>
      <c r="R1096" s="3">
        <v>35.295000000000002</v>
      </c>
      <c r="S1096" s="3">
        <v>173.61</v>
      </c>
    </row>
    <row r="1097" spans="1:19" ht="14.4" x14ac:dyDescent="0.3">
      <c r="A1097" s="2">
        <v>45456</v>
      </c>
      <c r="B1097" s="3">
        <v>76.13</v>
      </c>
      <c r="C1097" s="3">
        <v>96.98</v>
      </c>
      <c r="D1097" s="3">
        <v>108.91</v>
      </c>
      <c r="E1097" s="3">
        <v>107.81</v>
      </c>
      <c r="F1097" s="3">
        <v>112.64</v>
      </c>
      <c r="G1097" s="3">
        <v>78.62</v>
      </c>
      <c r="H1097" s="3">
        <v>82.3</v>
      </c>
      <c r="I1097" s="3">
        <v>81.599999999999994</v>
      </c>
      <c r="J1097" s="3">
        <v>110.04</v>
      </c>
      <c r="K1097" s="3">
        <v>39.6</v>
      </c>
      <c r="L1097" s="3">
        <v>76382.02</v>
      </c>
      <c r="M1097" s="3">
        <v>48107.39</v>
      </c>
      <c r="N1097" s="3">
        <v>12.095000000000001</v>
      </c>
      <c r="O1097" s="3">
        <v>5.4219999999999997E-2</v>
      </c>
      <c r="P1097" s="3">
        <v>3.0369999999999999</v>
      </c>
      <c r="Q1097" s="3">
        <v>135.26</v>
      </c>
      <c r="R1097" s="3">
        <v>35.725000000000001</v>
      </c>
      <c r="S1097" s="3">
        <v>178.25</v>
      </c>
    </row>
    <row r="1098" spans="1:19" ht="14.4" x14ac:dyDescent="0.3">
      <c r="A1098" s="2">
        <v>45457</v>
      </c>
      <c r="B1098" s="3">
        <v>72.77</v>
      </c>
      <c r="C1098" s="3">
        <v>94.88</v>
      </c>
      <c r="D1098" s="3">
        <v>107.09</v>
      </c>
      <c r="E1098" s="3">
        <v>107.81</v>
      </c>
      <c r="F1098" s="3">
        <v>111.61</v>
      </c>
      <c r="G1098" s="3">
        <v>78.45</v>
      </c>
      <c r="H1098" s="3">
        <v>82.08</v>
      </c>
      <c r="I1098" s="3">
        <v>81.53</v>
      </c>
      <c r="J1098" s="3">
        <v>109.11</v>
      </c>
      <c r="K1098" s="3">
        <v>39.6</v>
      </c>
      <c r="L1098" s="3">
        <v>77053.78</v>
      </c>
      <c r="M1098" s="3">
        <v>47117.91</v>
      </c>
      <c r="N1098" s="3">
        <v>12.138</v>
      </c>
      <c r="O1098" s="3">
        <v>5.4440000000000002E-2</v>
      </c>
      <c r="P1098" s="3">
        <v>2.9630000000000001</v>
      </c>
      <c r="Q1098" s="3">
        <v>135.66999999999999</v>
      </c>
      <c r="R1098" s="3">
        <v>35.36</v>
      </c>
      <c r="S1098" s="3">
        <v>179.67</v>
      </c>
    </row>
    <row r="1099" spans="1:19" ht="14.4" x14ac:dyDescent="0.3">
      <c r="A1099" s="2">
        <v>45460</v>
      </c>
      <c r="B1099" s="3">
        <v>72.77</v>
      </c>
      <c r="C1099" s="3">
        <v>94.88</v>
      </c>
      <c r="D1099" s="3">
        <v>107.09</v>
      </c>
      <c r="E1099" s="3">
        <v>106.83</v>
      </c>
      <c r="F1099" s="3">
        <v>111.61</v>
      </c>
      <c r="G1099" s="3">
        <v>80.33</v>
      </c>
      <c r="H1099" s="3">
        <v>84.25</v>
      </c>
      <c r="I1099" s="3">
        <v>82.15</v>
      </c>
      <c r="J1099" s="3">
        <v>108.36</v>
      </c>
      <c r="K1099" s="3">
        <v>38.75</v>
      </c>
      <c r="L1099" s="5">
        <f>FORECAST(A1099,L1093:L1098,A1093:A1098)</f>
        <v>76748.256756756688</v>
      </c>
      <c r="M1099" s="5">
        <f>FORECAST(A1099,M1093:M1098,A1093:A1098)</f>
        <v>46405.290810808539</v>
      </c>
      <c r="N1099" s="3">
        <v>12.574999999999999</v>
      </c>
      <c r="O1099" s="3">
        <v>5.4760000000000003E-2</v>
      </c>
      <c r="P1099" s="3">
        <v>2.7879999999999998</v>
      </c>
      <c r="Q1099" s="3">
        <v>136.19999999999999</v>
      </c>
      <c r="R1099" s="3">
        <v>34.21</v>
      </c>
      <c r="S1099" s="1">
        <f>S1100</f>
        <v>185.87</v>
      </c>
    </row>
    <row r="1100" spans="1:19" ht="14.4" x14ac:dyDescent="0.3">
      <c r="A1100" s="2">
        <v>45461</v>
      </c>
      <c r="B1100" s="3">
        <v>72.77</v>
      </c>
      <c r="C1100" s="3">
        <v>94.88</v>
      </c>
      <c r="D1100" s="3">
        <v>107.09</v>
      </c>
      <c r="E1100" s="3">
        <v>106.83</v>
      </c>
      <c r="F1100" s="3">
        <v>111.61</v>
      </c>
      <c r="G1100" s="3">
        <v>81.569999999999993</v>
      </c>
      <c r="H1100" s="3">
        <v>85.33</v>
      </c>
      <c r="I1100" s="3">
        <v>82.49</v>
      </c>
      <c r="J1100" s="3">
        <v>109.38</v>
      </c>
      <c r="K1100" s="3">
        <v>38.9</v>
      </c>
      <c r="L1100" s="3">
        <v>79748.83</v>
      </c>
      <c r="M1100" s="3">
        <v>47877.32</v>
      </c>
      <c r="N1100" s="3">
        <v>12.6</v>
      </c>
      <c r="O1100" s="3">
        <v>5.5410000000000001E-2</v>
      </c>
      <c r="P1100" s="3">
        <v>2.9089999999999998</v>
      </c>
      <c r="Q1100" s="3">
        <v>136.38</v>
      </c>
      <c r="R1100" s="3">
        <v>34.700000000000003</v>
      </c>
      <c r="S1100" s="3">
        <v>185.87</v>
      </c>
    </row>
    <row r="1101" spans="1:19" ht="14.4" x14ac:dyDescent="0.3">
      <c r="A1101" s="2">
        <v>45462</v>
      </c>
      <c r="B1101" s="3">
        <v>72.77</v>
      </c>
      <c r="C1101" s="3">
        <v>94.88</v>
      </c>
      <c r="D1101" s="3">
        <v>107.09</v>
      </c>
      <c r="E1101" s="3">
        <v>106.83</v>
      </c>
      <c r="F1101" s="3">
        <v>111.61</v>
      </c>
      <c r="G1101" s="3">
        <v>80.59</v>
      </c>
      <c r="H1101" s="3">
        <v>85.07</v>
      </c>
      <c r="I1101" s="1">
        <f>(I1100+I1102)/2</f>
        <v>82.53</v>
      </c>
      <c r="J1101" s="1">
        <f>(J1100+J1102)/2</f>
        <v>110.56</v>
      </c>
      <c r="K1101" s="3">
        <v>39.9</v>
      </c>
      <c r="L1101" s="3">
        <v>80713.72</v>
      </c>
      <c r="M1101" s="3">
        <v>49306.879999999997</v>
      </c>
      <c r="N1101" s="5">
        <f>FORECAST(A1101,N1095:N1100,A1095:A1100)</f>
        <v>12.703957081545013</v>
      </c>
      <c r="O1101" s="3">
        <v>5.5629999999999999E-2</v>
      </c>
      <c r="P1101" s="3">
        <v>2.9159999999999999</v>
      </c>
      <c r="Q1101" s="1">
        <f>AVERAGE(Q1100,Q1102)</f>
        <v>136.745</v>
      </c>
      <c r="R1101" s="3">
        <v>35.35</v>
      </c>
      <c r="S1101" s="3">
        <v>181.25</v>
      </c>
    </row>
    <row r="1102" spans="1:19" ht="14.4" x14ac:dyDescent="0.3">
      <c r="A1102" s="2">
        <v>45463</v>
      </c>
      <c r="B1102" s="3">
        <v>72.77</v>
      </c>
      <c r="C1102" s="3">
        <v>94.88</v>
      </c>
      <c r="D1102" s="3">
        <v>107.09</v>
      </c>
      <c r="E1102" s="3">
        <v>106.83</v>
      </c>
      <c r="F1102" s="3">
        <v>111.61</v>
      </c>
      <c r="G1102" s="3">
        <v>82.17</v>
      </c>
      <c r="H1102" s="3">
        <v>85.71</v>
      </c>
      <c r="I1102" s="3">
        <v>82.57</v>
      </c>
      <c r="J1102" s="3">
        <v>111.74</v>
      </c>
      <c r="K1102" s="3">
        <v>40.299999999999997</v>
      </c>
      <c r="L1102" s="3">
        <v>80073.05</v>
      </c>
      <c r="M1102" s="3">
        <v>50006.26</v>
      </c>
      <c r="N1102" s="3">
        <v>12.6</v>
      </c>
      <c r="O1102" s="3">
        <v>5.5599999999999997E-2</v>
      </c>
      <c r="P1102" s="3">
        <v>2.7410000000000001</v>
      </c>
      <c r="Q1102" s="3">
        <v>137.11000000000001</v>
      </c>
      <c r="R1102" s="3">
        <v>34.465000000000003</v>
      </c>
      <c r="S1102" s="3">
        <v>180.99</v>
      </c>
    </row>
    <row r="1103" spans="1:19" ht="14.4" x14ac:dyDescent="0.3">
      <c r="A1103" s="2">
        <v>45464</v>
      </c>
      <c r="B1103" s="3">
        <v>73.3</v>
      </c>
      <c r="C1103" s="3">
        <v>94.56</v>
      </c>
      <c r="D1103" s="3">
        <v>107.31</v>
      </c>
      <c r="E1103" s="3">
        <v>106.83</v>
      </c>
      <c r="F1103" s="3">
        <v>111.2</v>
      </c>
      <c r="G1103" s="3">
        <v>80.73</v>
      </c>
      <c r="H1103" s="3">
        <v>85.24</v>
      </c>
      <c r="I1103" s="3">
        <v>82.42</v>
      </c>
      <c r="J1103" s="3">
        <v>110.76</v>
      </c>
      <c r="K1103" s="3">
        <v>39.549999999999997</v>
      </c>
      <c r="L1103" s="3">
        <v>79767.56</v>
      </c>
      <c r="M1103" s="3">
        <v>50079.71</v>
      </c>
      <c r="N1103" s="3">
        <v>12.465</v>
      </c>
      <c r="O1103" s="3">
        <v>5.5620000000000003E-2</v>
      </c>
      <c r="P1103" s="3">
        <v>2.7050000000000001</v>
      </c>
      <c r="Q1103" s="3">
        <v>137.84</v>
      </c>
      <c r="R1103" s="3">
        <v>33.936</v>
      </c>
      <c r="S1103" s="3">
        <v>181.76</v>
      </c>
    </row>
    <row r="1104" spans="1:19" ht="14.4" x14ac:dyDescent="0.3">
      <c r="A1104" s="2">
        <v>45467</v>
      </c>
      <c r="B1104" s="3">
        <v>73.3</v>
      </c>
      <c r="C1104" s="3">
        <v>94.56</v>
      </c>
      <c r="D1104" s="3">
        <v>107.31</v>
      </c>
      <c r="E1104" s="3">
        <v>106.22</v>
      </c>
      <c r="F1104" s="3">
        <v>111.2</v>
      </c>
      <c r="G1104" s="3">
        <v>81.63</v>
      </c>
      <c r="H1104" s="3">
        <v>86.01</v>
      </c>
      <c r="I1104" s="3">
        <v>82.6</v>
      </c>
      <c r="J1104" s="3">
        <v>114.05</v>
      </c>
      <c r="K1104" s="3">
        <v>39.549999999999997</v>
      </c>
      <c r="L1104" s="3">
        <v>80263.14</v>
      </c>
      <c r="M1104" s="3">
        <v>51492.93</v>
      </c>
      <c r="N1104" s="3">
        <v>12.61</v>
      </c>
      <c r="O1104" s="3">
        <v>5.5169999999999997E-2</v>
      </c>
      <c r="P1104" s="3">
        <v>2.8109999999999999</v>
      </c>
      <c r="Q1104" s="3">
        <v>138.72</v>
      </c>
      <c r="R1104" s="3">
        <v>34.08</v>
      </c>
      <c r="S1104" s="3">
        <v>182.69</v>
      </c>
    </row>
    <row r="1105" spans="1:19" ht="14.4" x14ac:dyDescent="0.3">
      <c r="A1105" s="2">
        <v>45468</v>
      </c>
      <c r="B1105" s="3">
        <v>73.3</v>
      </c>
      <c r="C1105" s="3">
        <v>94.56</v>
      </c>
      <c r="D1105" s="3">
        <v>107.31</v>
      </c>
      <c r="E1105" s="3">
        <v>106.22</v>
      </c>
      <c r="F1105" s="3">
        <v>111.2</v>
      </c>
      <c r="G1105" s="3">
        <v>80.83</v>
      </c>
      <c r="H1105" s="3">
        <v>85.01</v>
      </c>
      <c r="I1105" s="3">
        <v>82.42</v>
      </c>
      <c r="J1105" s="3">
        <v>114.37</v>
      </c>
      <c r="K1105" s="3">
        <v>39.5</v>
      </c>
      <c r="L1105" s="3">
        <v>79577.570000000007</v>
      </c>
      <c r="M1105" s="3">
        <v>51015.62</v>
      </c>
      <c r="N1105" s="3">
        <v>12.734999999999999</v>
      </c>
      <c r="O1105" s="3">
        <v>5.4820000000000001E-2</v>
      </c>
      <c r="P1105" s="3">
        <v>2.7559999999999998</v>
      </c>
      <c r="Q1105" s="3">
        <v>137.33000000000001</v>
      </c>
      <c r="R1105" s="3">
        <v>34.854999999999997</v>
      </c>
      <c r="S1105" s="3">
        <v>179.47</v>
      </c>
    </row>
    <row r="1106" spans="1:19" ht="14.4" x14ac:dyDescent="0.3">
      <c r="A1106" s="2">
        <v>45469</v>
      </c>
      <c r="B1106" s="3">
        <v>73.3</v>
      </c>
      <c r="C1106" s="3">
        <v>94.56</v>
      </c>
      <c r="D1106" s="3">
        <v>107.31</v>
      </c>
      <c r="E1106" s="3">
        <v>106.22</v>
      </c>
      <c r="F1106" s="3">
        <v>111.2</v>
      </c>
      <c r="G1106" s="3">
        <v>80.900000000000006</v>
      </c>
      <c r="H1106" s="3">
        <v>85.25</v>
      </c>
      <c r="I1106" s="3">
        <v>82.47</v>
      </c>
      <c r="J1106" s="3">
        <v>114.41</v>
      </c>
      <c r="K1106" s="3">
        <v>39.700000000000003</v>
      </c>
      <c r="L1106" s="3">
        <v>79252.39</v>
      </c>
      <c r="M1106" s="3">
        <v>50943.54</v>
      </c>
      <c r="N1106" s="3">
        <v>12.62</v>
      </c>
      <c r="O1106" s="3">
        <v>5.4969999999999998E-2</v>
      </c>
      <c r="P1106" s="3">
        <v>2.6280000000000001</v>
      </c>
      <c r="Q1106" s="3">
        <v>137.38999999999999</v>
      </c>
      <c r="R1106" s="3">
        <v>33.825000000000003</v>
      </c>
      <c r="S1106" s="3">
        <v>178.68</v>
      </c>
    </row>
    <row r="1107" spans="1:19" ht="14.4" x14ac:dyDescent="0.3">
      <c r="A1107" s="2">
        <v>45470</v>
      </c>
      <c r="B1107" s="3">
        <v>73.3</v>
      </c>
      <c r="C1107" s="3">
        <v>94.56</v>
      </c>
      <c r="D1107" s="3">
        <v>107.31</v>
      </c>
      <c r="E1107" s="3">
        <v>106.22</v>
      </c>
      <c r="F1107" s="3">
        <v>111.2</v>
      </c>
      <c r="G1107" s="3">
        <v>81.739999999999995</v>
      </c>
      <c r="H1107" s="3">
        <v>86.39</v>
      </c>
      <c r="I1107" s="3">
        <v>82.49</v>
      </c>
      <c r="J1107" s="3">
        <v>114.9</v>
      </c>
      <c r="K1107" s="3">
        <v>35.15</v>
      </c>
      <c r="L1107" s="3">
        <v>78969.33</v>
      </c>
      <c r="M1107" s="3">
        <v>52018.94</v>
      </c>
      <c r="N1107" s="3">
        <v>12.66</v>
      </c>
      <c r="O1107" s="3">
        <v>5.4109999999999998E-2</v>
      </c>
      <c r="P1107" s="3">
        <v>2.6850000000000001</v>
      </c>
      <c r="Q1107" s="3">
        <v>137.47</v>
      </c>
      <c r="R1107" s="3">
        <v>34.564999999999998</v>
      </c>
      <c r="S1107" s="3">
        <v>179.83</v>
      </c>
    </row>
    <row r="1108" spans="1:19" ht="14.4" x14ac:dyDescent="0.3">
      <c r="A1108" s="2">
        <v>45471</v>
      </c>
      <c r="B1108" s="3">
        <v>71.38</v>
      </c>
      <c r="C1108" s="3">
        <v>92.08</v>
      </c>
      <c r="D1108" s="3">
        <v>103.68</v>
      </c>
      <c r="E1108" s="3">
        <v>106.22</v>
      </c>
      <c r="F1108" s="3">
        <v>109.15</v>
      </c>
      <c r="G1108" s="3">
        <v>81.540000000000006</v>
      </c>
      <c r="H1108" s="3">
        <v>86.41</v>
      </c>
      <c r="I1108" s="3">
        <v>82.55</v>
      </c>
      <c r="J1108" s="3">
        <v>115.12</v>
      </c>
      <c r="K1108" s="3">
        <v>35.950000000000003</v>
      </c>
      <c r="L1108" s="3">
        <v>79707.11</v>
      </c>
      <c r="M1108" s="3">
        <v>51308.87</v>
      </c>
      <c r="N1108" s="3">
        <v>12.635</v>
      </c>
      <c r="O1108" s="3">
        <v>5.4949999999999999E-2</v>
      </c>
      <c r="P1108" s="3">
        <v>2.601</v>
      </c>
      <c r="Q1108" s="3">
        <v>136.88999999999999</v>
      </c>
      <c r="R1108" s="3">
        <v>34.479999999999997</v>
      </c>
      <c r="S1108" s="3">
        <v>180.54</v>
      </c>
    </row>
  </sheetData>
  <autoFilter ref="A1:S110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2921E-04ED-4772-A9D1-D9E8E7A4A2C3}">
  <dimension ref="A1:S1108"/>
  <sheetViews>
    <sheetView tabSelected="1" topLeftCell="N1" workbookViewId="0">
      <selection activeCell="U9" sqref="U9"/>
    </sheetView>
  </sheetViews>
  <sheetFormatPr defaultRowHeight="13.2" x14ac:dyDescent="0.25"/>
  <cols>
    <col min="1" max="1" width="10.33203125" style="6" bestFit="1" customWidth="1"/>
    <col min="2" max="4" width="38.77734375" customWidth="1"/>
    <col min="5" max="5" width="42.21875" customWidth="1"/>
    <col min="6" max="6" width="40.109375" customWidth="1"/>
    <col min="7" max="7" width="11.77734375" customWidth="1"/>
    <col min="8" max="8" width="16.5546875" customWidth="1"/>
    <col min="9" max="9" width="22.5546875" customWidth="1"/>
    <col min="10" max="10" width="18.33203125" customWidth="1"/>
    <col min="11" max="11" width="16" customWidth="1"/>
    <col min="12" max="12" width="16.5546875" customWidth="1"/>
    <col min="13" max="13" width="14" customWidth="1"/>
    <col min="14" max="14" width="39.6640625" customWidth="1"/>
    <col min="15" max="15" width="16.77734375" customWidth="1"/>
    <col min="16" max="16" width="19.109375" customWidth="1"/>
    <col min="17" max="17" width="11.33203125" customWidth="1"/>
    <col min="18" max="18" width="17.88671875" customWidth="1"/>
    <col min="19" max="19" width="25.21875" customWidth="1"/>
  </cols>
  <sheetData>
    <row r="1" spans="1:19" x14ac:dyDescent="0.25">
      <c r="A1" s="6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6">
        <v>43923</v>
      </c>
      <c r="B2">
        <v>41</v>
      </c>
      <c r="C2">
        <v>53.22</v>
      </c>
      <c r="D2">
        <v>64.7</v>
      </c>
      <c r="E2">
        <v>97.56</v>
      </c>
      <c r="F2">
        <v>60.5</v>
      </c>
      <c r="G2">
        <v>25.32</v>
      </c>
      <c r="H2">
        <v>29.94</v>
      </c>
      <c r="I2">
        <v>26.16</v>
      </c>
      <c r="J2">
        <v>40.4</v>
      </c>
      <c r="K2">
        <v>14.58</v>
      </c>
      <c r="L2">
        <v>45060.69</v>
      </c>
      <c r="M2">
        <v>35562.370000000003</v>
      </c>
      <c r="N2">
        <v>2.86</v>
      </c>
      <c r="O2">
        <v>5.4109999999999998E-2</v>
      </c>
      <c r="P2">
        <v>1.552</v>
      </c>
      <c r="Q2">
        <v>81.14</v>
      </c>
      <c r="R2">
        <v>6.9349999999999996</v>
      </c>
      <c r="S2">
        <v>45.02</v>
      </c>
    </row>
    <row r="3" spans="1:19" x14ac:dyDescent="0.25">
      <c r="A3" s="6">
        <v>43924</v>
      </c>
      <c r="B3">
        <v>40.340000000000003</v>
      </c>
      <c r="C3">
        <v>52.36</v>
      </c>
      <c r="D3">
        <v>63.1</v>
      </c>
      <c r="E3">
        <v>70.569999999999993</v>
      </c>
      <c r="F3">
        <v>62.03</v>
      </c>
      <c r="G3">
        <v>28.34</v>
      </c>
      <c r="H3">
        <v>34.11</v>
      </c>
      <c r="I3">
        <v>29.39</v>
      </c>
      <c r="J3">
        <v>39.21</v>
      </c>
      <c r="K3">
        <v>14.14</v>
      </c>
      <c r="L3">
        <v>44598.7</v>
      </c>
      <c r="M3">
        <v>35258.300000000003</v>
      </c>
      <c r="N3">
        <v>2.8450000000000002</v>
      </c>
      <c r="O3">
        <v>5.2449999999999997E-2</v>
      </c>
      <c r="P3">
        <v>1.621</v>
      </c>
      <c r="Q3">
        <v>80.989999999999995</v>
      </c>
      <c r="R3">
        <v>6.92</v>
      </c>
      <c r="S3">
        <v>45.02</v>
      </c>
    </row>
    <row r="4" spans="1:19" x14ac:dyDescent="0.25">
      <c r="A4" s="6">
        <v>43927</v>
      </c>
      <c r="B4">
        <v>40.340000000000003</v>
      </c>
      <c r="C4">
        <v>52.36</v>
      </c>
      <c r="D4">
        <v>63.1</v>
      </c>
      <c r="E4">
        <v>70.569999999999993</v>
      </c>
      <c r="F4">
        <v>62.03</v>
      </c>
      <c r="G4">
        <v>26.08</v>
      </c>
      <c r="H4">
        <v>33.049999999999997</v>
      </c>
      <c r="I4">
        <v>27.45</v>
      </c>
      <c r="J4">
        <v>40.47</v>
      </c>
      <c r="K4">
        <v>14.26</v>
      </c>
      <c r="L4">
        <v>46240.35</v>
      </c>
      <c r="M4">
        <v>37032.31</v>
      </c>
      <c r="N4">
        <v>2.85</v>
      </c>
      <c r="O4">
        <v>5.3510000000000002E-2</v>
      </c>
      <c r="P4">
        <v>1.7310000000000001</v>
      </c>
      <c r="Q4">
        <v>84.43</v>
      </c>
      <c r="R4">
        <v>7.2850000000000001</v>
      </c>
      <c r="S4">
        <v>48.32</v>
      </c>
    </row>
    <row r="5" spans="1:19" x14ac:dyDescent="0.25">
      <c r="A5" s="6">
        <v>43928</v>
      </c>
      <c r="B5">
        <v>40.340000000000003</v>
      </c>
      <c r="C5">
        <v>52.36</v>
      </c>
      <c r="D5">
        <v>63.1</v>
      </c>
      <c r="E5">
        <v>70.569999999999993</v>
      </c>
      <c r="F5">
        <v>62.03</v>
      </c>
      <c r="G5">
        <v>23.63</v>
      </c>
      <c r="H5">
        <v>31.87</v>
      </c>
      <c r="I5">
        <v>26</v>
      </c>
      <c r="J5">
        <v>41.24</v>
      </c>
      <c r="K5">
        <v>14.46</v>
      </c>
      <c r="L5">
        <v>47496.72</v>
      </c>
      <c r="M5">
        <v>38362.120000000003</v>
      </c>
      <c r="N5">
        <v>2.8050000000000002</v>
      </c>
      <c r="O5">
        <v>5.457E-2</v>
      </c>
      <c r="P5">
        <v>1.8520000000000001</v>
      </c>
      <c r="Q5">
        <v>82.3</v>
      </c>
      <c r="R5">
        <v>7.2850000000000001</v>
      </c>
      <c r="S5">
        <v>48.32</v>
      </c>
    </row>
    <row r="6" spans="1:19" x14ac:dyDescent="0.25">
      <c r="A6" s="6">
        <v>43929</v>
      </c>
      <c r="B6">
        <v>40.340000000000003</v>
      </c>
      <c r="C6">
        <v>52.36</v>
      </c>
      <c r="D6">
        <v>63.1</v>
      </c>
      <c r="E6">
        <v>70.569999999999993</v>
      </c>
      <c r="F6">
        <v>62.03</v>
      </c>
      <c r="G6">
        <v>25.09</v>
      </c>
      <c r="H6">
        <v>32.840000000000003</v>
      </c>
      <c r="I6">
        <v>26.16</v>
      </c>
      <c r="J6">
        <v>43.85</v>
      </c>
      <c r="K6">
        <v>14.24</v>
      </c>
      <c r="L6">
        <v>46689.9</v>
      </c>
      <c r="M6">
        <v>37469.17</v>
      </c>
      <c r="N6">
        <v>2.81</v>
      </c>
      <c r="O6">
        <v>5.493E-2</v>
      </c>
      <c r="P6">
        <v>1.7829999999999999</v>
      </c>
      <c r="Q6">
        <v>85.34</v>
      </c>
      <c r="R6">
        <v>7.26</v>
      </c>
      <c r="S6">
        <v>45.75</v>
      </c>
    </row>
    <row r="7" spans="1:19" x14ac:dyDescent="0.25">
      <c r="A7" s="6">
        <v>43930</v>
      </c>
      <c r="B7">
        <v>33.82</v>
      </c>
      <c r="C7">
        <v>43.58</v>
      </c>
      <c r="D7">
        <v>54.81</v>
      </c>
      <c r="E7">
        <v>59.57</v>
      </c>
      <c r="F7">
        <v>54.74</v>
      </c>
      <c r="G7">
        <v>22.76</v>
      </c>
      <c r="H7">
        <v>31.48</v>
      </c>
      <c r="I7">
        <v>23.26</v>
      </c>
      <c r="J7">
        <v>43.13</v>
      </c>
      <c r="K7">
        <v>14.16</v>
      </c>
      <c r="L7">
        <v>48011.56</v>
      </c>
      <c r="M7">
        <v>38905.32</v>
      </c>
      <c r="N7">
        <v>2.8050000000000002</v>
      </c>
      <c r="O7">
        <v>5.5440000000000003E-2</v>
      </c>
      <c r="P7">
        <v>1.7330000000000001</v>
      </c>
      <c r="Q7">
        <v>87.38</v>
      </c>
      <c r="R7">
        <v>7.28</v>
      </c>
      <c r="S7">
        <v>48.33</v>
      </c>
    </row>
    <row r="8" spans="1:19" x14ac:dyDescent="0.25">
      <c r="A8" s="6">
        <v>43931</v>
      </c>
      <c r="B8">
        <v>33.82</v>
      </c>
      <c r="C8">
        <v>43.58</v>
      </c>
      <c r="D8">
        <v>54.81</v>
      </c>
      <c r="E8">
        <v>59.57</v>
      </c>
      <c r="F8">
        <v>54.74</v>
      </c>
      <c r="G8">
        <v>22.585000000000001</v>
      </c>
      <c r="H8">
        <v>31.61</v>
      </c>
      <c r="I8">
        <v>24</v>
      </c>
      <c r="J8">
        <v>42.945</v>
      </c>
      <c r="K8">
        <v>14.197939914163044</v>
      </c>
      <c r="L8">
        <v>48197.506695277989</v>
      </c>
      <c r="M8">
        <v>39146.580987125635</v>
      </c>
      <c r="N8">
        <v>2.7963519313304346</v>
      </c>
      <c r="O8">
        <v>5.561E-2</v>
      </c>
      <c r="P8">
        <v>1.7284999999999999</v>
      </c>
      <c r="Q8">
        <v>86.28</v>
      </c>
      <c r="R8">
        <v>7.28</v>
      </c>
      <c r="S8">
        <v>47.75</v>
      </c>
    </row>
    <row r="9" spans="1:19" x14ac:dyDescent="0.25">
      <c r="A9" s="6">
        <v>43934</v>
      </c>
      <c r="B9">
        <v>33.82</v>
      </c>
      <c r="C9">
        <v>43.58</v>
      </c>
      <c r="D9">
        <v>54.81</v>
      </c>
      <c r="E9">
        <v>59.57</v>
      </c>
      <c r="F9">
        <v>54.74</v>
      </c>
      <c r="G9">
        <v>22.41</v>
      </c>
      <c r="H9">
        <v>31.74</v>
      </c>
      <c r="I9">
        <v>24.74</v>
      </c>
      <c r="J9">
        <v>42.76</v>
      </c>
      <c r="K9">
        <v>14.260173993736203</v>
      </c>
      <c r="L9">
        <v>49861.254434518516</v>
      </c>
      <c r="M9">
        <v>40903.981234192848</v>
      </c>
      <c r="N9">
        <v>2.8050000000000002</v>
      </c>
      <c r="O9">
        <v>5.5160000000000001E-2</v>
      </c>
      <c r="P9">
        <v>1.724</v>
      </c>
      <c r="Q9">
        <v>85.18</v>
      </c>
      <c r="R9">
        <v>7.28</v>
      </c>
      <c r="S9">
        <v>47.75</v>
      </c>
    </row>
    <row r="10" spans="1:19" x14ac:dyDescent="0.25">
      <c r="A10" s="6">
        <v>43935</v>
      </c>
      <c r="B10">
        <v>33.82</v>
      </c>
      <c r="C10">
        <v>43.58</v>
      </c>
      <c r="D10">
        <v>54.81</v>
      </c>
      <c r="E10">
        <v>59.57</v>
      </c>
      <c r="F10">
        <v>54.74</v>
      </c>
      <c r="G10">
        <v>20.11</v>
      </c>
      <c r="H10">
        <v>29.6</v>
      </c>
      <c r="I10">
        <v>21.96</v>
      </c>
      <c r="J10">
        <v>42.43</v>
      </c>
      <c r="K10">
        <v>14.36</v>
      </c>
      <c r="L10">
        <v>49874.51</v>
      </c>
      <c r="M10">
        <v>41941.82</v>
      </c>
      <c r="N10">
        <v>2.8</v>
      </c>
      <c r="O10">
        <v>5.4539999999999998E-2</v>
      </c>
      <c r="P10">
        <v>1.65</v>
      </c>
      <c r="Q10">
        <v>87</v>
      </c>
      <c r="R10">
        <v>6.875</v>
      </c>
      <c r="S10">
        <v>49.25</v>
      </c>
    </row>
    <row r="11" spans="1:19" x14ac:dyDescent="0.25">
      <c r="A11" s="6">
        <v>43936</v>
      </c>
      <c r="B11">
        <v>33.82</v>
      </c>
      <c r="C11">
        <v>43.58</v>
      </c>
      <c r="D11">
        <v>54.81</v>
      </c>
      <c r="E11">
        <v>59.57</v>
      </c>
      <c r="F11">
        <v>54.74</v>
      </c>
      <c r="G11">
        <v>19.87</v>
      </c>
      <c r="H11">
        <v>27.69</v>
      </c>
      <c r="I11">
        <v>21.46</v>
      </c>
      <c r="J11">
        <v>40.479999999999997</v>
      </c>
      <c r="K11">
        <v>14.12</v>
      </c>
      <c r="L11">
        <v>48301.279999999999</v>
      </c>
      <c r="M11">
        <v>40023.440000000002</v>
      </c>
      <c r="N11">
        <v>2.7949999999999999</v>
      </c>
      <c r="O11">
        <v>5.3429999999999998E-2</v>
      </c>
      <c r="P11">
        <v>1.5980000000000001</v>
      </c>
      <c r="Q11">
        <v>86.25</v>
      </c>
      <c r="R11">
        <v>6.65</v>
      </c>
      <c r="S11">
        <v>49.25</v>
      </c>
    </row>
    <row r="12" spans="1:19" x14ac:dyDescent="0.25">
      <c r="A12" s="6">
        <v>43937</v>
      </c>
      <c r="B12">
        <v>33.82</v>
      </c>
      <c r="C12">
        <v>43.58</v>
      </c>
      <c r="D12">
        <v>54.81</v>
      </c>
      <c r="E12">
        <v>59.57</v>
      </c>
      <c r="F12">
        <v>54.74</v>
      </c>
      <c r="G12">
        <v>19.87</v>
      </c>
      <c r="H12">
        <v>27.82</v>
      </c>
      <c r="I12">
        <v>21.71</v>
      </c>
      <c r="J12">
        <v>39.15</v>
      </c>
      <c r="K12">
        <v>14.12</v>
      </c>
      <c r="L12">
        <v>48245.11</v>
      </c>
      <c r="M12">
        <v>39594</v>
      </c>
      <c r="N12">
        <v>2.4700000000000002</v>
      </c>
      <c r="O12">
        <v>5.2929999999999998E-2</v>
      </c>
      <c r="P12">
        <v>1.6859999999999999</v>
      </c>
      <c r="Q12">
        <v>88.1</v>
      </c>
      <c r="R12">
        <v>6.9050000000000002</v>
      </c>
      <c r="S12">
        <v>50.93</v>
      </c>
    </row>
    <row r="13" spans="1:19" x14ac:dyDescent="0.25">
      <c r="A13" s="6">
        <v>43938</v>
      </c>
      <c r="B13">
        <v>31.49</v>
      </c>
      <c r="C13">
        <v>38.44</v>
      </c>
      <c r="D13">
        <v>51.1</v>
      </c>
      <c r="E13">
        <v>51.7</v>
      </c>
      <c r="F13">
        <v>48.89</v>
      </c>
      <c r="G13">
        <v>18.27</v>
      </c>
      <c r="H13">
        <v>28.08</v>
      </c>
      <c r="I13">
        <v>22.23</v>
      </c>
      <c r="J13">
        <v>43.22</v>
      </c>
      <c r="K13">
        <v>14.24</v>
      </c>
      <c r="L13">
        <v>49134.65</v>
      </c>
      <c r="M13">
        <v>40768.620000000003</v>
      </c>
      <c r="N13">
        <v>2.3450000000000002</v>
      </c>
      <c r="O13">
        <v>5.3179999999999998E-2</v>
      </c>
      <c r="P13">
        <v>1.7529999999999999</v>
      </c>
      <c r="Q13">
        <v>90.4</v>
      </c>
      <c r="R13">
        <v>6.9950000000000001</v>
      </c>
      <c r="S13">
        <v>51.75</v>
      </c>
    </row>
    <row r="14" spans="1:19" x14ac:dyDescent="0.25">
      <c r="A14" s="6">
        <v>43941</v>
      </c>
      <c r="B14">
        <v>31.49</v>
      </c>
      <c r="C14">
        <v>38.44</v>
      </c>
      <c r="D14">
        <v>51.1</v>
      </c>
      <c r="E14">
        <v>51.7</v>
      </c>
      <c r="F14">
        <v>48.89</v>
      </c>
      <c r="G14">
        <v>-37.630000000000003</v>
      </c>
      <c r="H14">
        <v>25.57</v>
      </c>
      <c r="I14">
        <v>21.47</v>
      </c>
      <c r="J14">
        <v>41.18</v>
      </c>
      <c r="K14">
        <v>14.08</v>
      </c>
      <c r="L14">
        <v>48849.52</v>
      </c>
      <c r="M14">
        <v>40688.449999999997</v>
      </c>
      <c r="N14">
        <v>2.27</v>
      </c>
      <c r="O14">
        <v>5.2999999999999999E-2</v>
      </c>
      <c r="P14">
        <v>1.9239999999999999</v>
      </c>
      <c r="Q14">
        <v>89.4</v>
      </c>
      <c r="R14">
        <v>6.62</v>
      </c>
      <c r="S14">
        <v>54.25</v>
      </c>
    </row>
    <row r="15" spans="1:19" x14ac:dyDescent="0.25">
      <c r="A15" s="6">
        <v>43942</v>
      </c>
      <c r="B15">
        <v>31.49</v>
      </c>
      <c r="C15">
        <v>38.44</v>
      </c>
      <c r="D15">
        <v>51.1</v>
      </c>
      <c r="E15">
        <v>51.7</v>
      </c>
      <c r="F15">
        <v>48.89</v>
      </c>
      <c r="G15">
        <v>10.01</v>
      </c>
      <c r="H15">
        <v>19.329999999999998</v>
      </c>
      <c r="I15">
        <v>19.07</v>
      </c>
      <c r="J15">
        <v>40.96</v>
      </c>
      <c r="K15">
        <v>13.84</v>
      </c>
      <c r="L15">
        <v>47628.87</v>
      </c>
      <c r="M15">
        <v>38702.92</v>
      </c>
      <c r="N15">
        <v>2.105</v>
      </c>
      <c r="O15">
        <v>5.2659999999999998E-2</v>
      </c>
      <c r="P15">
        <v>1.821</v>
      </c>
      <c r="Q15">
        <v>87.53</v>
      </c>
      <c r="R15">
        <v>6.3150000000000004</v>
      </c>
      <c r="S15">
        <v>51.82</v>
      </c>
    </row>
    <row r="16" spans="1:19" x14ac:dyDescent="0.25">
      <c r="A16" s="6">
        <v>43943</v>
      </c>
      <c r="B16">
        <v>31.49</v>
      </c>
      <c r="C16">
        <v>38.44</v>
      </c>
      <c r="D16">
        <v>51.1</v>
      </c>
      <c r="E16">
        <v>51.7</v>
      </c>
      <c r="F16">
        <v>48.89</v>
      </c>
      <c r="G16">
        <v>13.78</v>
      </c>
      <c r="H16">
        <v>20.37</v>
      </c>
      <c r="I16">
        <v>20</v>
      </c>
      <c r="J16">
        <v>42.13</v>
      </c>
      <c r="K16">
        <v>13.66</v>
      </c>
      <c r="L16">
        <v>48108.49</v>
      </c>
      <c r="M16">
        <v>39991.74</v>
      </c>
      <c r="N16">
        <v>2.0750000000000002</v>
      </c>
      <c r="O16">
        <v>5.2549999999999999E-2</v>
      </c>
      <c r="P16">
        <v>1.9390000000000001</v>
      </c>
      <c r="Q16">
        <v>89.19</v>
      </c>
      <c r="R16">
        <v>6.2249999999999996</v>
      </c>
      <c r="S16">
        <v>52.03</v>
      </c>
    </row>
    <row r="17" spans="1:19" x14ac:dyDescent="0.25">
      <c r="A17" s="6">
        <v>43944</v>
      </c>
      <c r="B17">
        <v>31.49</v>
      </c>
      <c r="C17">
        <v>38.44</v>
      </c>
      <c r="D17">
        <v>51.1</v>
      </c>
      <c r="E17">
        <v>51.7</v>
      </c>
      <c r="F17">
        <v>48.89</v>
      </c>
      <c r="G17">
        <v>16.5</v>
      </c>
      <c r="H17">
        <v>21.33</v>
      </c>
      <c r="I17">
        <v>20.45</v>
      </c>
      <c r="J17">
        <v>43.45</v>
      </c>
      <c r="K17">
        <v>13.7</v>
      </c>
      <c r="L17">
        <v>49601.82</v>
      </c>
      <c r="M17">
        <v>42588.88</v>
      </c>
      <c r="N17">
        <v>2.0499999999999998</v>
      </c>
      <c r="O17">
        <v>5.2389999999999999E-2</v>
      </c>
      <c r="P17">
        <v>1.8149999999999999</v>
      </c>
      <c r="Q17">
        <v>88.5</v>
      </c>
      <c r="R17">
        <v>6.0549999999999997</v>
      </c>
      <c r="S17">
        <v>52.32</v>
      </c>
    </row>
    <row r="18" spans="1:19" x14ac:dyDescent="0.25">
      <c r="A18" s="6">
        <v>43945</v>
      </c>
      <c r="B18">
        <v>26.75</v>
      </c>
      <c r="C18">
        <v>34.56</v>
      </c>
      <c r="D18">
        <v>44.69</v>
      </c>
      <c r="E18">
        <v>44.53</v>
      </c>
      <c r="F18">
        <v>41.81</v>
      </c>
      <c r="G18">
        <v>16.940000000000001</v>
      </c>
      <c r="H18">
        <v>21.44</v>
      </c>
      <c r="I18">
        <v>20.45</v>
      </c>
      <c r="J18">
        <v>43.73</v>
      </c>
      <c r="K18">
        <v>13.64</v>
      </c>
      <c r="L18">
        <v>49527.23</v>
      </c>
      <c r="M18">
        <v>42857.87</v>
      </c>
      <c r="N18">
        <v>2.0249999999999999</v>
      </c>
      <c r="O18">
        <v>5.2540000000000003E-2</v>
      </c>
      <c r="P18">
        <v>1.746</v>
      </c>
      <c r="Q18">
        <v>88.92</v>
      </c>
      <c r="R18">
        <v>5.77</v>
      </c>
      <c r="S18">
        <v>52.1</v>
      </c>
    </row>
    <row r="19" spans="1:19" x14ac:dyDescent="0.25">
      <c r="A19" s="6">
        <v>43948</v>
      </c>
      <c r="B19">
        <v>26.75</v>
      </c>
      <c r="C19">
        <v>34.56</v>
      </c>
      <c r="D19">
        <v>44.69</v>
      </c>
      <c r="E19">
        <v>44.53</v>
      </c>
      <c r="F19">
        <v>41.81</v>
      </c>
      <c r="G19">
        <v>12.78</v>
      </c>
      <c r="H19">
        <v>19.989999999999998</v>
      </c>
      <c r="I19">
        <v>20.37</v>
      </c>
      <c r="J19">
        <v>43.94</v>
      </c>
      <c r="K19">
        <v>13.8</v>
      </c>
      <c r="L19">
        <v>49129.53513513552</v>
      </c>
      <c r="M19">
        <v>42644.693513514474</v>
      </c>
      <c r="N19">
        <v>1.9950000000000001</v>
      </c>
      <c r="O19">
        <v>5.3199999999999997E-2</v>
      </c>
      <c r="P19">
        <v>1.819</v>
      </c>
      <c r="Q19">
        <v>92.35</v>
      </c>
      <c r="R19">
        <v>5.94</v>
      </c>
      <c r="S19">
        <v>51.93</v>
      </c>
    </row>
    <row r="20" spans="1:19" x14ac:dyDescent="0.25">
      <c r="A20" s="6">
        <v>43949</v>
      </c>
      <c r="B20">
        <v>26.75</v>
      </c>
      <c r="C20">
        <v>34.56</v>
      </c>
      <c r="D20">
        <v>44.69</v>
      </c>
      <c r="E20">
        <v>44.53</v>
      </c>
      <c r="F20">
        <v>41.81</v>
      </c>
      <c r="G20">
        <v>12.34</v>
      </c>
      <c r="H20">
        <v>20.46</v>
      </c>
      <c r="I20">
        <v>20.41</v>
      </c>
      <c r="J20">
        <v>44.97</v>
      </c>
      <c r="K20">
        <v>13.94</v>
      </c>
      <c r="L20">
        <v>50029.22</v>
      </c>
      <c r="M20">
        <v>41940.99</v>
      </c>
      <c r="N20">
        <v>2</v>
      </c>
      <c r="O20">
        <v>5.3519999999999998E-2</v>
      </c>
      <c r="P20">
        <v>1.794</v>
      </c>
      <c r="Q20">
        <v>90.29</v>
      </c>
      <c r="R20">
        <v>6.1449999999999996</v>
      </c>
      <c r="S20">
        <v>52.07</v>
      </c>
    </row>
    <row r="21" spans="1:19" x14ac:dyDescent="0.25">
      <c r="A21" s="6">
        <v>43950</v>
      </c>
      <c r="B21">
        <v>26.75</v>
      </c>
      <c r="C21">
        <v>34.56</v>
      </c>
      <c r="D21">
        <v>44.69</v>
      </c>
      <c r="E21">
        <v>44.53</v>
      </c>
      <c r="F21">
        <v>41.81</v>
      </c>
      <c r="G21">
        <v>15.06</v>
      </c>
      <c r="H21">
        <v>22.54</v>
      </c>
      <c r="I21">
        <v>20.38</v>
      </c>
      <c r="J21">
        <v>47.46</v>
      </c>
      <c r="K21">
        <v>13.86</v>
      </c>
      <c r="L21">
        <v>50857.25</v>
      </c>
      <c r="M21">
        <v>43399.68</v>
      </c>
      <c r="N21">
        <v>2</v>
      </c>
      <c r="O21">
        <v>5.5059999999999998E-2</v>
      </c>
      <c r="P21">
        <v>1.869</v>
      </c>
      <c r="Q21">
        <v>90.7</v>
      </c>
      <c r="R21">
        <v>6.0149999999999997</v>
      </c>
      <c r="S21">
        <v>51.93</v>
      </c>
    </row>
    <row r="22" spans="1:19" x14ac:dyDescent="0.25">
      <c r="A22" s="6">
        <v>43951</v>
      </c>
      <c r="B22">
        <v>26.75</v>
      </c>
      <c r="C22">
        <v>34.56</v>
      </c>
      <c r="D22">
        <v>44.69</v>
      </c>
      <c r="E22">
        <v>44.53</v>
      </c>
      <c r="F22">
        <v>41.81</v>
      </c>
      <c r="G22">
        <v>18.84</v>
      </c>
      <c r="H22">
        <v>25.27</v>
      </c>
      <c r="I22">
        <v>20.39</v>
      </c>
      <c r="J22">
        <v>46.47</v>
      </c>
      <c r="K22">
        <v>13.933654618473838</v>
      </c>
      <c r="L22">
        <v>50336.72</v>
      </c>
      <c r="M22">
        <v>42395.73</v>
      </c>
      <c r="N22">
        <v>2.0049999999999999</v>
      </c>
      <c r="O22">
        <v>5.3929999999999999E-2</v>
      </c>
      <c r="P22">
        <v>1.9490000000000001</v>
      </c>
      <c r="Q22">
        <v>89.45</v>
      </c>
      <c r="R22">
        <v>6.22</v>
      </c>
      <c r="S22">
        <v>49.97</v>
      </c>
    </row>
    <row r="23" spans="1:19" x14ac:dyDescent="0.25">
      <c r="A23" s="6">
        <v>43952</v>
      </c>
      <c r="B23">
        <v>30</v>
      </c>
      <c r="C23">
        <v>37.97</v>
      </c>
      <c r="D23">
        <v>47.89</v>
      </c>
      <c r="E23">
        <v>49.47</v>
      </c>
      <c r="F23">
        <v>42.99</v>
      </c>
      <c r="G23">
        <v>19.78</v>
      </c>
      <c r="H23">
        <v>26.44</v>
      </c>
      <c r="I23">
        <v>25.3</v>
      </c>
      <c r="J23">
        <v>43.14</v>
      </c>
      <c r="K23">
        <v>13.978932381887944</v>
      </c>
      <c r="L23">
        <v>50522.914509917609</v>
      </c>
      <c r="M23">
        <v>42598.959317944769</v>
      </c>
      <c r="N23">
        <v>2</v>
      </c>
      <c r="O23">
        <v>5.3120000000000001E-2</v>
      </c>
      <c r="P23">
        <v>1.89</v>
      </c>
      <c r="Q23">
        <v>88.67</v>
      </c>
      <c r="R23">
        <v>5.8449999999999998</v>
      </c>
      <c r="S23">
        <v>48.18</v>
      </c>
    </row>
    <row r="24" spans="1:19" x14ac:dyDescent="0.25">
      <c r="A24" s="6">
        <v>43955</v>
      </c>
      <c r="B24">
        <v>30</v>
      </c>
      <c r="C24">
        <v>37.97</v>
      </c>
      <c r="D24">
        <v>47.89</v>
      </c>
      <c r="E24">
        <v>49.47</v>
      </c>
      <c r="F24">
        <v>42.99</v>
      </c>
      <c r="G24">
        <v>20.39</v>
      </c>
      <c r="H24">
        <v>27.2</v>
      </c>
      <c r="I24">
        <v>26.2</v>
      </c>
      <c r="J24">
        <v>44.88</v>
      </c>
      <c r="K24">
        <v>13.12</v>
      </c>
      <c r="L24">
        <v>49186.59</v>
      </c>
      <c r="M24">
        <v>41596.42</v>
      </c>
      <c r="N24">
        <v>2</v>
      </c>
      <c r="O24">
        <v>5.3740000000000003E-2</v>
      </c>
      <c r="P24">
        <v>1.9930000000000001</v>
      </c>
      <c r="Q24">
        <v>89.67</v>
      </c>
      <c r="R24">
        <v>5.74</v>
      </c>
      <c r="S24">
        <v>48.18</v>
      </c>
    </row>
    <row r="25" spans="1:19" x14ac:dyDescent="0.25">
      <c r="A25" s="6">
        <v>43956</v>
      </c>
      <c r="B25">
        <v>30</v>
      </c>
      <c r="C25">
        <v>37.97</v>
      </c>
      <c r="D25">
        <v>47.89</v>
      </c>
      <c r="E25">
        <v>49.47</v>
      </c>
      <c r="F25">
        <v>42.99</v>
      </c>
      <c r="G25">
        <v>24.56</v>
      </c>
      <c r="H25">
        <v>30.97</v>
      </c>
      <c r="I25">
        <v>28.94</v>
      </c>
      <c r="J25">
        <v>44.83</v>
      </c>
      <c r="K25">
        <v>13.2</v>
      </c>
      <c r="L25">
        <v>49184.160000000003</v>
      </c>
      <c r="M25">
        <v>40974.9</v>
      </c>
      <c r="N25">
        <v>2.02</v>
      </c>
      <c r="O25">
        <v>5.3969999999999997E-2</v>
      </c>
      <c r="P25">
        <v>2.1339999999999999</v>
      </c>
      <c r="Q25">
        <v>92.97</v>
      </c>
      <c r="R25">
        <v>5.6749999999999998</v>
      </c>
      <c r="S25">
        <v>47.25</v>
      </c>
    </row>
    <row r="26" spans="1:19" x14ac:dyDescent="0.25">
      <c r="A26" s="6">
        <v>43957</v>
      </c>
      <c r="B26">
        <v>30</v>
      </c>
      <c r="C26">
        <v>37.97</v>
      </c>
      <c r="D26">
        <v>47.89</v>
      </c>
      <c r="E26">
        <v>49.47</v>
      </c>
      <c r="F26">
        <v>42.99</v>
      </c>
      <c r="G26">
        <v>23.99</v>
      </c>
      <c r="H26">
        <v>29.72</v>
      </c>
      <c r="I26">
        <v>27.35</v>
      </c>
      <c r="J26">
        <v>43.99</v>
      </c>
      <c r="K26">
        <v>13.5</v>
      </c>
      <c r="L26">
        <v>49831.99</v>
      </c>
      <c r="M26">
        <v>42138.64</v>
      </c>
      <c r="N26">
        <v>2.02</v>
      </c>
      <c r="O26">
        <v>5.3319999999999999E-2</v>
      </c>
      <c r="P26">
        <v>1.944</v>
      </c>
      <c r="Q26">
        <v>91.74</v>
      </c>
      <c r="R26">
        <v>5.7649999999999997</v>
      </c>
      <c r="S26">
        <v>48.65</v>
      </c>
    </row>
    <row r="27" spans="1:19" x14ac:dyDescent="0.25">
      <c r="A27" s="6">
        <v>43958</v>
      </c>
      <c r="B27">
        <v>31.61</v>
      </c>
      <c r="C27">
        <v>40.68</v>
      </c>
      <c r="D27">
        <v>50.66</v>
      </c>
      <c r="E27">
        <v>51.91</v>
      </c>
      <c r="F27">
        <v>45.77</v>
      </c>
      <c r="G27">
        <v>23.55</v>
      </c>
      <c r="H27">
        <v>29.46</v>
      </c>
      <c r="I27">
        <v>27.14</v>
      </c>
      <c r="J27">
        <v>44.24</v>
      </c>
      <c r="K27">
        <v>13.4</v>
      </c>
      <c r="L27">
        <v>50019.7</v>
      </c>
      <c r="M27">
        <v>42515.31</v>
      </c>
      <c r="N27">
        <v>2.0249999999999999</v>
      </c>
      <c r="O27">
        <v>5.3760000000000002E-2</v>
      </c>
      <c r="P27">
        <v>1.8939999999999999</v>
      </c>
      <c r="Q27">
        <v>93.09</v>
      </c>
      <c r="R27">
        <v>5.8449999999999998</v>
      </c>
      <c r="S27">
        <v>48.23</v>
      </c>
    </row>
    <row r="28" spans="1:19" x14ac:dyDescent="0.25">
      <c r="A28" s="6">
        <v>43959</v>
      </c>
      <c r="B28">
        <v>31.61</v>
      </c>
      <c r="C28">
        <v>40.68</v>
      </c>
      <c r="D28">
        <v>50.66</v>
      </c>
      <c r="E28">
        <v>51.91</v>
      </c>
      <c r="F28">
        <v>45.77</v>
      </c>
      <c r="G28">
        <v>24.74</v>
      </c>
      <c r="H28">
        <v>30.97</v>
      </c>
      <c r="I28">
        <v>28.54</v>
      </c>
      <c r="J28">
        <v>46.18</v>
      </c>
      <c r="K28">
        <v>13.5</v>
      </c>
      <c r="L28">
        <v>51003.58</v>
      </c>
      <c r="M28">
        <v>43637.3</v>
      </c>
      <c r="N28">
        <v>2.0299999999999998</v>
      </c>
      <c r="O28">
        <v>5.4460000000000001E-2</v>
      </c>
      <c r="P28">
        <v>1.823</v>
      </c>
      <c r="Q28">
        <v>93.52</v>
      </c>
      <c r="R28">
        <v>5.83</v>
      </c>
      <c r="S28">
        <v>48</v>
      </c>
    </row>
    <row r="29" spans="1:19" x14ac:dyDescent="0.25">
      <c r="A29" s="6">
        <v>43962</v>
      </c>
      <c r="B29">
        <v>31.61</v>
      </c>
      <c r="C29">
        <v>40.68</v>
      </c>
      <c r="D29">
        <v>50.66</v>
      </c>
      <c r="E29">
        <v>51.91</v>
      </c>
      <c r="F29">
        <v>45.77</v>
      </c>
      <c r="G29">
        <v>24.14</v>
      </c>
      <c r="H29">
        <v>29.63</v>
      </c>
      <c r="I29">
        <v>27.27</v>
      </c>
      <c r="J29">
        <v>45.74</v>
      </c>
      <c r="K29">
        <v>13.58</v>
      </c>
      <c r="L29">
        <v>50202.85</v>
      </c>
      <c r="M29">
        <v>41414.199999999997</v>
      </c>
      <c r="N29">
        <v>2.04</v>
      </c>
      <c r="O29">
        <v>5.4239999999999997E-2</v>
      </c>
      <c r="P29">
        <v>1.8260000000000001</v>
      </c>
      <c r="Q29">
        <v>94.1</v>
      </c>
      <c r="R29">
        <v>5.7050000000000001</v>
      </c>
      <c r="S29">
        <v>48.35</v>
      </c>
    </row>
    <row r="30" spans="1:19" x14ac:dyDescent="0.25">
      <c r="A30" s="6">
        <v>43963</v>
      </c>
      <c r="B30">
        <v>31.61</v>
      </c>
      <c r="C30">
        <v>40.68</v>
      </c>
      <c r="D30">
        <v>50.66</v>
      </c>
      <c r="E30">
        <v>51.91</v>
      </c>
      <c r="F30">
        <v>45.77</v>
      </c>
      <c r="G30">
        <v>25.78</v>
      </c>
      <c r="H30">
        <v>29.98</v>
      </c>
      <c r="I30">
        <v>26.81</v>
      </c>
      <c r="J30">
        <v>44.12</v>
      </c>
      <c r="K30">
        <v>13.4</v>
      </c>
      <c r="L30">
        <v>50319.41</v>
      </c>
      <c r="M30">
        <v>42000.21</v>
      </c>
      <c r="N30">
        <v>2.1150000000000002</v>
      </c>
      <c r="O30">
        <v>5.4239999999999997E-2</v>
      </c>
      <c r="P30">
        <v>1.72</v>
      </c>
      <c r="Q30">
        <v>92.55</v>
      </c>
      <c r="R30">
        <v>5.3150000000000004</v>
      </c>
      <c r="S30">
        <v>48.17</v>
      </c>
    </row>
    <row r="31" spans="1:19" x14ac:dyDescent="0.25">
      <c r="A31" s="6">
        <v>43964</v>
      </c>
      <c r="B31">
        <v>31.61</v>
      </c>
      <c r="C31">
        <v>40.68</v>
      </c>
      <c r="D31">
        <v>50.66</v>
      </c>
      <c r="E31">
        <v>51.91</v>
      </c>
      <c r="F31">
        <v>45.77</v>
      </c>
      <c r="G31">
        <v>25.29</v>
      </c>
      <c r="H31">
        <v>29.19</v>
      </c>
      <c r="I31">
        <v>26.68</v>
      </c>
      <c r="J31">
        <v>41.93</v>
      </c>
      <c r="K31">
        <v>13.36</v>
      </c>
      <c r="L31">
        <v>50152.05</v>
      </c>
      <c r="M31">
        <v>41336.720000000001</v>
      </c>
      <c r="N31">
        <v>2.1150000000000002</v>
      </c>
      <c r="O31">
        <v>5.4030000000000002E-2</v>
      </c>
      <c r="P31">
        <v>1.6160000000000001</v>
      </c>
      <c r="Q31">
        <v>93.3</v>
      </c>
      <c r="R31">
        <v>5.12</v>
      </c>
      <c r="S31">
        <v>51.6</v>
      </c>
    </row>
    <row r="32" spans="1:19" x14ac:dyDescent="0.25">
      <c r="A32" s="6">
        <v>43965</v>
      </c>
      <c r="B32">
        <v>31.61</v>
      </c>
      <c r="C32">
        <v>40.68</v>
      </c>
      <c r="D32">
        <v>50.66</v>
      </c>
      <c r="E32">
        <v>51.91</v>
      </c>
      <c r="F32">
        <v>45.77</v>
      </c>
      <c r="G32">
        <v>27.56</v>
      </c>
      <c r="H32">
        <v>31.13</v>
      </c>
      <c r="I32">
        <v>29.2</v>
      </c>
      <c r="J32">
        <v>42.3</v>
      </c>
      <c r="K32">
        <v>13.16</v>
      </c>
      <c r="L32">
        <v>49113.06</v>
      </c>
      <c r="M32">
        <v>41249.56</v>
      </c>
      <c r="N32">
        <v>2.11</v>
      </c>
      <c r="O32">
        <v>5.4239999999999997E-2</v>
      </c>
      <c r="P32">
        <v>1.681</v>
      </c>
      <c r="Q32">
        <v>93.25</v>
      </c>
      <c r="R32">
        <v>5.2649999999999997</v>
      </c>
      <c r="S32">
        <v>51.72</v>
      </c>
    </row>
    <row r="33" spans="1:19" x14ac:dyDescent="0.25">
      <c r="A33" s="6">
        <v>43966</v>
      </c>
      <c r="B33">
        <v>32.979999999999997</v>
      </c>
      <c r="C33">
        <v>42.39</v>
      </c>
      <c r="D33">
        <v>52.37</v>
      </c>
      <c r="E33">
        <v>53.17</v>
      </c>
      <c r="F33">
        <v>48.75</v>
      </c>
      <c r="G33">
        <v>29.43</v>
      </c>
      <c r="H33">
        <v>32.5</v>
      </c>
      <c r="I33">
        <v>29.8</v>
      </c>
      <c r="J33">
        <v>42</v>
      </c>
      <c r="K33">
        <v>13.14</v>
      </c>
      <c r="L33">
        <v>49628.72</v>
      </c>
      <c r="M33">
        <v>43330.28</v>
      </c>
      <c r="N33">
        <v>2.105</v>
      </c>
      <c r="O33">
        <v>5.3839999999999999E-2</v>
      </c>
      <c r="P33">
        <v>1.6459999999999999</v>
      </c>
      <c r="Q33">
        <v>93.47</v>
      </c>
      <c r="R33">
        <v>5.22</v>
      </c>
      <c r="S33">
        <v>53.37</v>
      </c>
    </row>
    <row r="34" spans="1:19" x14ac:dyDescent="0.25">
      <c r="A34" s="6">
        <v>43969</v>
      </c>
      <c r="B34">
        <v>32.979999999999997</v>
      </c>
      <c r="C34">
        <v>42.39</v>
      </c>
      <c r="D34">
        <v>52.37</v>
      </c>
      <c r="E34">
        <v>53.17</v>
      </c>
      <c r="F34">
        <v>48.75</v>
      </c>
      <c r="G34">
        <v>31.82</v>
      </c>
      <c r="H34">
        <v>34.81</v>
      </c>
      <c r="I34">
        <v>30.55</v>
      </c>
      <c r="J34">
        <v>45.34</v>
      </c>
      <c r="K34">
        <v>13.48</v>
      </c>
      <c r="L34">
        <v>51382.06</v>
      </c>
      <c r="M34">
        <v>46198.33</v>
      </c>
      <c r="N34">
        <v>2.2799999999999998</v>
      </c>
      <c r="O34">
        <v>5.4460000000000001E-2</v>
      </c>
      <c r="P34">
        <v>1.7829999999999999</v>
      </c>
      <c r="Q34">
        <v>96</v>
      </c>
      <c r="R34">
        <v>4.92</v>
      </c>
      <c r="S34">
        <v>53.02</v>
      </c>
    </row>
    <row r="35" spans="1:19" x14ac:dyDescent="0.25">
      <c r="A35" s="6">
        <v>43970</v>
      </c>
      <c r="B35">
        <v>32.979999999999997</v>
      </c>
      <c r="C35">
        <v>42.39</v>
      </c>
      <c r="D35">
        <v>52.37</v>
      </c>
      <c r="E35">
        <v>53.17</v>
      </c>
      <c r="F35">
        <v>48.75</v>
      </c>
      <c r="G35">
        <v>32.5</v>
      </c>
      <c r="H35">
        <v>34.65</v>
      </c>
      <c r="I35">
        <v>30.42</v>
      </c>
      <c r="J35">
        <v>43.94</v>
      </c>
      <c r="K35">
        <v>14</v>
      </c>
      <c r="L35">
        <v>51950.14</v>
      </c>
      <c r="M35">
        <v>46576.23</v>
      </c>
      <c r="N35">
        <v>2.2149999999999999</v>
      </c>
      <c r="O35">
        <v>5.4519999999999999E-2</v>
      </c>
      <c r="P35">
        <v>1.83</v>
      </c>
      <c r="Q35">
        <v>92.96</v>
      </c>
      <c r="R35">
        <v>4.6100000000000003</v>
      </c>
      <c r="S35">
        <v>54.47</v>
      </c>
    </row>
    <row r="36" spans="1:19" x14ac:dyDescent="0.25">
      <c r="A36" s="6">
        <v>43971</v>
      </c>
      <c r="B36">
        <v>32.979999999999997</v>
      </c>
      <c r="C36">
        <v>42.39</v>
      </c>
      <c r="D36">
        <v>52.37</v>
      </c>
      <c r="E36">
        <v>53.17</v>
      </c>
      <c r="F36">
        <v>48.75</v>
      </c>
      <c r="G36">
        <v>33.49</v>
      </c>
      <c r="H36">
        <v>35.75</v>
      </c>
      <c r="I36">
        <v>30.57</v>
      </c>
      <c r="J36">
        <v>45.37</v>
      </c>
      <c r="K36">
        <v>14.04</v>
      </c>
      <c r="L36">
        <v>52142.75</v>
      </c>
      <c r="M36">
        <v>46237.15</v>
      </c>
      <c r="N36">
        <v>2.1949999999999998</v>
      </c>
      <c r="O36">
        <v>5.5759999999999997E-2</v>
      </c>
      <c r="P36">
        <v>1.7709999999999999</v>
      </c>
      <c r="Q36">
        <v>93.45</v>
      </c>
      <c r="R36">
        <v>4.46</v>
      </c>
      <c r="S36">
        <v>54.68</v>
      </c>
    </row>
    <row r="37" spans="1:19" x14ac:dyDescent="0.25">
      <c r="A37" s="6">
        <v>43972</v>
      </c>
      <c r="B37">
        <v>32.979999999999997</v>
      </c>
      <c r="C37">
        <v>42.39</v>
      </c>
      <c r="D37">
        <v>52.37</v>
      </c>
      <c r="E37">
        <v>53.17</v>
      </c>
      <c r="F37">
        <v>48.75</v>
      </c>
      <c r="G37">
        <v>33.92</v>
      </c>
      <c r="H37">
        <v>36.06</v>
      </c>
      <c r="I37">
        <v>30.62</v>
      </c>
      <c r="J37">
        <v>44.56</v>
      </c>
      <c r="K37">
        <v>14.04</v>
      </c>
      <c r="L37">
        <v>51022.76</v>
      </c>
      <c r="M37">
        <v>44356.55</v>
      </c>
      <c r="N37">
        <v>2.0950000000000002</v>
      </c>
      <c r="O37">
        <v>5.6840000000000002E-2</v>
      </c>
      <c r="P37">
        <v>1.71</v>
      </c>
      <c r="Q37">
        <v>92.86</v>
      </c>
      <c r="R37">
        <v>3.8250000000000002</v>
      </c>
      <c r="S37">
        <v>54.67</v>
      </c>
    </row>
    <row r="38" spans="1:19" x14ac:dyDescent="0.25">
      <c r="A38" s="6">
        <v>43973</v>
      </c>
      <c r="B38">
        <v>33.86</v>
      </c>
      <c r="C38">
        <v>42.98</v>
      </c>
      <c r="D38">
        <v>52.33</v>
      </c>
      <c r="E38">
        <v>54.93</v>
      </c>
      <c r="F38">
        <v>50.16</v>
      </c>
      <c r="G38">
        <v>33.25</v>
      </c>
      <c r="H38">
        <v>35.130000000000003</v>
      </c>
      <c r="I38">
        <v>30.34</v>
      </c>
      <c r="J38">
        <v>44.6</v>
      </c>
      <c r="K38">
        <v>13.3</v>
      </c>
      <c r="L38">
        <v>50147.21</v>
      </c>
      <c r="M38">
        <v>43810.47</v>
      </c>
      <c r="N38">
        <v>2.0049999999999999</v>
      </c>
      <c r="O38">
        <v>5.6809999999999999E-2</v>
      </c>
      <c r="P38">
        <v>1.7310000000000001</v>
      </c>
      <c r="Q38">
        <v>93.77</v>
      </c>
      <c r="R38">
        <v>3.89</v>
      </c>
      <c r="S38">
        <v>54.92</v>
      </c>
    </row>
    <row r="39" spans="1:19" x14ac:dyDescent="0.25">
      <c r="A39" s="6">
        <v>43976</v>
      </c>
      <c r="B39">
        <v>33.86</v>
      </c>
      <c r="C39">
        <v>42.98</v>
      </c>
      <c r="D39">
        <v>52.33</v>
      </c>
      <c r="E39">
        <v>54.93</v>
      </c>
      <c r="F39">
        <v>50.16</v>
      </c>
      <c r="G39">
        <v>33.92</v>
      </c>
      <c r="H39">
        <v>35.53</v>
      </c>
      <c r="I39">
        <v>30.465</v>
      </c>
      <c r="J39">
        <v>45.254999999999995</v>
      </c>
      <c r="K39">
        <v>13.54</v>
      </c>
      <c r="L39">
        <v>50074.21</v>
      </c>
      <c r="M39">
        <v>44102.49</v>
      </c>
      <c r="N39">
        <v>2.0641891891891646</v>
      </c>
      <c r="O39">
        <v>5.663E-2</v>
      </c>
      <c r="P39">
        <v>1.8640000000000001</v>
      </c>
      <c r="Q39">
        <v>94</v>
      </c>
      <c r="R39">
        <v>4.0075000000000003</v>
      </c>
      <c r="S39">
        <v>54.83</v>
      </c>
    </row>
    <row r="40" spans="1:19" x14ac:dyDescent="0.25">
      <c r="A40" s="6">
        <v>43977</v>
      </c>
      <c r="B40">
        <v>33.86</v>
      </c>
      <c r="C40">
        <v>42.98</v>
      </c>
      <c r="D40">
        <v>52.33</v>
      </c>
      <c r="E40">
        <v>54.93</v>
      </c>
      <c r="F40">
        <v>50.16</v>
      </c>
      <c r="G40">
        <v>34.35</v>
      </c>
      <c r="H40">
        <v>36.17</v>
      </c>
      <c r="I40">
        <v>30.59</v>
      </c>
      <c r="J40">
        <v>45.91</v>
      </c>
      <c r="K40">
        <v>13.64</v>
      </c>
      <c r="L40">
        <v>50602.5</v>
      </c>
      <c r="M40">
        <v>43454.42</v>
      </c>
      <c r="N40">
        <v>2.1</v>
      </c>
      <c r="O40">
        <v>5.7430000000000002E-2</v>
      </c>
      <c r="P40">
        <v>1.7929999999999999</v>
      </c>
      <c r="Q40">
        <v>94.23</v>
      </c>
      <c r="R40">
        <v>4.125</v>
      </c>
      <c r="S40">
        <v>54.83</v>
      </c>
    </row>
    <row r="41" spans="1:19" x14ac:dyDescent="0.25">
      <c r="A41" s="6">
        <v>43978</v>
      </c>
      <c r="B41">
        <v>33.86</v>
      </c>
      <c r="C41">
        <v>42.98</v>
      </c>
      <c r="D41">
        <v>52.33</v>
      </c>
      <c r="E41">
        <v>54.93</v>
      </c>
      <c r="F41">
        <v>50.16</v>
      </c>
      <c r="G41">
        <v>32.81</v>
      </c>
      <c r="H41">
        <v>34.74</v>
      </c>
      <c r="I41">
        <v>30.43</v>
      </c>
      <c r="J41">
        <v>46.24</v>
      </c>
      <c r="K41">
        <v>13.84</v>
      </c>
      <c r="L41">
        <v>50495.95</v>
      </c>
      <c r="M41">
        <v>43374.39</v>
      </c>
      <c r="N41">
        <v>2</v>
      </c>
      <c r="O41">
        <v>5.7480000000000003E-2</v>
      </c>
      <c r="P41">
        <v>1.722</v>
      </c>
      <c r="Q41">
        <v>92.83</v>
      </c>
      <c r="R41">
        <v>3.6949999999999998</v>
      </c>
      <c r="S41">
        <v>54.73</v>
      </c>
    </row>
    <row r="42" spans="1:19" x14ac:dyDescent="0.25">
      <c r="A42" s="6">
        <v>43979</v>
      </c>
      <c r="B42">
        <v>33.86</v>
      </c>
      <c r="C42">
        <v>42.98</v>
      </c>
      <c r="D42">
        <v>52.33</v>
      </c>
      <c r="E42">
        <v>54.93</v>
      </c>
      <c r="F42">
        <v>50.16</v>
      </c>
      <c r="G42">
        <v>33.71</v>
      </c>
      <c r="H42">
        <v>35.29</v>
      </c>
      <c r="I42">
        <v>30.51</v>
      </c>
      <c r="J42">
        <v>45.04</v>
      </c>
      <c r="K42">
        <v>14.14</v>
      </c>
      <c r="L42">
        <v>51389.120000000003</v>
      </c>
      <c r="M42">
        <v>44957.26</v>
      </c>
      <c r="N42">
        <v>2.02</v>
      </c>
      <c r="O42">
        <v>5.7049999999999997E-2</v>
      </c>
      <c r="P42">
        <v>1.827</v>
      </c>
      <c r="Q42">
        <v>94.87</v>
      </c>
      <c r="R42">
        <v>3.51</v>
      </c>
      <c r="S42">
        <v>54.87</v>
      </c>
    </row>
    <row r="43" spans="1:19" x14ac:dyDescent="0.25">
      <c r="A43" s="6">
        <v>43980</v>
      </c>
      <c r="B43">
        <v>34.53</v>
      </c>
      <c r="C43">
        <v>43.62</v>
      </c>
      <c r="D43">
        <v>53.26</v>
      </c>
      <c r="E43">
        <v>55.27</v>
      </c>
      <c r="F43">
        <v>50.96</v>
      </c>
      <c r="G43">
        <v>35.49</v>
      </c>
      <c r="H43">
        <v>35.33</v>
      </c>
      <c r="I43">
        <v>30.47</v>
      </c>
      <c r="J43">
        <v>45.47</v>
      </c>
      <c r="K43">
        <v>14.16</v>
      </c>
      <c r="L43">
        <v>50483</v>
      </c>
      <c r="M43">
        <v>44896.14</v>
      </c>
      <c r="N43">
        <v>2.0649999999999999</v>
      </c>
      <c r="O43">
        <v>5.6959999999999997E-2</v>
      </c>
      <c r="P43">
        <v>1.849</v>
      </c>
      <c r="Q43">
        <v>97.25</v>
      </c>
      <c r="R43">
        <v>4.3849999999999998</v>
      </c>
      <c r="S43">
        <v>54.6</v>
      </c>
    </row>
    <row r="44" spans="1:19" x14ac:dyDescent="0.25">
      <c r="A44" s="6">
        <v>43983</v>
      </c>
      <c r="B44">
        <v>34.53</v>
      </c>
      <c r="C44">
        <v>43.62</v>
      </c>
      <c r="D44">
        <v>53.26</v>
      </c>
      <c r="E44">
        <v>55.27</v>
      </c>
      <c r="F44">
        <v>50.96</v>
      </c>
      <c r="G44">
        <v>35.44</v>
      </c>
      <c r="H44">
        <v>38.32</v>
      </c>
      <c r="I44">
        <v>38.32</v>
      </c>
      <c r="J44">
        <v>46.28</v>
      </c>
      <c r="K44">
        <v>14.32</v>
      </c>
      <c r="L44">
        <v>50929.59</v>
      </c>
      <c r="M44">
        <v>45207.98</v>
      </c>
      <c r="N44">
        <v>2</v>
      </c>
      <c r="O44">
        <v>5.7540000000000001E-2</v>
      </c>
      <c r="P44">
        <v>1.774</v>
      </c>
      <c r="Q44">
        <v>97.62</v>
      </c>
      <c r="R44">
        <v>4.0549999999999997</v>
      </c>
      <c r="S44">
        <v>57.7</v>
      </c>
    </row>
    <row r="45" spans="1:19" x14ac:dyDescent="0.25">
      <c r="A45" s="6">
        <v>43984</v>
      </c>
      <c r="B45">
        <v>34.53</v>
      </c>
      <c r="C45">
        <v>43.62</v>
      </c>
      <c r="D45">
        <v>53.26</v>
      </c>
      <c r="E45">
        <v>55.27</v>
      </c>
      <c r="F45">
        <v>50.96</v>
      </c>
      <c r="G45">
        <v>36.81</v>
      </c>
      <c r="H45">
        <v>39.57</v>
      </c>
      <c r="I45">
        <v>39.17</v>
      </c>
      <c r="J45">
        <v>47.31</v>
      </c>
      <c r="K45">
        <v>14.54</v>
      </c>
      <c r="L45">
        <v>52496.86</v>
      </c>
      <c r="M45">
        <v>46637.55</v>
      </c>
      <c r="N45">
        <v>2.105</v>
      </c>
      <c r="O45">
        <v>5.824E-2</v>
      </c>
      <c r="P45">
        <v>1.7769999999999999</v>
      </c>
      <c r="Q45">
        <v>96.35</v>
      </c>
      <c r="R45">
        <v>4.8499999999999996</v>
      </c>
      <c r="S45">
        <v>56.48</v>
      </c>
    </row>
    <row r="46" spans="1:19" x14ac:dyDescent="0.25">
      <c r="A46" s="6">
        <v>43985</v>
      </c>
      <c r="B46">
        <v>34.53</v>
      </c>
      <c r="C46">
        <v>43.62</v>
      </c>
      <c r="D46">
        <v>53.26</v>
      </c>
      <c r="E46">
        <v>55.27</v>
      </c>
      <c r="F46">
        <v>50.96</v>
      </c>
      <c r="G46">
        <v>37.29</v>
      </c>
      <c r="H46">
        <v>39.79</v>
      </c>
      <c r="I46">
        <v>39.26</v>
      </c>
      <c r="J46">
        <v>49.24</v>
      </c>
      <c r="K46">
        <v>14.64</v>
      </c>
      <c r="L46">
        <v>53645.279999999999</v>
      </c>
      <c r="M46">
        <v>46120</v>
      </c>
      <c r="N46">
        <v>2.1</v>
      </c>
      <c r="O46">
        <v>5.9029999999999999E-2</v>
      </c>
      <c r="P46">
        <v>1.821</v>
      </c>
      <c r="Q46">
        <v>97.88</v>
      </c>
      <c r="R46">
        <v>5.33</v>
      </c>
      <c r="S46">
        <v>58</v>
      </c>
    </row>
    <row r="47" spans="1:19" x14ac:dyDescent="0.25">
      <c r="A47" s="6">
        <v>43986</v>
      </c>
      <c r="B47">
        <v>34.53</v>
      </c>
      <c r="C47">
        <v>43.62</v>
      </c>
      <c r="D47">
        <v>53.26</v>
      </c>
      <c r="E47">
        <v>55.27</v>
      </c>
      <c r="F47">
        <v>50.96</v>
      </c>
      <c r="G47">
        <v>37.409999999999997</v>
      </c>
      <c r="H47">
        <v>39.99</v>
      </c>
      <c r="I47">
        <v>39.15</v>
      </c>
      <c r="J47">
        <v>49.1</v>
      </c>
      <c r="K47">
        <v>13.08</v>
      </c>
      <c r="L47">
        <v>53204.79</v>
      </c>
      <c r="M47">
        <v>45911.11</v>
      </c>
      <c r="N47">
        <v>2.0699999999999998</v>
      </c>
      <c r="O47">
        <v>5.9089999999999997E-2</v>
      </c>
      <c r="P47">
        <v>1.8220000000000001</v>
      </c>
      <c r="Q47">
        <v>95.79</v>
      </c>
      <c r="R47">
        <v>5.39</v>
      </c>
      <c r="S47">
        <v>59.87</v>
      </c>
    </row>
    <row r="48" spans="1:19" x14ac:dyDescent="0.25">
      <c r="A48" s="6">
        <v>43987</v>
      </c>
      <c r="B48">
        <v>36.700000000000003</v>
      </c>
      <c r="C48">
        <v>45.35</v>
      </c>
      <c r="D48">
        <v>55.02</v>
      </c>
      <c r="E48">
        <v>59.32</v>
      </c>
      <c r="F48">
        <v>53.47</v>
      </c>
      <c r="G48">
        <v>39.549999999999997</v>
      </c>
      <c r="H48">
        <v>42.3</v>
      </c>
      <c r="I48">
        <v>41.32</v>
      </c>
      <c r="J48">
        <v>53.08</v>
      </c>
      <c r="K48">
        <v>13.1</v>
      </c>
      <c r="L48">
        <v>54722.38</v>
      </c>
      <c r="M48">
        <v>46815.83</v>
      </c>
      <c r="N48">
        <v>2.0699999999999998</v>
      </c>
      <c r="O48">
        <v>5.9240000000000001E-2</v>
      </c>
      <c r="P48">
        <v>1.782</v>
      </c>
      <c r="Q48">
        <v>97.81</v>
      </c>
      <c r="R48">
        <v>5.71</v>
      </c>
      <c r="S48">
        <v>58.38</v>
      </c>
    </row>
    <row r="49" spans="1:19" x14ac:dyDescent="0.25">
      <c r="A49" s="6">
        <v>43990</v>
      </c>
      <c r="B49">
        <v>36.700000000000003</v>
      </c>
      <c r="C49">
        <v>45.35</v>
      </c>
      <c r="D49">
        <v>55.02</v>
      </c>
      <c r="E49">
        <v>59.32</v>
      </c>
      <c r="F49">
        <v>53.47</v>
      </c>
      <c r="G49">
        <v>38.19</v>
      </c>
      <c r="H49">
        <v>40.799999999999997</v>
      </c>
      <c r="I49">
        <v>40.69</v>
      </c>
      <c r="J49">
        <v>54.74</v>
      </c>
      <c r="K49">
        <v>13.14</v>
      </c>
      <c r="L49">
        <v>54684.32</v>
      </c>
      <c r="M49">
        <v>47256.23</v>
      </c>
      <c r="N49">
        <v>2.0699999999999998</v>
      </c>
      <c r="O49">
        <v>5.994E-2</v>
      </c>
      <c r="P49">
        <v>1.7889999999999999</v>
      </c>
      <c r="Q49">
        <v>97.48</v>
      </c>
      <c r="R49">
        <v>5.25</v>
      </c>
      <c r="S49">
        <v>55.85</v>
      </c>
    </row>
    <row r="50" spans="1:19" x14ac:dyDescent="0.25">
      <c r="A50" s="6">
        <v>43991</v>
      </c>
      <c r="B50">
        <v>36.700000000000003</v>
      </c>
      <c r="C50">
        <v>45.35</v>
      </c>
      <c r="D50">
        <v>55.02</v>
      </c>
      <c r="E50">
        <v>59.32</v>
      </c>
      <c r="F50">
        <v>53.47</v>
      </c>
      <c r="G50">
        <v>38.94</v>
      </c>
      <c r="H50">
        <v>41.18</v>
      </c>
      <c r="I50">
        <v>40.82</v>
      </c>
      <c r="J50">
        <v>53.52</v>
      </c>
      <c r="K50">
        <v>13.3</v>
      </c>
      <c r="L50">
        <v>54483.48</v>
      </c>
      <c r="M50">
        <v>47327.7</v>
      </c>
      <c r="N50">
        <v>2.06</v>
      </c>
      <c r="O50">
        <v>6.0080000000000001E-2</v>
      </c>
      <c r="P50">
        <v>1.7669999999999999</v>
      </c>
      <c r="Q50">
        <v>97.44</v>
      </c>
      <c r="R50">
        <v>4.8049999999999997</v>
      </c>
      <c r="S50">
        <v>54.8</v>
      </c>
    </row>
    <row r="51" spans="1:19" x14ac:dyDescent="0.25">
      <c r="A51" s="6">
        <v>43992</v>
      </c>
      <c r="B51">
        <v>36.700000000000003</v>
      </c>
      <c r="C51">
        <v>45.35</v>
      </c>
      <c r="D51">
        <v>55.02</v>
      </c>
      <c r="E51">
        <v>59.32</v>
      </c>
      <c r="F51">
        <v>53.47</v>
      </c>
      <c r="G51">
        <v>39.6</v>
      </c>
      <c r="H51">
        <v>41.73</v>
      </c>
      <c r="I51">
        <v>41.52</v>
      </c>
      <c r="J51">
        <v>50.65</v>
      </c>
      <c r="K51">
        <v>13.08</v>
      </c>
      <c r="L51">
        <v>53672.63</v>
      </c>
      <c r="M51">
        <v>46300.61</v>
      </c>
      <c r="N51">
        <v>2.0699999999999998</v>
      </c>
      <c r="O51">
        <v>6.0560000000000003E-2</v>
      </c>
      <c r="P51">
        <v>1.78</v>
      </c>
      <c r="Q51">
        <v>97.31</v>
      </c>
      <c r="R51">
        <v>4.8</v>
      </c>
      <c r="S51">
        <v>57.75</v>
      </c>
    </row>
    <row r="52" spans="1:19" x14ac:dyDescent="0.25">
      <c r="A52" s="6">
        <v>43993</v>
      </c>
      <c r="B52">
        <v>36.700000000000003</v>
      </c>
      <c r="C52">
        <v>45.35</v>
      </c>
      <c r="D52">
        <v>55.02</v>
      </c>
      <c r="E52">
        <v>59.32</v>
      </c>
      <c r="F52">
        <v>53.47</v>
      </c>
      <c r="G52">
        <v>36.340000000000003</v>
      </c>
      <c r="H52">
        <v>38.549999999999997</v>
      </c>
      <c r="I52">
        <v>39.44</v>
      </c>
      <c r="J52">
        <v>46.18</v>
      </c>
      <c r="K52">
        <v>12.76</v>
      </c>
      <c r="L52">
        <v>53295.3</v>
      </c>
      <c r="M52">
        <v>46560.26</v>
      </c>
      <c r="N52">
        <v>2.0699999999999998</v>
      </c>
      <c r="O52">
        <v>5.8180000000000003E-2</v>
      </c>
      <c r="P52">
        <v>1.8129999999999999</v>
      </c>
      <c r="Q52">
        <v>92.04</v>
      </c>
      <c r="R52">
        <v>4.99</v>
      </c>
      <c r="S52">
        <v>57.95</v>
      </c>
    </row>
    <row r="53" spans="1:19" x14ac:dyDescent="0.25">
      <c r="A53" s="6">
        <v>43994</v>
      </c>
      <c r="B53">
        <v>34.1</v>
      </c>
      <c r="C53">
        <v>42</v>
      </c>
      <c r="D53">
        <v>51.58</v>
      </c>
      <c r="E53">
        <v>55.34</v>
      </c>
      <c r="F53">
        <v>50.81</v>
      </c>
      <c r="G53">
        <v>36.26</v>
      </c>
      <c r="H53">
        <v>38.729999999999997</v>
      </c>
      <c r="I53">
        <v>39.5</v>
      </c>
      <c r="J53">
        <v>47.17</v>
      </c>
      <c r="K53">
        <v>12.5</v>
      </c>
      <c r="L53">
        <v>53639.64</v>
      </c>
      <c r="M53">
        <v>46736.38</v>
      </c>
      <c r="N53">
        <v>2.0649999999999999</v>
      </c>
      <c r="O53">
        <v>5.858E-2</v>
      </c>
      <c r="P53">
        <v>1.7310000000000001</v>
      </c>
      <c r="Q53">
        <v>93.26</v>
      </c>
      <c r="R53">
        <v>5.2750000000000004</v>
      </c>
      <c r="S53">
        <v>57.22</v>
      </c>
    </row>
    <row r="54" spans="1:19" x14ac:dyDescent="0.25">
      <c r="A54" s="6">
        <v>43997</v>
      </c>
      <c r="B54">
        <v>34.1</v>
      </c>
      <c r="C54">
        <v>42</v>
      </c>
      <c r="D54">
        <v>51.58</v>
      </c>
      <c r="E54">
        <v>55.34</v>
      </c>
      <c r="F54">
        <v>50.81</v>
      </c>
      <c r="G54">
        <v>37.119999999999997</v>
      </c>
      <c r="H54">
        <v>39.72</v>
      </c>
      <c r="I54">
        <v>39.85</v>
      </c>
      <c r="J54">
        <v>47.14</v>
      </c>
      <c r="K54">
        <v>12.34</v>
      </c>
      <c r="L54">
        <v>52270.2</v>
      </c>
      <c r="M54">
        <v>45144.32</v>
      </c>
      <c r="N54">
        <v>2.0630000000000002</v>
      </c>
      <c r="O54">
        <v>5.8409999999999997E-2</v>
      </c>
      <c r="P54">
        <v>1.669</v>
      </c>
      <c r="Q54">
        <v>93.77</v>
      </c>
      <c r="R54">
        <v>5.5149999999999997</v>
      </c>
      <c r="S54">
        <v>59.62</v>
      </c>
    </row>
    <row r="55" spans="1:19" x14ac:dyDescent="0.25">
      <c r="A55" s="6">
        <v>43998</v>
      </c>
      <c r="B55">
        <v>34.1</v>
      </c>
      <c r="C55">
        <v>42</v>
      </c>
      <c r="D55">
        <v>51.58</v>
      </c>
      <c r="E55">
        <v>55.34</v>
      </c>
      <c r="F55">
        <v>50.81</v>
      </c>
      <c r="G55">
        <v>38.380000000000003</v>
      </c>
      <c r="H55">
        <v>40.96</v>
      </c>
      <c r="I55">
        <v>40.28</v>
      </c>
      <c r="J55">
        <v>48.2</v>
      </c>
      <c r="K55">
        <v>12.5</v>
      </c>
      <c r="L55">
        <v>51948.67627027072</v>
      </c>
      <c r="M55">
        <v>45070.139243243262</v>
      </c>
      <c r="N55">
        <v>2.25</v>
      </c>
      <c r="O55">
        <v>5.7970000000000001E-2</v>
      </c>
      <c r="P55">
        <v>1.6140000000000001</v>
      </c>
      <c r="Q55">
        <v>94.66</v>
      </c>
      <c r="R55">
        <v>5.26</v>
      </c>
      <c r="S55">
        <v>61.75</v>
      </c>
    </row>
    <row r="56" spans="1:19" x14ac:dyDescent="0.25">
      <c r="A56" s="6">
        <v>43999</v>
      </c>
      <c r="B56">
        <v>34.1</v>
      </c>
      <c r="C56">
        <v>42</v>
      </c>
      <c r="D56">
        <v>51.58</v>
      </c>
      <c r="E56">
        <v>55.34</v>
      </c>
      <c r="F56">
        <v>50.81</v>
      </c>
      <c r="G56">
        <v>37.96</v>
      </c>
      <c r="H56">
        <v>40.71</v>
      </c>
      <c r="I56">
        <v>40.229999999999997</v>
      </c>
      <c r="J56">
        <v>46.63</v>
      </c>
      <c r="K56">
        <v>12.52</v>
      </c>
      <c r="L56">
        <v>54027.42</v>
      </c>
      <c r="M56">
        <v>46378.02</v>
      </c>
      <c r="N56">
        <v>2.2000000000000002</v>
      </c>
      <c r="O56">
        <v>5.8110000000000002E-2</v>
      </c>
      <c r="P56">
        <v>1.6379999999999999</v>
      </c>
      <c r="Q56">
        <v>94.62</v>
      </c>
      <c r="R56">
        <v>5.21</v>
      </c>
      <c r="S56">
        <v>60.92</v>
      </c>
    </row>
    <row r="57" spans="1:19" x14ac:dyDescent="0.25">
      <c r="A57" s="6">
        <v>44000</v>
      </c>
      <c r="B57">
        <v>34.1</v>
      </c>
      <c r="C57">
        <v>42</v>
      </c>
      <c r="D57">
        <v>51.58</v>
      </c>
      <c r="E57">
        <v>55.34</v>
      </c>
      <c r="F57">
        <v>50.81</v>
      </c>
      <c r="G57">
        <v>38.840000000000003</v>
      </c>
      <c r="H57">
        <v>41.51</v>
      </c>
      <c r="I57">
        <v>40.630000000000003</v>
      </c>
      <c r="J57">
        <v>46.92</v>
      </c>
      <c r="K57">
        <v>12.88</v>
      </c>
      <c r="L57">
        <v>53941.22</v>
      </c>
      <c r="M57">
        <v>46046.52</v>
      </c>
      <c r="N57">
        <v>2.2000000000000002</v>
      </c>
      <c r="O57">
        <v>5.7180000000000002E-2</v>
      </c>
      <c r="P57">
        <v>1.6379999999999999</v>
      </c>
      <c r="Q57">
        <v>94.39</v>
      </c>
      <c r="R57">
        <v>5.45</v>
      </c>
      <c r="S57">
        <v>60.08</v>
      </c>
    </row>
    <row r="58" spans="1:19" x14ac:dyDescent="0.25">
      <c r="A58" s="6">
        <v>44001</v>
      </c>
      <c r="B58">
        <v>32.909999999999997</v>
      </c>
      <c r="C58">
        <v>40.96</v>
      </c>
      <c r="D58">
        <v>50.86</v>
      </c>
      <c r="E58">
        <v>54.15</v>
      </c>
      <c r="F58">
        <v>51.71</v>
      </c>
      <c r="G58">
        <v>39.75</v>
      </c>
      <c r="H58">
        <v>42.19</v>
      </c>
      <c r="I58">
        <v>41.07</v>
      </c>
      <c r="J58">
        <v>45.98</v>
      </c>
      <c r="K58">
        <v>12.88</v>
      </c>
      <c r="L58">
        <v>54224.4</v>
      </c>
      <c r="M58">
        <v>46798.76</v>
      </c>
      <c r="N58">
        <v>2.2200000000000002</v>
      </c>
      <c r="O58">
        <v>5.7669999999999999E-2</v>
      </c>
      <c r="P58">
        <v>1.669</v>
      </c>
      <c r="Q58">
        <v>94.52</v>
      </c>
      <c r="R58">
        <v>5.6150000000000002</v>
      </c>
      <c r="S58">
        <v>63.1</v>
      </c>
    </row>
    <row r="59" spans="1:19" x14ac:dyDescent="0.25">
      <c r="A59" s="6">
        <v>44004</v>
      </c>
      <c r="B59">
        <v>32.909999999999997</v>
      </c>
      <c r="C59">
        <v>40.96</v>
      </c>
      <c r="D59">
        <v>50.86</v>
      </c>
      <c r="E59">
        <v>54.15</v>
      </c>
      <c r="F59">
        <v>51.71</v>
      </c>
      <c r="G59">
        <v>40.46</v>
      </c>
      <c r="H59">
        <v>43.08</v>
      </c>
      <c r="I59">
        <v>41.12</v>
      </c>
      <c r="J59">
        <v>46.42</v>
      </c>
      <c r="K59">
        <v>12.52</v>
      </c>
      <c r="L59">
        <v>54230.17</v>
      </c>
      <c r="M59">
        <v>47053.91</v>
      </c>
      <c r="N59">
        <v>2.25</v>
      </c>
      <c r="O59">
        <v>5.7669999999999999E-2</v>
      </c>
      <c r="P59">
        <v>1.6639999999999999</v>
      </c>
      <c r="Q59">
        <v>94.31</v>
      </c>
      <c r="R59">
        <v>5.4950000000000001</v>
      </c>
      <c r="S59">
        <v>63.25</v>
      </c>
    </row>
    <row r="60" spans="1:19" x14ac:dyDescent="0.25">
      <c r="A60" s="6">
        <v>44005</v>
      </c>
      <c r="B60">
        <v>32.909999999999997</v>
      </c>
      <c r="C60">
        <v>40.96</v>
      </c>
      <c r="D60">
        <v>50.86</v>
      </c>
      <c r="E60">
        <v>54.15</v>
      </c>
      <c r="F60">
        <v>51.71</v>
      </c>
      <c r="G60">
        <v>40.369999999999997</v>
      </c>
      <c r="H60">
        <v>42.63</v>
      </c>
      <c r="I60">
        <v>41.04</v>
      </c>
      <c r="J60">
        <v>46.7</v>
      </c>
      <c r="K60">
        <v>12.38</v>
      </c>
      <c r="L60">
        <v>55474.93</v>
      </c>
      <c r="M60">
        <v>49066.64</v>
      </c>
      <c r="N60">
        <v>2.2999999999999998</v>
      </c>
      <c r="O60">
        <v>5.7930000000000002E-2</v>
      </c>
      <c r="P60">
        <v>1.637</v>
      </c>
      <c r="Q60">
        <v>93.5</v>
      </c>
      <c r="R60">
        <v>5.83</v>
      </c>
      <c r="S60">
        <v>62.27</v>
      </c>
    </row>
    <row r="61" spans="1:19" x14ac:dyDescent="0.25">
      <c r="A61" s="6">
        <v>44006</v>
      </c>
      <c r="B61">
        <v>32.909999999999997</v>
      </c>
      <c r="C61">
        <v>40.96</v>
      </c>
      <c r="D61">
        <v>50.86</v>
      </c>
      <c r="E61">
        <v>54.15</v>
      </c>
      <c r="F61">
        <v>51.71</v>
      </c>
      <c r="G61">
        <v>38.01</v>
      </c>
      <c r="H61">
        <v>40.31</v>
      </c>
      <c r="I61">
        <v>40.64</v>
      </c>
      <c r="J61">
        <v>44.5</v>
      </c>
      <c r="K61">
        <v>12.2</v>
      </c>
      <c r="L61">
        <v>54447.73</v>
      </c>
      <c r="M61">
        <v>47941.46</v>
      </c>
      <c r="N61">
        <v>2.2400000000000002</v>
      </c>
      <c r="O61">
        <v>5.7439999999999998E-2</v>
      </c>
      <c r="P61">
        <v>1.597</v>
      </c>
      <c r="Q61">
        <v>90.71</v>
      </c>
      <c r="R61">
        <v>5.665</v>
      </c>
      <c r="S61">
        <v>61.65</v>
      </c>
    </row>
    <row r="62" spans="1:19" x14ac:dyDescent="0.25">
      <c r="A62" s="6">
        <v>44007</v>
      </c>
      <c r="B62">
        <v>32.909999999999997</v>
      </c>
      <c r="C62">
        <v>40.96</v>
      </c>
      <c r="D62">
        <v>50.86</v>
      </c>
      <c r="E62">
        <v>54.15</v>
      </c>
      <c r="F62">
        <v>51.71</v>
      </c>
      <c r="G62">
        <v>38.72</v>
      </c>
      <c r="H62">
        <v>41.05</v>
      </c>
      <c r="I62">
        <v>40.78</v>
      </c>
      <c r="J62">
        <v>45.17</v>
      </c>
      <c r="K62">
        <v>12.247791164658793</v>
      </c>
      <c r="L62">
        <v>53914.05</v>
      </c>
      <c r="M62">
        <v>47861.82</v>
      </c>
      <c r="N62">
        <v>2.2200000000000002</v>
      </c>
      <c r="O62">
        <v>5.8299999999999998E-2</v>
      </c>
      <c r="P62">
        <v>1.482</v>
      </c>
      <c r="Q62">
        <v>92.83</v>
      </c>
      <c r="R62">
        <v>5.2549999999999999</v>
      </c>
      <c r="S62">
        <v>61.58</v>
      </c>
    </row>
    <row r="63" spans="1:19" x14ac:dyDescent="0.25">
      <c r="A63" s="6">
        <v>44008</v>
      </c>
      <c r="B63">
        <v>32.54</v>
      </c>
      <c r="C63">
        <v>40.299999999999997</v>
      </c>
      <c r="D63">
        <v>48.43</v>
      </c>
      <c r="E63">
        <v>50.05</v>
      </c>
      <c r="F63">
        <v>51.45</v>
      </c>
      <c r="G63">
        <v>38.49</v>
      </c>
      <c r="H63">
        <v>41.02</v>
      </c>
      <c r="I63">
        <v>40.81</v>
      </c>
      <c r="J63">
        <v>43.62</v>
      </c>
      <c r="K63">
        <v>12.06</v>
      </c>
      <c r="L63">
        <v>53648.05</v>
      </c>
      <c r="M63">
        <v>47591.24</v>
      </c>
      <c r="N63">
        <v>2.2000000000000002</v>
      </c>
      <c r="O63">
        <v>5.8000000000000003E-2</v>
      </c>
      <c r="P63">
        <v>1.4950000000000001</v>
      </c>
      <c r="Q63">
        <v>90.4</v>
      </c>
      <c r="R63">
        <v>5.1050000000000004</v>
      </c>
      <c r="S63">
        <v>62.03</v>
      </c>
    </row>
    <row r="64" spans="1:19" x14ac:dyDescent="0.25">
      <c r="A64" s="6">
        <v>44011</v>
      </c>
      <c r="B64">
        <v>32.54</v>
      </c>
      <c r="C64">
        <v>40.299999999999997</v>
      </c>
      <c r="D64">
        <v>48.43</v>
      </c>
      <c r="E64">
        <v>50.05</v>
      </c>
      <c r="F64">
        <v>51.45</v>
      </c>
      <c r="G64">
        <v>39.700000000000003</v>
      </c>
      <c r="H64">
        <v>41.71</v>
      </c>
      <c r="I64">
        <v>40.799999999999997</v>
      </c>
      <c r="J64">
        <v>44.32</v>
      </c>
      <c r="K64">
        <v>12.16</v>
      </c>
      <c r="L64">
        <v>54141.5</v>
      </c>
      <c r="M64">
        <v>48221.440000000002</v>
      </c>
      <c r="N64">
        <v>2.2000000000000002</v>
      </c>
      <c r="O64">
        <v>5.7840000000000003E-2</v>
      </c>
      <c r="P64">
        <v>1.7090000000000001</v>
      </c>
      <c r="Q64">
        <v>90.4</v>
      </c>
      <c r="R64">
        <v>5.84</v>
      </c>
      <c r="S64">
        <v>61.03</v>
      </c>
    </row>
    <row r="65" spans="1:19" x14ac:dyDescent="0.25">
      <c r="A65" s="6">
        <v>44012</v>
      </c>
      <c r="B65">
        <v>32.54</v>
      </c>
      <c r="C65">
        <v>40.299999999999997</v>
      </c>
      <c r="D65">
        <v>48.43</v>
      </c>
      <c r="E65">
        <v>50.05</v>
      </c>
      <c r="F65">
        <v>51.45</v>
      </c>
      <c r="G65">
        <v>39.270000000000003</v>
      </c>
      <c r="H65">
        <v>41.15</v>
      </c>
      <c r="I65">
        <v>40.79</v>
      </c>
      <c r="J65">
        <v>44.72</v>
      </c>
      <c r="K65">
        <v>12.12</v>
      </c>
      <c r="L65">
        <v>54362.36</v>
      </c>
      <c r="M65">
        <v>48805.82</v>
      </c>
      <c r="N65">
        <v>2.15</v>
      </c>
      <c r="O65">
        <v>5.7700000000000001E-2</v>
      </c>
      <c r="P65">
        <v>1.7509999999999999</v>
      </c>
      <c r="Q65">
        <v>91.6</v>
      </c>
      <c r="R65">
        <v>6.165</v>
      </c>
      <c r="S65">
        <v>59.92</v>
      </c>
    </row>
    <row r="66" spans="1:19" x14ac:dyDescent="0.25">
      <c r="A66" s="6">
        <v>44013</v>
      </c>
      <c r="B66">
        <v>32.54</v>
      </c>
      <c r="C66">
        <v>40.299999999999997</v>
      </c>
      <c r="D66">
        <v>48.43</v>
      </c>
      <c r="E66">
        <v>50.05</v>
      </c>
      <c r="F66">
        <v>51.45</v>
      </c>
      <c r="G66">
        <v>39.82</v>
      </c>
      <c r="H66">
        <v>42.03</v>
      </c>
      <c r="I66">
        <v>42.26</v>
      </c>
      <c r="J66">
        <v>43.71</v>
      </c>
      <c r="K66">
        <v>12.067377492803871</v>
      </c>
      <c r="L66">
        <v>53787.72</v>
      </c>
      <c r="M66">
        <v>47584.49</v>
      </c>
      <c r="N66">
        <v>2.2000000000000002</v>
      </c>
      <c r="O66">
        <v>5.8630000000000002E-2</v>
      </c>
      <c r="P66">
        <v>1.671</v>
      </c>
      <c r="Q66">
        <v>93.3</v>
      </c>
      <c r="R66">
        <v>5.8650000000000002</v>
      </c>
      <c r="S66">
        <v>59.95</v>
      </c>
    </row>
    <row r="67" spans="1:19" x14ac:dyDescent="0.25">
      <c r="A67" s="6">
        <v>44014</v>
      </c>
      <c r="B67">
        <v>32.54</v>
      </c>
      <c r="C67">
        <v>40.299999999999997</v>
      </c>
      <c r="D67">
        <v>48.43</v>
      </c>
      <c r="E67">
        <v>50.05</v>
      </c>
      <c r="F67">
        <v>51.45</v>
      </c>
      <c r="G67">
        <v>40.65</v>
      </c>
      <c r="H67">
        <v>43.14</v>
      </c>
      <c r="I67">
        <v>43.2</v>
      </c>
      <c r="J67">
        <v>44.08</v>
      </c>
      <c r="K67">
        <v>12.76</v>
      </c>
      <c r="L67">
        <v>54617.19</v>
      </c>
      <c r="M67">
        <v>48478.48</v>
      </c>
      <c r="N67">
        <v>2.2000000000000002</v>
      </c>
      <c r="O67">
        <v>5.8819999999999997E-2</v>
      </c>
      <c r="P67">
        <v>1.734</v>
      </c>
      <c r="Q67">
        <v>92.26</v>
      </c>
      <c r="R67">
        <v>5.9450000000000003</v>
      </c>
      <c r="S67">
        <v>61.28</v>
      </c>
    </row>
    <row r="68" spans="1:19" x14ac:dyDescent="0.25">
      <c r="A68" s="6">
        <v>44015</v>
      </c>
      <c r="B68">
        <v>32.61</v>
      </c>
      <c r="C68">
        <v>40.200000000000003</v>
      </c>
      <c r="D68">
        <v>49.91</v>
      </c>
      <c r="E68">
        <v>53.15</v>
      </c>
      <c r="F68">
        <v>49.92</v>
      </c>
      <c r="G68">
        <v>40.28</v>
      </c>
      <c r="H68">
        <v>42.8</v>
      </c>
      <c r="I68">
        <v>43.045000000000002</v>
      </c>
      <c r="J68">
        <v>44.234999999999999</v>
      </c>
      <c r="K68">
        <v>13.28</v>
      </c>
      <c r="L68">
        <v>54521.9</v>
      </c>
      <c r="M68">
        <v>47750.3</v>
      </c>
      <c r="N68">
        <v>2.1805150214592288</v>
      </c>
      <c r="O68">
        <v>5.8720000000000001E-2</v>
      </c>
      <c r="P68">
        <v>1.746</v>
      </c>
      <c r="Q68">
        <v>92.39500000000001</v>
      </c>
      <c r="R68">
        <v>6.02</v>
      </c>
      <c r="S68">
        <v>62.62</v>
      </c>
    </row>
    <row r="69" spans="1:19" x14ac:dyDescent="0.25">
      <c r="A69" s="6">
        <v>44018</v>
      </c>
      <c r="B69">
        <v>32.61</v>
      </c>
      <c r="C69">
        <v>40.200000000000003</v>
      </c>
      <c r="D69">
        <v>49.91</v>
      </c>
      <c r="E69">
        <v>53.15</v>
      </c>
      <c r="F69">
        <v>49.92</v>
      </c>
      <c r="G69">
        <v>40.630000000000003</v>
      </c>
      <c r="H69">
        <v>43.1</v>
      </c>
      <c r="I69">
        <v>42.89</v>
      </c>
      <c r="J69">
        <v>44.39</v>
      </c>
      <c r="K69">
        <v>13.92</v>
      </c>
      <c r="L69">
        <v>54846.28</v>
      </c>
      <c r="M69">
        <v>48736.58</v>
      </c>
      <c r="N69">
        <v>2.1949999999999998</v>
      </c>
      <c r="O69">
        <v>5.8869999999999999E-2</v>
      </c>
      <c r="P69">
        <v>1.83</v>
      </c>
      <c r="Q69">
        <v>92.53</v>
      </c>
      <c r="R69">
        <v>6.0949999999999998</v>
      </c>
      <c r="S69">
        <v>63.65</v>
      </c>
    </row>
    <row r="70" spans="1:19" x14ac:dyDescent="0.25">
      <c r="A70" s="6">
        <v>44019</v>
      </c>
      <c r="B70">
        <v>32.61</v>
      </c>
      <c r="C70">
        <v>40.200000000000003</v>
      </c>
      <c r="D70">
        <v>49.91</v>
      </c>
      <c r="E70">
        <v>53.15</v>
      </c>
      <c r="F70">
        <v>49.92</v>
      </c>
      <c r="G70">
        <v>40.619999999999997</v>
      </c>
      <c r="H70">
        <v>43.08</v>
      </c>
      <c r="I70">
        <v>43.09</v>
      </c>
      <c r="J70">
        <v>43.24</v>
      </c>
      <c r="K70">
        <v>13.9</v>
      </c>
      <c r="L70">
        <v>55243.8</v>
      </c>
      <c r="M70">
        <v>49722.43</v>
      </c>
      <c r="N70">
        <v>2.1949999999999998</v>
      </c>
      <c r="O70">
        <v>5.8189999999999999E-2</v>
      </c>
      <c r="P70">
        <v>1.8759999999999999</v>
      </c>
      <c r="Q70">
        <v>92.57</v>
      </c>
      <c r="R70">
        <v>6.125</v>
      </c>
      <c r="S70">
        <v>62.87</v>
      </c>
    </row>
    <row r="71" spans="1:19" x14ac:dyDescent="0.25">
      <c r="A71" s="6">
        <v>44020</v>
      </c>
      <c r="B71">
        <v>32.61</v>
      </c>
      <c r="C71">
        <v>40.200000000000003</v>
      </c>
      <c r="D71">
        <v>49.91</v>
      </c>
      <c r="E71">
        <v>53.15</v>
      </c>
      <c r="F71">
        <v>49.92</v>
      </c>
      <c r="G71">
        <v>40.9</v>
      </c>
      <c r="H71">
        <v>43.29</v>
      </c>
      <c r="I71">
        <v>43.29</v>
      </c>
      <c r="J71">
        <v>43.14</v>
      </c>
      <c r="K71">
        <v>13.9</v>
      </c>
      <c r="L71">
        <v>55870.69</v>
      </c>
      <c r="M71">
        <v>50734.25</v>
      </c>
      <c r="N71">
        <v>2.19</v>
      </c>
      <c r="O71">
        <v>5.8990000000000001E-2</v>
      </c>
      <c r="P71">
        <v>1.8240000000000001</v>
      </c>
      <c r="Q71">
        <v>93.84</v>
      </c>
      <c r="R71">
        <v>5.9349999999999996</v>
      </c>
      <c r="S71">
        <v>62.48</v>
      </c>
    </row>
    <row r="72" spans="1:19" x14ac:dyDescent="0.25">
      <c r="A72" s="6">
        <v>44021</v>
      </c>
      <c r="B72">
        <v>32.61</v>
      </c>
      <c r="C72">
        <v>40.200000000000003</v>
      </c>
      <c r="D72">
        <v>49.91</v>
      </c>
      <c r="E72">
        <v>53.15</v>
      </c>
      <c r="F72">
        <v>49.92</v>
      </c>
      <c r="G72">
        <v>39.619999999999997</v>
      </c>
      <c r="H72">
        <v>42.35</v>
      </c>
      <c r="I72">
        <v>42.79</v>
      </c>
      <c r="J72">
        <v>41.36</v>
      </c>
      <c r="K72">
        <v>14.04</v>
      </c>
      <c r="L72">
        <v>55787.9</v>
      </c>
      <c r="M72">
        <v>50530.67</v>
      </c>
      <c r="N72">
        <v>2.17</v>
      </c>
      <c r="O72">
        <v>5.9360000000000003E-2</v>
      </c>
      <c r="P72">
        <v>1.7789999999999999</v>
      </c>
      <c r="Q72">
        <v>92.14</v>
      </c>
      <c r="R72">
        <v>5.7549999999999999</v>
      </c>
      <c r="S72">
        <v>62.08</v>
      </c>
    </row>
    <row r="73" spans="1:19" x14ac:dyDescent="0.25">
      <c r="A73" s="6">
        <v>44022</v>
      </c>
      <c r="B73">
        <v>33.5</v>
      </c>
      <c r="C73">
        <v>40.83</v>
      </c>
      <c r="D73">
        <v>50.12</v>
      </c>
      <c r="E73">
        <v>53.56</v>
      </c>
      <c r="F73">
        <v>51.16</v>
      </c>
      <c r="G73">
        <v>40.549999999999997</v>
      </c>
      <c r="H73">
        <v>43.24</v>
      </c>
      <c r="I73">
        <v>43.4</v>
      </c>
      <c r="J73">
        <v>42.65</v>
      </c>
      <c r="K73">
        <v>13.56</v>
      </c>
      <c r="L73">
        <v>55417.89</v>
      </c>
      <c r="M73">
        <v>50535.49</v>
      </c>
      <c r="N73">
        <v>2.1749999999999998</v>
      </c>
      <c r="O73">
        <v>5.9589999999999997E-2</v>
      </c>
      <c r="P73">
        <v>1.8049999999999999</v>
      </c>
      <c r="Q73">
        <v>92.55</v>
      </c>
      <c r="R73">
        <v>5.4749999999999996</v>
      </c>
      <c r="S73">
        <v>61.77</v>
      </c>
    </row>
    <row r="74" spans="1:19" x14ac:dyDescent="0.25">
      <c r="A74" s="6">
        <v>44025</v>
      </c>
      <c r="B74">
        <v>33.5</v>
      </c>
      <c r="C74">
        <v>40.83</v>
      </c>
      <c r="D74">
        <v>50.12</v>
      </c>
      <c r="E74">
        <v>53.56</v>
      </c>
      <c r="F74">
        <v>51.16</v>
      </c>
      <c r="G74">
        <v>40.1</v>
      </c>
      <c r="H74">
        <v>42.72</v>
      </c>
      <c r="I74">
        <v>43.1</v>
      </c>
      <c r="J74">
        <v>42.66</v>
      </c>
      <c r="K74">
        <v>13.56</v>
      </c>
      <c r="L74">
        <v>56199.46</v>
      </c>
      <c r="M74">
        <v>51325.85</v>
      </c>
      <c r="N74">
        <v>2.1549999999999998</v>
      </c>
      <c r="O74">
        <v>5.9310000000000002E-2</v>
      </c>
      <c r="P74">
        <v>1.7390000000000001</v>
      </c>
      <c r="Q74">
        <v>91.83</v>
      </c>
      <c r="R74">
        <v>5.1100000000000003</v>
      </c>
      <c r="S74">
        <v>61.95</v>
      </c>
    </row>
    <row r="75" spans="1:19" x14ac:dyDescent="0.25">
      <c r="A75" s="6">
        <v>44026</v>
      </c>
      <c r="B75">
        <v>33.5</v>
      </c>
      <c r="C75">
        <v>40.83</v>
      </c>
      <c r="D75">
        <v>50.12</v>
      </c>
      <c r="E75">
        <v>53.56</v>
      </c>
      <c r="F75">
        <v>51.16</v>
      </c>
      <c r="G75">
        <v>40.29</v>
      </c>
      <c r="H75">
        <v>42.9</v>
      </c>
      <c r="I75">
        <v>43.22</v>
      </c>
      <c r="J75">
        <v>44.07</v>
      </c>
      <c r="K75">
        <v>13.38</v>
      </c>
      <c r="L75">
        <v>55531.05</v>
      </c>
      <c r="M75">
        <v>51211.29</v>
      </c>
      <c r="N75">
        <v>2.16</v>
      </c>
      <c r="O75">
        <v>5.9720000000000002E-2</v>
      </c>
      <c r="P75">
        <v>1.746</v>
      </c>
      <c r="Q75">
        <v>91.72</v>
      </c>
      <c r="R75">
        <v>5.085</v>
      </c>
      <c r="S75">
        <v>62.65</v>
      </c>
    </row>
    <row r="76" spans="1:19" x14ac:dyDescent="0.25">
      <c r="A76" s="6">
        <v>44027</v>
      </c>
      <c r="B76">
        <v>33.5</v>
      </c>
      <c r="C76">
        <v>40.83</v>
      </c>
      <c r="D76">
        <v>50.12</v>
      </c>
      <c r="E76">
        <v>53.56</v>
      </c>
      <c r="F76">
        <v>51.16</v>
      </c>
      <c r="G76">
        <v>41.2</v>
      </c>
      <c r="H76">
        <v>43.79</v>
      </c>
      <c r="I76">
        <v>43.78</v>
      </c>
      <c r="J76">
        <v>44.63</v>
      </c>
      <c r="K76">
        <v>13.34</v>
      </c>
      <c r="L76">
        <v>55947.05</v>
      </c>
      <c r="M76">
        <v>51674.79</v>
      </c>
      <c r="N76">
        <v>2.1640000000000001</v>
      </c>
      <c r="O76">
        <v>6.0220000000000003E-2</v>
      </c>
      <c r="P76">
        <v>1.778</v>
      </c>
      <c r="Q76">
        <v>93.24</v>
      </c>
      <c r="R76">
        <v>5.2249999999999996</v>
      </c>
      <c r="S76">
        <v>62.53</v>
      </c>
    </row>
    <row r="77" spans="1:19" x14ac:dyDescent="0.25">
      <c r="A77" s="6">
        <v>44028</v>
      </c>
      <c r="B77">
        <v>33.5</v>
      </c>
      <c r="C77">
        <v>40.83</v>
      </c>
      <c r="D77">
        <v>50.12</v>
      </c>
      <c r="E77">
        <v>53.56</v>
      </c>
      <c r="F77">
        <v>51.16</v>
      </c>
      <c r="G77">
        <v>40.75</v>
      </c>
      <c r="H77">
        <v>43.37</v>
      </c>
      <c r="I77">
        <v>43.3</v>
      </c>
      <c r="J77">
        <v>44.28</v>
      </c>
      <c r="K77">
        <v>13.2</v>
      </c>
      <c r="L77">
        <v>55729.45</v>
      </c>
      <c r="M77">
        <v>51778.85</v>
      </c>
      <c r="N77">
        <v>2.5</v>
      </c>
      <c r="O77">
        <v>5.9540000000000003E-2</v>
      </c>
      <c r="P77">
        <v>1.7230000000000001</v>
      </c>
      <c r="Q77">
        <v>92.37</v>
      </c>
      <c r="R77">
        <v>5.0599999999999996</v>
      </c>
      <c r="S77">
        <v>61.83</v>
      </c>
    </row>
    <row r="78" spans="1:19" x14ac:dyDescent="0.25">
      <c r="A78" s="6">
        <v>44029</v>
      </c>
      <c r="B78">
        <v>33.01</v>
      </c>
      <c r="C78">
        <v>40.43</v>
      </c>
      <c r="D78">
        <v>49.88</v>
      </c>
      <c r="E78">
        <v>54.84</v>
      </c>
      <c r="F78">
        <v>51.88</v>
      </c>
      <c r="G78">
        <v>40.590000000000003</v>
      </c>
      <c r="H78">
        <v>43.14</v>
      </c>
      <c r="I78">
        <v>43</v>
      </c>
      <c r="J78">
        <v>43.52</v>
      </c>
      <c r="K78">
        <v>13.3</v>
      </c>
      <c r="L78">
        <v>55911.8</v>
      </c>
      <c r="M78">
        <v>52466.41</v>
      </c>
      <c r="N78">
        <v>2.5049999999999999</v>
      </c>
      <c r="O78">
        <v>5.9900000000000002E-2</v>
      </c>
      <c r="P78">
        <v>1.718</v>
      </c>
      <c r="Q78">
        <v>93.83</v>
      </c>
      <c r="R78">
        <v>5.1150000000000002</v>
      </c>
      <c r="S78">
        <v>62.15</v>
      </c>
    </row>
    <row r="79" spans="1:19" x14ac:dyDescent="0.25">
      <c r="A79" s="6">
        <v>44032</v>
      </c>
      <c r="B79">
        <v>33.01</v>
      </c>
      <c r="C79">
        <v>40.43</v>
      </c>
      <c r="D79">
        <v>49.88</v>
      </c>
      <c r="E79">
        <v>54.84</v>
      </c>
      <c r="F79">
        <v>51.88</v>
      </c>
      <c r="G79">
        <v>40.81</v>
      </c>
      <c r="H79">
        <v>43.28</v>
      </c>
      <c r="I79">
        <v>43.05</v>
      </c>
      <c r="J79">
        <v>42.5</v>
      </c>
      <c r="K79">
        <v>13.66</v>
      </c>
      <c r="L79">
        <v>56265.36</v>
      </c>
      <c r="M79">
        <v>53362.03</v>
      </c>
      <c r="N79">
        <v>2.4500000000000002</v>
      </c>
      <c r="O79">
        <v>6.0109999999999997E-2</v>
      </c>
      <c r="P79">
        <v>1.641</v>
      </c>
      <c r="Q79">
        <v>94.25</v>
      </c>
      <c r="R79">
        <v>4.7300000000000004</v>
      </c>
      <c r="S79">
        <v>58.6</v>
      </c>
    </row>
    <row r="80" spans="1:19" x14ac:dyDescent="0.25">
      <c r="A80" s="6">
        <v>44033</v>
      </c>
      <c r="B80">
        <v>33.01</v>
      </c>
      <c r="C80">
        <v>40.43</v>
      </c>
      <c r="D80">
        <v>49.88</v>
      </c>
      <c r="E80">
        <v>54.84</v>
      </c>
      <c r="F80">
        <v>51.88</v>
      </c>
      <c r="G80">
        <v>41.96</v>
      </c>
      <c r="H80">
        <v>44.32</v>
      </c>
      <c r="I80">
        <v>43.58</v>
      </c>
      <c r="J80">
        <v>44.65</v>
      </c>
      <c r="K80">
        <v>13.72</v>
      </c>
      <c r="L80">
        <v>56422.14</v>
      </c>
      <c r="M80">
        <v>52407.81</v>
      </c>
      <c r="N80">
        <v>2.4750000000000001</v>
      </c>
      <c r="O80">
        <v>6.089E-2</v>
      </c>
      <c r="P80">
        <v>1.675</v>
      </c>
      <c r="Q80">
        <v>95.11</v>
      </c>
      <c r="R80">
        <v>4.79</v>
      </c>
      <c r="S80">
        <v>57.63</v>
      </c>
    </row>
    <row r="81" spans="1:19" x14ac:dyDescent="0.25">
      <c r="A81" s="6">
        <v>44034</v>
      </c>
      <c r="B81">
        <v>33.01</v>
      </c>
      <c r="C81">
        <v>40.43</v>
      </c>
      <c r="D81">
        <v>49.88</v>
      </c>
      <c r="E81">
        <v>54.84</v>
      </c>
      <c r="F81">
        <v>51.88</v>
      </c>
      <c r="G81">
        <v>41.9</v>
      </c>
      <c r="H81">
        <v>44.29</v>
      </c>
      <c r="I81">
        <v>43.62</v>
      </c>
      <c r="J81">
        <v>43.61</v>
      </c>
      <c r="K81">
        <v>13.5</v>
      </c>
      <c r="L81">
        <v>55834.239999999998</v>
      </c>
      <c r="M81">
        <v>52215.199999999997</v>
      </c>
      <c r="N81">
        <v>2.5</v>
      </c>
      <c r="O81">
        <v>6.0630000000000003E-2</v>
      </c>
      <c r="P81">
        <v>1.681</v>
      </c>
      <c r="Q81">
        <v>96.06</v>
      </c>
      <c r="R81">
        <v>4.83</v>
      </c>
      <c r="S81">
        <v>58.17</v>
      </c>
    </row>
    <row r="82" spans="1:19" x14ac:dyDescent="0.25">
      <c r="A82" s="6">
        <v>44035</v>
      </c>
      <c r="B82">
        <v>33.01</v>
      </c>
      <c r="C82">
        <v>40.43</v>
      </c>
      <c r="D82">
        <v>49.88</v>
      </c>
      <c r="E82">
        <v>54.84</v>
      </c>
      <c r="F82">
        <v>51.88</v>
      </c>
      <c r="G82">
        <v>41.07</v>
      </c>
      <c r="H82">
        <v>43.31</v>
      </c>
      <c r="I82">
        <v>43.3</v>
      </c>
      <c r="J82">
        <v>43.7</v>
      </c>
      <c r="K82">
        <v>13.36</v>
      </c>
      <c r="L82">
        <v>56070.7</v>
      </c>
      <c r="M82">
        <v>53412.49</v>
      </c>
      <c r="N82">
        <v>2.57</v>
      </c>
      <c r="O82">
        <v>5.9959999999999999E-2</v>
      </c>
      <c r="P82">
        <v>1.7849999999999999</v>
      </c>
      <c r="Q82">
        <v>95.85</v>
      </c>
      <c r="R82">
        <v>4.9850000000000003</v>
      </c>
      <c r="S82">
        <v>57.68</v>
      </c>
    </row>
    <row r="83" spans="1:19" x14ac:dyDescent="0.25">
      <c r="A83" s="6">
        <v>44036</v>
      </c>
      <c r="B83">
        <v>32.56</v>
      </c>
      <c r="C83">
        <v>40.01</v>
      </c>
      <c r="D83">
        <v>49.17</v>
      </c>
      <c r="E83">
        <v>53.33</v>
      </c>
      <c r="F83">
        <v>50.61</v>
      </c>
      <c r="G83">
        <v>41.29</v>
      </c>
      <c r="H83">
        <v>43.34</v>
      </c>
      <c r="I83">
        <v>43.28</v>
      </c>
      <c r="J83">
        <v>43.43</v>
      </c>
      <c r="K83">
        <v>13.12</v>
      </c>
      <c r="L83">
        <v>55645.65</v>
      </c>
      <c r="M83">
        <v>53819.09</v>
      </c>
      <c r="N83">
        <v>2.5950000000000002</v>
      </c>
      <c r="O83">
        <v>6.0100000000000001E-2</v>
      </c>
      <c r="P83">
        <v>1.8080000000000001</v>
      </c>
      <c r="Q83">
        <v>96.32</v>
      </c>
      <c r="R83">
        <v>5.01</v>
      </c>
      <c r="S83">
        <v>58.3</v>
      </c>
    </row>
    <row r="84" spans="1:19" x14ac:dyDescent="0.25">
      <c r="A84" s="6">
        <v>44039</v>
      </c>
      <c r="B84">
        <v>32.56</v>
      </c>
      <c r="C84">
        <v>40.01</v>
      </c>
      <c r="D84">
        <v>49.17</v>
      </c>
      <c r="E84">
        <v>53.33</v>
      </c>
      <c r="F84">
        <v>50.61</v>
      </c>
      <c r="G84">
        <v>41.6</v>
      </c>
      <c r="H84">
        <v>43.41</v>
      </c>
      <c r="I84">
        <v>43.33</v>
      </c>
      <c r="J84">
        <v>44.07</v>
      </c>
      <c r="K84">
        <v>13.3</v>
      </c>
      <c r="L84">
        <v>56326.2</v>
      </c>
      <c r="M84">
        <v>55785.440000000002</v>
      </c>
      <c r="N84">
        <v>2.6850000000000001</v>
      </c>
      <c r="O84">
        <v>6.087E-2</v>
      </c>
      <c r="P84">
        <v>1.734</v>
      </c>
      <c r="Q84">
        <v>94.54</v>
      </c>
      <c r="R84">
        <v>4.7850000000000001</v>
      </c>
      <c r="S84">
        <v>57.75</v>
      </c>
    </row>
    <row r="85" spans="1:19" x14ac:dyDescent="0.25">
      <c r="A85" s="6">
        <v>44040</v>
      </c>
      <c r="B85">
        <v>32.56</v>
      </c>
      <c r="C85">
        <v>40.01</v>
      </c>
      <c r="D85">
        <v>49.17</v>
      </c>
      <c r="E85">
        <v>53.33</v>
      </c>
      <c r="F85">
        <v>50.61</v>
      </c>
      <c r="G85">
        <v>41.04</v>
      </c>
      <c r="H85">
        <v>43.22</v>
      </c>
      <c r="I85">
        <v>43.28</v>
      </c>
      <c r="J85">
        <v>43.55</v>
      </c>
      <c r="K85">
        <v>13.12</v>
      </c>
      <c r="L85">
        <v>56488.11</v>
      </c>
      <c r="M85">
        <v>55496.23</v>
      </c>
      <c r="N85">
        <v>2.7</v>
      </c>
      <c r="O85">
        <v>6.0479999999999999E-2</v>
      </c>
      <c r="P85">
        <v>1.8</v>
      </c>
      <c r="Q85">
        <v>92.92</v>
      </c>
      <c r="R85">
        <v>4.96</v>
      </c>
      <c r="S85">
        <v>58.45</v>
      </c>
    </row>
    <row r="86" spans="1:19" x14ac:dyDescent="0.25">
      <c r="A86" s="6">
        <v>44041</v>
      </c>
      <c r="B86">
        <v>32.56</v>
      </c>
      <c r="C86">
        <v>40.01</v>
      </c>
      <c r="D86">
        <v>49.17</v>
      </c>
      <c r="E86">
        <v>53.33</v>
      </c>
      <c r="F86">
        <v>50.61</v>
      </c>
      <c r="G86">
        <v>41.27</v>
      </c>
      <c r="H86">
        <v>43.75</v>
      </c>
      <c r="I86">
        <v>43.29</v>
      </c>
      <c r="J86">
        <v>44.03</v>
      </c>
      <c r="K86">
        <v>13.1</v>
      </c>
      <c r="L86">
        <v>56707.74</v>
      </c>
      <c r="M86">
        <v>54658.65</v>
      </c>
      <c r="N86">
        <v>2.66</v>
      </c>
      <c r="O86">
        <v>6.037E-2</v>
      </c>
      <c r="P86">
        <v>1.8540000000000001</v>
      </c>
      <c r="Q86">
        <v>94.3</v>
      </c>
      <c r="R86">
        <v>5.1749999999999998</v>
      </c>
      <c r="S86">
        <v>60.4</v>
      </c>
    </row>
    <row r="87" spans="1:19" x14ac:dyDescent="0.25">
      <c r="A87" s="6">
        <v>44042</v>
      </c>
      <c r="B87">
        <v>32.56</v>
      </c>
      <c r="C87">
        <v>40.01</v>
      </c>
      <c r="D87">
        <v>49.17</v>
      </c>
      <c r="E87">
        <v>53.33</v>
      </c>
      <c r="F87">
        <v>50.61</v>
      </c>
      <c r="G87">
        <v>39.92</v>
      </c>
      <c r="H87">
        <v>42.94</v>
      </c>
      <c r="I87">
        <v>43.28</v>
      </c>
      <c r="J87">
        <v>41.87</v>
      </c>
      <c r="K87">
        <v>12.88</v>
      </c>
      <c r="L87">
        <v>55844.9</v>
      </c>
      <c r="M87">
        <v>53698.98</v>
      </c>
      <c r="N87">
        <v>2.6150000000000002</v>
      </c>
      <c r="O87">
        <v>5.9619999999999999E-2</v>
      </c>
      <c r="P87">
        <v>1.829</v>
      </c>
      <c r="Q87">
        <v>94.37</v>
      </c>
      <c r="R87">
        <v>5.2249999999999996</v>
      </c>
      <c r="S87">
        <v>60.03</v>
      </c>
    </row>
    <row r="88" spans="1:19" x14ac:dyDescent="0.25">
      <c r="A88" s="6">
        <v>44043</v>
      </c>
      <c r="B88">
        <v>32.07</v>
      </c>
      <c r="C88">
        <v>39.97</v>
      </c>
      <c r="D88">
        <v>48.83</v>
      </c>
      <c r="E88">
        <v>52.12</v>
      </c>
      <c r="F88">
        <v>49.7</v>
      </c>
      <c r="G88">
        <v>40.270000000000003</v>
      </c>
      <c r="H88">
        <v>43.3</v>
      </c>
      <c r="I88">
        <v>42.54</v>
      </c>
      <c r="J88">
        <v>42.08</v>
      </c>
      <c r="K88">
        <v>12.92</v>
      </c>
      <c r="L88">
        <v>55721.8</v>
      </c>
      <c r="M88">
        <v>53888.94</v>
      </c>
      <c r="N88">
        <v>2.56</v>
      </c>
      <c r="O88">
        <v>5.8549999999999998E-2</v>
      </c>
      <c r="P88">
        <v>1.7989999999999999</v>
      </c>
      <c r="Q88">
        <v>96.78</v>
      </c>
      <c r="R88">
        <v>6.0250000000000004</v>
      </c>
      <c r="S88">
        <v>59.73</v>
      </c>
    </row>
    <row r="89" spans="1:19" x14ac:dyDescent="0.25">
      <c r="A89" s="6">
        <v>44046</v>
      </c>
      <c r="B89">
        <v>32.07</v>
      </c>
      <c r="C89">
        <v>39.97</v>
      </c>
      <c r="D89">
        <v>48.83</v>
      </c>
      <c r="E89">
        <v>52.12</v>
      </c>
      <c r="F89">
        <v>49.7</v>
      </c>
      <c r="G89">
        <v>41.01</v>
      </c>
      <c r="H89">
        <v>44.15</v>
      </c>
      <c r="I89">
        <v>43.39</v>
      </c>
      <c r="J89">
        <v>42.25</v>
      </c>
      <c r="K89">
        <v>13</v>
      </c>
      <c r="L89">
        <v>55829.4</v>
      </c>
      <c r="M89">
        <v>54766.82</v>
      </c>
      <c r="N89">
        <v>2.6850000000000001</v>
      </c>
      <c r="O89">
        <v>5.8130000000000001E-2</v>
      </c>
      <c r="P89">
        <v>2.101</v>
      </c>
      <c r="Q89">
        <v>96.28</v>
      </c>
      <c r="R89">
        <v>6.8</v>
      </c>
      <c r="S89">
        <v>58.52</v>
      </c>
    </row>
    <row r="90" spans="1:19" x14ac:dyDescent="0.25">
      <c r="A90" s="6">
        <v>44047</v>
      </c>
      <c r="B90">
        <v>32.07</v>
      </c>
      <c r="C90">
        <v>39.97</v>
      </c>
      <c r="D90">
        <v>48.83</v>
      </c>
      <c r="E90">
        <v>52.12</v>
      </c>
      <c r="F90">
        <v>49.7</v>
      </c>
      <c r="G90">
        <v>41.7</v>
      </c>
      <c r="H90">
        <v>44.43</v>
      </c>
      <c r="I90">
        <v>43.4</v>
      </c>
      <c r="J90">
        <v>43.47</v>
      </c>
      <c r="K90">
        <v>13.02</v>
      </c>
      <c r="L90">
        <v>56248.93</v>
      </c>
      <c r="M90">
        <v>55414.080000000002</v>
      </c>
      <c r="N90">
        <v>2.6850000000000001</v>
      </c>
      <c r="O90">
        <v>5.7480000000000003E-2</v>
      </c>
      <c r="P90">
        <v>2.1930000000000001</v>
      </c>
      <c r="Q90">
        <v>95.78</v>
      </c>
      <c r="R90">
        <v>7.3550000000000004</v>
      </c>
      <c r="S90">
        <v>59.68</v>
      </c>
    </row>
    <row r="91" spans="1:19" x14ac:dyDescent="0.25">
      <c r="A91" s="6">
        <v>44048</v>
      </c>
      <c r="B91">
        <v>32.07</v>
      </c>
      <c r="C91">
        <v>39.97</v>
      </c>
      <c r="D91">
        <v>48.83</v>
      </c>
      <c r="E91">
        <v>52.12</v>
      </c>
      <c r="F91">
        <v>49.7</v>
      </c>
      <c r="G91">
        <v>42.19</v>
      </c>
      <c r="H91">
        <v>45.17</v>
      </c>
      <c r="I91">
        <v>43.88</v>
      </c>
      <c r="J91">
        <v>43.85</v>
      </c>
      <c r="K91">
        <v>13.1</v>
      </c>
      <c r="L91">
        <v>57629.36</v>
      </c>
      <c r="M91">
        <v>58112.92</v>
      </c>
      <c r="N91">
        <v>2.73</v>
      </c>
      <c r="O91">
        <v>5.7700000000000001E-2</v>
      </c>
      <c r="P91">
        <v>2.1909999999999998</v>
      </c>
      <c r="Q91">
        <v>96.16</v>
      </c>
      <c r="R91">
        <v>7.32</v>
      </c>
      <c r="S91">
        <v>60.87</v>
      </c>
    </row>
    <row r="92" spans="1:19" x14ac:dyDescent="0.25">
      <c r="A92" s="6">
        <v>44049</v>
      </c>
      <c r="B92">
        <v>32.07</v>
      </c>
      <c r="C92">
        <v>39.97</v>
      </c>
      <c r="D92">
        <v>48.83</v>
      </c>
      <c r="E92">
        <v>52.12</v>
      </c>
      <c r="F92">
        <v>49.7</v>
      </c>
      <c r="G92">
        <v>41.95</v>
      </c>
      <c r="H92">
        <v>45.09</v>
      </c>
      <c r="I92">
        <v>43.61</v>
      </c>
      <c r="J92">
        <v>43.64</v>
      </c>
      <c r="K92">
        <v>12.9</v>
      </c>
      <c r="L92">
        <v>57656.69</v>
      </c>
      <c r="M92">
        <v>58099.68</v>
      </c>
      <c r="N92">
        <v>2.7749999999999999</v>
      </c>
      <c r="O92">
        <v>5.7349999999999998E-2</v>
      </c>
      <c r="P92">
        <v>2.165</v>
      </c>
      <c r="Q92">
        <v>97.46</v>
      </c>
      <c r="R92">
        <v>7.94</v>
      </c>
      <c r="S92">
        <v>62.35</v>
      </c>
    </row>
    <row r="93" spans="1:19" x14ac:dyDescent="0.25">
      <c r="A93" s="6">
        <v>44050</v>
      </c>
      <c r="B93">
        <v>33.21</v>
      </c>
      <c r="C93">
        <v>41.52</v>
      </c>
      <c r="D93">
        <v>50.12</v>
      </c>
      <c r="E93">
        <v>54.02</v>
      </c>
      <c r="F93">
        <v>51.84</v>
      </c>
      <c r="G93">
        <v>41.22</v>
      </c>
      <c r="H93">
        <v>44.4</v>
      </c>
      <c r="I93">
        <v>43.33</v>
      </c>
      <c r="J93">
        <v>43.44</v>
      </c>
      <c r="K93">
        <v>12.8</v>
      </c>
      <c r="L93">
        <v>56757.73</v>
      </c>
      <c r="M93">
        <v>56818.48</v>
      </c>
      <c r="N93">
        <v>2.7850000000000001</v>
      </c>
      <c r="O93">
        <v>5.6669999999999998E-2</v>
      </c>
      <c r="P93">
        <v>2.238</v>
      </c>
      <c r="Q93">
        <v>100.96</v>
      </c>
      <c r="R93">
        <v>7.93</v>
      </c>
      <c r="S93">
        <v>61.18</v>
      </c>
    </row>
    <row r="94" spans="1:19" x14ac:dyDescent="0.25">
      <c r="A94" s="6">
        <v>44053</v>
      </c>
      <c r="B94">
        <v>33.21</v>
      </c>
      <c r="C94">
        <v>41.52</v>
      </c>
      <c r="D94">
        <v>50.12</v>
      </c>
      <c r="E94">
        <v>54.02</v>
      </c>
      <c r="F94">
        <v>51.84</v>
      </c>
      <c r="G94">
        <v>41.94</v>
      </c>
      <c r="H94">
        <v>44.99</v>
      </c>
      <c r="I94">
        <v>43.78</v>
      </c>
      <c r="J94">
        <v>44.51</v>
      </c>
      <c r="K94">
        <v>12.6</v>
      </c>
      <c r="L94">
        <v>58127.428648650646</v>
      </c>
      <c r="M94">
        <v>59638.394054058939</v>
      </c>
      <c r="N94">
        <v>2.84</v>
      </c>
      <c r="O94">
        <v>5.6500000000000002E-2</v>
      </c>
      <c r="P94">
        <v>2.153</v>
      </c>
      <c r="Q94">
        <v>99.16</v>
      </c>
      <c r="R94">
        <v>7.59</v>
      </c>
      <c r="S94">
        <v>64.819999999999993</v>
      </c>
    </row>
    <row r="95" spans="1:19" x14ac:dyDescent="0.25">
      <c r="A95" s="6">
        <v>44054</v>
      </c>
      <c r="B95">
        <v>33.21</v>
      </c>
      <c r="C95">
        <v>41.52</v>
      </c>
      <c r="D95">
        <v>50.12</v>
      </c>
      <c r="E95">
        <v>54.02</v>
      </c>
      <c r="F95">
        <v>51.84</v>
      </c>
      <c r="G95">
        <v>41.61</v>
      </c>
      <c r="H95">
        <v>44.5</v>
      </c>
      <c r="I95">
        <v>43.38</v>
      </c>
      <c r="J95">
        <v>44.97</v>
      </c>
      <c r="K95">
        <v>12.72</v>
      </c>
      <c r="L95">
        <v>57168.24</v>
      </c>
      <c r="M95">
        <v>56212.480000000003</v>
      </c>
      <c r="N95">
        <v>2.875</v>
      </c>
      <c r="O95">
        <v>5.7169999999999999E-2</v>
      </c>
      <c r="P95">
        <v>2.1709999999999998</v>
      </c>
      <c r="Q95">
        <v>98.61</v>
      </c>
      <c r="R95">
        <v>7.415</v>
      </c>
      <c r="S95">
        <v>63.78</v>
      </c>
    </row>
    <row r="96" spans="1:19" x14ac:dyDescent="0.25">
      <c r="A96" s="6">
        <v>44055</v>
      </c>
      <c r="B96">
        <v>33.21</v>
      </c>
      <c r="C96">
        <v>41.52</v>
      </c>
      <c r="D96">
        <v>50.12</v>
      </c>
      <c r="E96">
        <v>54.02</v>
      </c>
      <c r="F96">
        <v>51.84</v>
      </c>
      <c r="G96">
        <v>42.67</v>
      </c>
      <c r="H96">
        <v>45.43</v>
      </c>
      <c r="I96">
        <v>43.97</v>
      </c>
      <c r="J96">
        <v>44.09</v>
      </c>
      <c r="K96">
        <v>13</v>
      </c>
      <c r="L96">
        <v>57417.279999999999</v>
      </c>
      <c r="M96">
        <v>56591.18</v>
      </c>
      <c r="N96">
        <v>2.88</v>
      </c>
      <c r="O96">
        <v>5.7230000000000003E-2</v>
      </c>
      <c r="P96">
        <v>2.1520000000000001</v>
      </c>
      <c r="Q96">
        <v>99.43</v>
      </c>
      <c r="R96">
        <v>7.17</v>
      </c>
      <c r="S96">
        <v>64.08</v>
      </c>
    </row>
    <row r="97" spans="1:19" x14ac:dyDescent="0.25">
      <c r="A97" s="6">
        <v>44056</v>
      </c>
      <c r="B97">
        <v>33.21</v>
      </c>
      <c r="C97">
        <v>41.52</v>
      </c>
      <c r="D97">
        <v>50.12</v>
      </c>
      <c r="E97">
        <v>54.02</v>
      </c>
      <c r="F97">
        <v>51.84</v>
      </c>
      <c r="G97">
        <v>42.24</v>
      </c>
      <c r="H97">
        <v>44.96</v>
      </c>
      <c r="I97">
        <v>43.59</v>
      </c>
      <c r="J97">
        <v>43.01</v>
      </c>
      <c r="K97">
        <v>13.02</v>
      </c>
      <c r="L97">
        <v>57419.46</v>
      </c>
      <c r="M97">
        <v>56655.72</v>
      </c>
      <c r="N97">
        <v>2.8849999999999998</v>
      </c>
      <c r="O97">
        <v>5.7349999999999998E-2</v>
      </c>
      <c r="P97">
        <v>2.1819999999999999</v>
      </c>
      <c r="Q97">
        <v>100.2</v>
      </c>
      <c r="R97">
        <v>7.31</v>
      </c>
      <c r="S97">
        <v>63.33</v>
      </c>
    </row>
    <row r="98" spans="1:19" x14ac:dyDescent="0.25">
      <c r="A98" s="6">
        <v>44057</v>
      </c>
      <c r="B98">
        <v>32.24</v>
      </c>
      <c r="C98">
        <v>41.5</v>
      </c>
      <c r="D98">
        <v>49.83</v>
      </c>
      <c r="E98">
        <v>54.21</v>
      </c>
      <c r="F98">
        <v>53.43</v>
      </c>
      <c r="G98">
        <v>42.01</v>
      </c>
      <c r="H98">
        <v>44.8</v>
      </c>
      <c r="I98">
        <v>43.39</v>
      </c>
      <c r="J98">
        <v>43.2</v>
      </c>
      <c r="K98">
        <v>12.86</v>
      </c>
      <c r="L98">
        <v>57077.48</v>
      </c>
      <c r="M98">
        <v>56628.52</v>
      </c>
      <c r="N98">
        <v>2.8980000000000001</v>
      </c>
      <c r="O98">
        <v>5.747E-2</v>
      </c>
      <c r="P98">
        <v>2.3559999999999999</v>
      </c>
      <c r="Q98">
        <v>102.49</v>
      </c>
      <c r="R98">
        <v>8.02</v>
      </c>
      <c r="S98">
        <v>61.8</v>
      </c>
    </row>
    <row r="99" spans="1:19" x14ac:dyDescent="0.25">
      <c r="A99" s="6">
        <v>44060</v>
      </c>
      <c r="B99">
        <v>32.24</v>
      </c>
      <c r="C99">
        <v>41.5</v>
      </c>
      <c r="D99">
        <v>49.83</v>
      </c>
      <c r="E99">
        <v>54.21</v>
      </c>
      <c r="F99">
        <v>53.43</v>
      </c>
      <c r="G99">
        <v>42.89</v>
      </c>
      <c r="H99">
        <v>45.37</v>
      </c>
      <c r="I99">
        <v>43.78</v>
      </c>
      <c r="J99">
        <v>42.64</v>
      </c>
      <c r="K99">
        <v>13.02</v>
      </c>
      <c r="L99">
        <v>57435.08</v>
      </c>
      <c r="M99">
        <v>58077.94</v>
      </c>
      <c r="N99">
        <v>4.1749999999999998</v>
      </c>
      <c r="O99">
        <v>5.7070000000000003E-2</v>
      </c>
      <c r="P99">
        <v>2.339</v>
      </c>
      <c r="Q99">
        <v>104.05</v>
      </c>
      <c r="R99">
        <v>8.18</v>
      </c>
      <c r="S99">
        <v>61.87</v>
      </c>
    </row>
    <row r="100" spans="1:19" x14ac:dyDescent="0.25">
      <c r="A100" s="6">
        <v>44061</v>
      </c>
      <c r="B100">
        <v>32.24</v>
      </c>
      <c r="C100">
        <v>41.5</v>
      </c>
      <c r="D100">
        <v>49.83</v>
      </c>
      <c r="E100">
        <v>54.21</v>
      </c>
      <c r="F100">
        <v>53.43</v>
      </c>
      <c r="G100">
        <v>42.89</v>
      </c>
      <c r="H100">
        <v>45.46</v>
      </c>
      <c r="I100">
        <v>43.96</v>
      </c>
      <c r="J100">
        <v>42.43</v>
      </c>
      <c r="K100">
        <v>12.84</v>
      </c>
      <c r="L100">
        <v>57025.16</v>
      </c>
      <c r="M100">
        <v>57032.62</v>
      </c>
      <c r="N100">
        <v>4.22</v>
      </c>
      <c r="O100">
        <v>5.7709999999999997E-2</v>
      </c>
      <c r="P100">
        <v>2.4169999999999998</v>
      </c>
      <c r="Q100">
        <v>104.38</v>
      </c>
      <c r="R100">
        <v>8.5500000000000007</v>
      </c>
      <c r="S100">
        <v>61.73</v>
      </c>
    </row>
    <row r="101" spans="1:19" x14ac:dyDescent="0.25">
      <c r="A101" s="6">
        <v>44062</v>
      </c>
      <c r="B101">
        <v>32.24</v>
      </c>
      <c r="C101">
        <v>41.5</v>
      </c>
      <c r="D101">
        <v>49.83</v>
      </c>
      <c r="E101">
        <v>54.21</v>
      </c>
      <c r="F101">
        <v>53.43</v>
      </c>
      <c r="G101">
        <v>42.93</v>
      </c>
      <c r="H101">
        <v>45.37</v>
      </c>
      <c r="I101">
        <v>43.96</v>
      </c>
      <c r="J101">
        <v>41.96</v>
      </c>
      <c r="K101">
        <v>12.84</v>
      </c>
      <c r="L101">
        <v>56433.279999999999</v>
      </c>
      <c r="M101">
        <v>56145.79</v>
      </c>
      <c r="N101">
        <v>4.09</v>
      </c>
      <c r="O101">
        <v>5.7869999999999998E-2</v>
      </c>
      <c r="P101">
        <v>2.4260000000000002</v>
      </c>
      <c r="Q101">
        <v>103.53</v>
      </c>
      <c r="R101">
        <v>8.3550000000000004</v>
      </c>
      <c r="S101">
        <v>63.37</v>
      </c>
    </row>
    <row r="102" spans="1:19" x14ac:dyDescent="0.25">
      <c r="A102" s="6">
        <v>44063</v>
      </c>
      <c r="B102">
        <v>32.24</v>
      </c>
      <c r="C102">
        <v>41.5</v>
      </c>
      <c r="D102">
        <v>49.83</v>
      </c>
      <c r="E102">
        <v>54.21</v>
      </c>
      <c r="F102">
        <v>53.43</v>
      </c>
      <c r="G102">
        <v>42.58</v>
      </c>
      <c r="H102">
        <v>44.9</v>
      </c>
      <c r="I102">
        <v>43.78</v>
      </c>
      <c r="J102">
        <v>41.32</v>
      </c>
      <c r="K102">
        <v>12.58</v>
      </c>
      <c r="L102">
        <v>55629.98</v>
      </c>
      <c r="M102">
        <v>54950.65</v>
      </c>
      <c r="N102">
        <v>3.9249999999999998</v>
      </c>
      <c r="O102">
        <v>5.7880000000000001E-2</v>
      </c>
      <c r="P102">
        <v>2.3519999999999999</v>
      </c>
      <c r="Q102">
        <v>103.75</v>
      </c>
      <c r="R102">
        <v>8.15</v>
      </c>
      <c r="S102">
        <v>63.15</v>
      </c>
    </row>
    <row r="103" spans="1:19" x14ac:dyDescent="0.25">
      <c r="A103" s="6">
        <v>44064</v>
      </c>
      <c r="B103">
        <v>34</v>
      </c>
      <c r="C103">
        <v>44.09</v>
      </c>
      <c r="D103">
        <v>51.33</v>
      </c>
      <c r="E103">
        <v>56.36</v>
      </c>
      <c r="F103">
        <v>54.22</v>
      </c>
      <c r="G103">
        <v>42.34</v>
      </c>
      <c r="H103">
        <v>44.35</v>
      </c>
      <c r="I103">
        <v>43.69</v>
      </c>
      <c r="J103">
        <v>41.01</v>
      </c>
      <c r="K103">
        <v>12.58</v>
      </c>
      <c r="L103">
        <v>55949.919999999998</v>
      </c>
      <c r="M103">
        <v>54309.24</v>
      </c>
      <c r="N103">
        <v>3.7050000000000001</v>
      </c>
      <c r="O103">
        <v>5.8250000000000003E-2</v>
      </c>
      <c r="P103">
        <v>2.448</v>
      </c>
      <c r="Q103">
        <v>104.2</v>
      </c>
      <c r="R103">
        <v>7.62</v>
      </c>
      <c r="S103">
        <v>62.9</v>
      </c>
    </row>
    <row r="104" spans="1:19" x14ac:dyDescent="0.25">
      <c r="A104" s="6">
        <v>44067</v>
      </c>
      <c r="B104">
        <v>34</v>
      </c>
      <c r="C104">
        <v>44.09</v>
      </c>
      <c r="D104">
        <v>51.33</v>
      </c>
      <c r="E104">
        <v>56.36</v>
      </c>
      <c r="F104">
        <v>54.22</v>
      </c>
      <c r="G104">
        <v>42.62</v>
      </c>
      <c r="H104">
        <v>45.13</v>
      </c>
      <c r="I104">
        <v>43.91</v>
      </c>
      <c r="J104">
        <v>42.22</v>
      </c>
      <c r="K104">
        <v>12.52</v>
      </c>
      <c r="L104">
        <v>56625.42</v>
      </c>
      <c r="M104">
        <v>54576.959999999999</v>
      </c>
      <c r="N104">
        <v>3.9049999999999998</v>
      </c>
      <c r="O104">
        <v>5.8979999999999998E-2</v>
      </c>
      <c r="P104">
        <v>2.5129999999999999</v>
      </c>
      <c r="Q104">
        <v>105.81</v>
      </c>
      <c r="R104">
        <v>8.36</v>
      </c>
      <c r="S104">
        <v>63.77</v>
      </c>
    </row>
    <row r="105" spans="1:19" x14ac:dyDescent="0.25">
      <c r="A105" s="6">
        <v>44068</v>
      </c>
      <c r="B105">
        <v>34</v>
      </c>
      <c r="C105">
        <v>44.09</v>
      </c>
      <c r="D105">
        <v>51.33</v>
      </c>
      <c r="E105">
        <v>56.36</v>
      </c>
      <c r="F105">
        <v>54.22</v>
      </c>
      <c r="G105">
        <v>43.35</v>
      </c>
      <c r="H105">
        <v>45.86</v>
      </c>
      <c r="I105">
        <v>44</v>
      </c>
      <c r="J105">
        <v>40.880000000000003</v>
      </c>
      <c r="K105">
        <v>12.6</v>
      </c>
      <c r="L105">
        <v>56114.23</v>
      </c>
      <c r="M105">
        <v>52987.21</v>
      </c>
      <c r="N105">
        <v>4.0250000000000004</v>
      </c>
      <c r="O105">
        <v>5.9330000000000001E-2</v>
      </c>
      <c r="P105">
        <v>2.4889999999999999</v>
      </c>
      <c r="Q105">
        <v>104.44</v>
      </c>
      <c r="R105">
        <v>8.8650000000000002</v>
      </c>
      <c r="S105">
        <v>64.099999999999994</v>
      </c>
    </row>
    <row r="106" spans="1:19" x14ac:dyDescent="0.25">
      <c r="A106" s="6">
        <v>44069</v>
      </c>
      <c r="B106">
        <v>34</v>
      </c>
      <c r="C106">
        <v>44.09</v>
      </c>
      <c r="D106">
        <v>51.33</v>
      </c>
      <c r="E106">
        <v>56.36</v>
      </c>
      <c r="F106">
        <v>54.22</v>
      </c>
      <c r="G106">
        <v>43.39</v>
      </c>
      <c r="H106">
        <v>45.64</v>
      </c>
      <c r="I106">
        <v>43.96</v>
      </c>
      <c r="J106">
        <v>40.01</v>
      </c>
      <c r="K106">
        <v>12.6</v>
      </c>
      <c r="L106">
        <v>56572.24</v>
      </c>
      <c r="M106">
        <v>53710.8</v>
      </c>
      <c r="N106">
        <v>4.1050000000000004</v>
      </c>
      <c r="O106">
        <v>5.9229999999999998E-2</v>
      </c>
      <c r="P106">
        <v>2.4609999999999999</v>
      </c>
      <c r="Q106">
        <v>105</v>
      </c>
      <c r="R106">
        <v>9.15</v>
      </c>
      <c r="S106">
        <v>63.68</v>
      </c>
    </row>
    <row r="107" spans="1:19" x14ac:dyDescent="0.25">
      <c r="A107" s="6">
        <v>44070</v>
      </c>
      <c r="B107">
        <v>34</v>
      </c>
      <c r="C107">
        <v>44.09</v>
      </c>
      <c r="D107">
        <v>51.33</v>
      </c>
      <c r="E107">
        <v>56.36</v>
      </c>
      <c r="F107">
        <v>54.22</v>
      </c>
      <c r="G107">
        <v>43.04</v>
      </c>
      <c r="H107">
        <v>45.09</v>
      </c>
      <c r="I107">
        <v>43.96</v>
      </c>
      <c r="J107">
        <v>39.74</v>
      </c>
      <c r="K107">
        <v>12.6</v>
      </c>
      <c r="L107">
        <v>56869.67</v>
      </c>
      <c r="M107">
        <v>53537.23</v>
      </c>
      <c r="N107">
        <v>3.9750000000000001</v>
      </c>
      <c r="O107">
        <v>5.8630000000000002E-2</v>
      </c>
      <c r="P107">
        <v>2.5790000000000002</v>
      </c>
      <c r="Q107">
        <v>105.01</v>
      </c>
      <c r="R107">
        <v>8.8699999999999992</v>
      </c>
      <c r="S107">
        <v>63.8</v>
      </c>
    </row>
    <row r="108" spans="1:19" x14ac:dyDescent="0.25">
      <c r="A108" s="6">
        <v>44071</v>
      </c>
      <c r="B108">
        <v>33.42</v>
      </c>
      <c r="C108">
        <v>44.2</v>
      </c>
      <c r="D108">
        <v>51.22</v>
      </c>
      <c r="E108">
        <v>55.91</v>
      </c>
      <c r="F108">
        <v>55.28</v>
      </c>
      <c r="G108">
        <v>42.97</v>
      </c>
      <c r="H108">
        <v>45.05</v>
      </c>
      <c r="I108">
        <v>43.94</v>
      </c>
      <c r="J108">
        <v>40.69</v>
      </c>
      <c r="K108">
        <v>12.58</v>
      </c>
      <c r="L108">
        <v>56057.1</v>
      </c>
      <c r="M108">
        <v>53791.65</v>
      </c>
      <c r="N108">
        <v>4.2249999999999996</v>
      </c>
      <c r="O108">
        <v>6.0240000000000002E-2</v>
      </c>
      <c r="P108">
        <v>2.657</v>
      </c>
      <c r="Q108">
        <v>105.56</v>
      </c>
      <c r="R108">
        <v>11.17</v>
      </c>
      <c r="S108">
        <v>64.27</v>
      </c>
    </row>
    <row r="109" spans="1:19" x14ac:dyDescent="0.25">
      <c r="A109" s="6">
        <v>44074</v>
      </c>
      <c r="B109">
        <v>33.42</v>
      </c>
      <c r="C109">
        <v>44.2</v>
      </c>
      <c r="D109">
        <v>51.22</v>
      </c>
      <c r="E109">
        <v>55.91</v>
      </c>
      <c r="F109">
        <v>55.28</v>
      </c>
      <c r="G109">
        <v>42.61</v>
      </c>
      <c r="H109">
        <v>45.28</v>
      </c>
      <c r="I109">
        <v>43.99</v>
      </c>
      <c r="J109">
        <v>39.94</v>
      </c>
      <c r="K109">
        <v>12.94</v>
      </c>
      <c r="L109">
        <v>55476.11</v>
      </c>
      <c r="M109">
        <v>53881.96</v>
      </c>
      <c r="N109">
        <v>4.2249999999999996</v>
      </c>
      <c r="O109">
        <v>5.8999999999999997E-2</v>
      </c>
      <c r="P109">
        <v>2.63</v>
      </c>
      <c r="Q109">
        <v>106.23</v>
      </c>
      <c r="R109">
        <v>11.24</v>
      </c>
      <c r="S109">
        <v>64.28</v>
      </c>
    </row>
    <row r="110" spans="1:19" x14ac:dyDescent="0.25">
      <c r="A110" s="6">
        <v>44075</v>
      </c>
      <c r="B110">
        <v>33.42</v>
      </c>
      <c r="C110">
        <v>44.2</v>
      </c>
      <c r="D110">
        <v>51.22</v>
      </c>
      <c r="E110">
        <v>55.91</v>
      </c>
      <c r="F110">
        <v>55.28</v>
      </c>
      <c r="G110">
        <v>42.76</v>
      </c>
      <c r="H110">
        <v>45.58</v>
      </c>
      <c r="I110">
        <v>44.85</v>
      </c>
      <c r="J110">
        <v>39.43</v>
      </c>
      <c r="K110">
        <v>13.1</v>
      </c>
      <c r="L110">
        <v>55927.69</v>
      </c>
      <c r="M110">
        <v>54072.3</v>
      </c>
      <c r="N110">
        <v>4.3</v>
      </c>
      <c r="O110">
        <v>6.0040000000000003E-2</v>
      </c>
      <c r="P110">
        <v>2.5270000000000001</v>
      </c>
      <c r="Q110">
        <v>106.52</v>
      </c>
      <c r="R110">
        <v>11.295</v>
      </c>
      <c r="S110">
        <v>64.02</v>
      </c>
    </row>
    <row r="111" spans="1:19" x14ac:dyDescent="0.25">
      <c r="A111" s="6">
        <v>44076</v>
      </c>
      <c r="B111">
        <v>33.42</v>
      </c>
      <c r="C111">
        <v>44.2</v>
      </c>
      <c r="D111">
        <v>51.22</v>
      </c>
      <c r="E111">
        <v>55.91</v>
      </c>
      <c r="F111">
        <v>55.28</v>
      </c>
      <c r="G111">
        <v>41.51</v>
      </c>
      <c r="H111">
        <v>44.43</v>
      </c>
      <c r="I111">
        <v>43.83</v>
      </c>
      <c r="J111">
        <v>39.19</v>
      </c>
      <c r="K111">
        <v>13.02</v>
      </c>
      <c r="L111">
        <v>55861.88</v>
      </c>
      <c r="M111">
        <v>53684.05</v>
      </c>
      <c r="N111">
        <v>4.2249999999999996</v>
      </c>
      <c r="O111">
        <v>5.9470000000000002E-2</v>
      </c>
      <c r="P111">
        <v>2.4860000000000002</v>
      </c>
      <c r="Q111">
        <v>106.33</v>
      </c>
      <c r="R111">
        <v>11.11</v>
      </c>
      <c r="S111">
        <v>64.33</v>
      </c>
    </row>
    <row r="112" spans="1:19" x14ac:dyDescent="0.25">
      <c r="A112" s="6">
        <v>44077</v>
      </c>
      <c r="B112">
        <v>33.42</v>
      </c>
      <c r="C112">
        <v>44.2</v>
      </c>
      <c r="D112">
        <v>51.22</v>
      </c>
      <c r="E112">
        <v>55.91</v>
      </c>
      <c r="F112">
        <v>55.28</v>
      </c>
      <c r="G112">
        <v>41.37</v>
      </c>
      <c r="H112">
        <v>44.07</v>
      </c>
      <c r="I112">
        <v>43.61</v>
      </c>
      <c r="J112">
        <v>39.11</v>
      </c>
      <c r="K112">
        <v>13.18</v>
      </c>
      <c r="L112">
        <v>54522.35</v>
      </c>
      <c r="M112">
        <v>52084.57</v>
      </c>
      <c r="N112">
        <v>4.34</v>
      </c>
      <c r="O112">
        <v>5.9749999999999998E-2</v>
      </c>
      <c r="P112">
        <v>2.4870000000000001</v>
      </c>
      <c r="Q112">
        <v>103.22</v>
      </c>
      <c r="R112">
        <v>11.734999999999999</v>
      </c>
      <c r="S112">
        <v>65.02</v>
      </c>
    </row>
    <row r="113" spans="1:19" x14ac:dyDescent="0.25">
      <c r="A113" s="6">
        <v>44078</v>
      </c>
      <c r="B113">
        <v>34.32</v>
      </c>
      <c r="C113">
        <v>45.09</v>
      </c>
      <c r="D113">
        <v>52.71</v>
      </c>
      <c r="E113">
        <v>57.13</v>
      </c>
      <c r="F113">
        <v>56</v>
      </c>
      <c r="G113">
        <v>39.770000000000003</v>
      </c>
      <c r="H113">
        <v>42.66</v>
      </c>
      <c r="I113">
        <v>42.61</v>
      </c>
      <c r="J113">
        <v>39.08</v>
      </c>
      <c r="K113">
        <v>13.36</v>
      </c>
      <c r="L113">
        <v>53878.95</v>
      </c>
      <c r="M113">
        <v>52279.12</v>
      </c>
      <c r="N113">
        <v>4.2249999999999996</v>
      </c>
      <c r="O113">
        <v>6.0159999999999998E-2</v>
      </c>
      <c r="P113">
        <v>2.5880000000000001</v>
      </c>
      <c r="Q113">
        <v>100.08</v>
      </c>
      <c r="R113">
        <v>11.68</v>
      </c>
      <c r="S113">
        <v>63.68</v>
      </c>
    </row>
    <row r="114" spans="1:19" x14ac:dyDescent="0.25">
      <c r="A114" s="6">
        <v>44081</v>
      </c>
      <c r="B114">
        <v>34.32</v>
      </c>
      <c r="C114">
        <v>45.09</v>
      </c>
      <c r="D114">
        <v>52.71</v>
      </c>
      <c r="E114">
        <v>57.13</v>
      </c>
      <c r="F114">
        <v>56</v>
      </c>
      <c r="G114">
        <v>39.200000000000003</v>
      </c>
      <c r="H114">
        <v>42.01</v>
      </c>
      <c r="I114">
        <v>41.405000000000001</v>
      </c>
      <c r="J114">
        <v>38.629999999999995</v>
      </c>
      <c r="K114">
        <v>13.08</v>
      </c>
      <c r="L114">
        <v>54400.28</v>
      </c>
      <c r="M114">
        <v>53551.07</v>
      </c>
      <c r="N114">
        <v>4.2941891891892396</v>
      </c>
      <c r="O114">
        <v>5.9700000000000003E-2</v>
      </c>
      <c r="P114">
        <v>2.5409999999999999</v>
      </c>
      <c r="Q114">
        <v>99.449999999999989</v>
      </c>
      <c r="R114">
        <v>11.24</v>
      </c>
      <c r="S114">
        <v>63.33</v>
      </c>
    </row>
    <row r="115" spans="1:19" x14ac:dyDescent="0.25">
      <c r="A115" s="6">
        <v>44082</v>
      </c>
      <c r="B115">
        <v>34.32</v>
      </c>
      <c r="C115">
        <v>45.09</v>
      </c>
      <c r="D115">
        <v>52.71</v>
      </c>
      <c r="E115">
        <v>57.13</v>
      </c>
      <c r="F115">
        <v>56</v>
      </c>
      <c r="G115">
        <v>36.76</v>
      </c>
      <c r="H115">
        <v>39.78</v>
      </c>
      <c r="I115">
        <v>40.200000000000003</v>
      </c>
      <c r="J115">
        <v>38.18</v>
      </c>
      <c r="K115">
        <v>13.4</v>
      </c>
      <c r="L115">
        <v>54438.82</v>
      </c>
      <c r="M115">
        <v>52888.27</v>
      </c>
      <c r="N115">
        <v>4.32</v>
      </c>
      <c r="O115">
        <v>5.8999999999999997E-2</v>
      </c>
      <c r="P115">
        <v>2.4</v>
      </c>
      <c r="Q115">
        <v>98.82</v>
      </c>
      <c r="R115">
        <v>10.8</v>
      </c>
      <c r="S115">
        <v>63.95</v>
      </c>
    </row>
    <row r="116" spans="1:19" x14ac:dyDescent="0.25">
      <c r="A116" s="6">
        <v>44083</v>
      </c>
      <c r="B116">
        <v>34.32</v>
      </c>
      <c r="C116">
        <v>45.09</v>
      </c>
      <c r="D116">
        <v>52.71</v>
      </c>
      <c r="E116">
        <v>57.13</v>
      </c>
      <c r="F116">
        <v>56</v>
      </c>
      <c r="G116">
        <v>38.049999999999997</v>
      </c>
      <c r="H116">
        <v>40.79</v>
      </c>
      <c r="I116">
        <v>40.78</v>
      </c>
      <c r="J116">
        <v>37.950000000000003</v>
      </c>
      <c r="K116">
        <v>13.24</v>
      </c>
      <c r="L116">
        <v>55211.34</v>
      </c>
      <c r="M116">
        <v>53271.41</v>
      </c>
      <c r="N116">
        <v>4.25</v>
      </c>
      <c r="O116">
        <v>6.019E-2</v>
      </c>
      <c r="P116">
        <v>2.4060000000000001</v>
      </c>
      <c r="Q116">
        <v>101.21</v>
      </c>
      <c r="R116">
        <v>10.734999999999999</v>
      </c>
      <c r="S116">
        <v>62.9</v>
      </c>
    </row>
    <row r="117" spans="1:19" x14ac:dyDescent="0.25">
      <c r="A117" s="6">
        <v>44084</v>
      </c>
      <c r="B117">
        <v>34.32</v>
      </c>
      <c r="C117">
        <v>45.09</v>
      </c>
      <c r="D117">
        <v>52.71</v>
      </c>
      <c r="E117">
        <v>57.13</v>
      </c>
      <c r="F117">
        <v>56</v>
      </c>
      <c r="G117">
        <v>37.299999999999997</v>
      </c>
      <c r="H117">
        <v>40.06</v>
      </c>
      <c r="I117">
        <v>40.25</v>
      </c>
      <c r="J117">
        <v>37</v>
      </c>
      <c r="K117">
        <v>13.08</v>
      </c>
      <c r="L117">
        <v>55953.96</v>
      </c>
      <c r="M117">
        <v>53750.78</v>
      </c>
      <c r="N117">
        <v>4.3099999999999996</v>
      </c>
      <c r="O117">
        <v>5.9119999999999999E-2</v>
      </c>
      <c r="P117">
        <v>2.323</v>
      </c>
      <c r="Q117">
        <v>98.25</v>
      </c>
      <c r="R117">
        <v>10.515000000000001</v>
      </c>
      <c r="S117">
        <v>64.17</v>
      </c>
    </row>
    <row r="118" spans="1:19" x14ac:dyDescent="0.25">
      <c r="A118" s="6">
        <v>44085</v>
      </c>
      <c r="B118">
        <v>33.14</v>
      </c>
      <c r="C118">
        <v>43.56</v>
      </c>
      <c r="D118">
        <v>51.58</v>
      </c>
      <c r="E118">
        <v>55.72</v>
      </c>
      <c r="F118">
        <v>55.52</v>
      </c>
      <c r="G118">
        <v>37.33</v>
      </c>
      <c r="H118">
        <v>39.83</v>
      </c>
      <c r="I118">
        <v>40.24</v>
      </c>
      <c r="J118">
        <v>36.9</v>
      </c>
      <c r="K118">
        <v>13.18</v>
      </c>
      <c r="L118">
        <v>56087.839999999997</v>
      </c>
      <c r="M118">
        <v>54455.08</v>
      </c>
      <c r="N118">
        <v>4.3099999999999996</v>
      </c>
      <c r="O118">
        <v>5.9670000000000001E-2</v>
      </c>
      <c r="P118">
        <v>2.2690000000000001</v>
      </c>
      <c r="Q118">
        <v>98.23</v>
      </c>
      <c r="R118">
        <v>10.494999999999999</v>
      </c>
      <c r="S118">
        <v>63.43</v>
      </c>
    </row>
    <row r="119" spans="1:19" x14ac:dyDescent="0.25">
      <c r="A119" s="6">
        <v>44088</v>
      </c>
      <c r="B119">
        <v>33.14</v>
      </c>
      <c r="C119">
        <v>43.56</v>
      </c>
      <c r="D119">
        <v>51.58</v>
      </c>
      <c r="E119">
        <v>55.72</v>
      </c>
      <c r="F119">
        <v>55.52</v>
      </c>
      <c r="G119">
        <v>37.26</v>
      </c>
      <c r="H119">
        <v>39.61</v>
      </c>
      <c r="I119">
        <v>40.15</v>
      </c>
      <c r="J119">
        <v>36.659999999999997</v>
      </c>
      <c r="K119">
        <v>13.26</v>
      </c>
      <c r="L119">
        <v>56327.05</v>
      </c>
      <c r="M119">
        <v>54929.3</v>
      </c>
      <c r="N119">
        <v>4.3099999999999996</v>
      </c>
      <c r="O119">
        <v>5.9979999999999999E-2</v>
      </c>
      <c r="P119">
        <v>2.31</v>
      </c>
      <c r="Q119">
        <v>100.46</v>
      </c>
      <c r="R119">
        <v>10.705</v>
      </c>
      <c r="S119">
        <v>68.75</v>
      </c>
    </row>
    <row r="120" spans="1:19" x14ac:dyDescent="0.25">
      <c r="A120" s="6">
        <v>44089</v>
      </c>
      <c r="B120">
        <v>33.14</v>
      </c>
      <c r="C120">
        <v>43.56</v>
      </c>
      <c r="D120">
        <v>51.58</v>
      </c>
      <c r="E120">
        <v>55.72</v>
      </c>
      <c r="F120">
        <v>55.52</v>
      </c>
      <c r="G120">
        <v>38.28</v>
      </c>
      <c r="H120">
        <v>40.53</v>
      </c>
      <c r="I120">
        <v>40.69</v>
      </c>
      <c r="J120">
        <v>36.270000000000003</v>
      </c>
      <c r="K120">
        <v>13.34</v>
      </c>
      <c r="L120">
        <v>56130.78</v>
      </c>
      <c r="M120">
        <v>54955.76</v>
      </c>
      <c r="N120">
        <v>4.3079999999999998</v>
      </c>
      <c r="O120">
        <v>6.08E-2</v>
      </c>
      <c r="P120">
        <v>2.3620000000000001</v>
      </c>
      <c r="Q120">
        <v>100.53</v>
      </c>
      <c r="R120">
        <v>10.895</v>
      </c>
      <c r="S120">
        <v>68.27</v>
      </c>
    </row>
    <row r="121" spans="1:19" x14ac:dyDescent="0.25">
      <c r="A121" s="6">
        <v>44090</v>
      </c>
      <c r="B121">
        <v>33.14</v>
      </c>
      <c r="C121">
        <v>43.56</v>
      </c>
      <c r="D121">
        <v>51.58</v>
      </c>
      <c r="E121">
        <v>55.72</v>
      </c>
      <c r="F121">
        <v>55.52</v>
      </c>
      <c r="G121">
        <v>40.159999999999997</v>
      </c>
      <c r="H121">
        <v>42.22</v>
      </c>
      <c r="I121">
        <v>41.58</v>
      </c>
      <c r="J121">
        <v>37.81</v>
      </c>
      <c r="K121">
        <v>13.26</v>
      </c>
      <c r="L121">
        <v>55960.74</v>
      </c>
      <c r="M121">
        <v>54850.07</v>
      </c>
      <c r="N121">
        <v>4.8949999999999996</v>
      </c>
      <c r="O121">
        <v>6.1559999999999997E-2</v>
      </c>
      <c r="P121">
        <v>2.2669999999999999</v>
      </c>
      <c r="Q121">
        <v>100.91</v>
      </c>
      <c r="R121">
        <v>11.32</v>
      </c>
      <c r="S121">
        <v>70.33</v>
      </c>
    </row>
    <row r="122" spans="1:19" x14ac:dyDescent="0.25">
      <c r="A122" s="6">
        <v>44091</v>
      </c>
      <c r="B122">
        <v>33.14</v>
      </c>
      <c r="C122">
        <v>43.56</v>
      </c>
      <c r="D122">
        <v>51.58</v>
      </c>
      <c r="E122">
        <v>55.72</v>
      </c>
      <c r="F122">
        <v>55.52</v>
      </c>
      <c r="G122">
        <v>40.97</v>
      </c>
      <c r="H122">
        <v>43.3</v>
      </c>
      <c r="I122">
        <v>42.02</v>
      </c>
      <c r="J122">
        <v>37.799999999999997</v>
      </c>
      <c r="K122">
        <v>13.4</v>
      </c>
      <c r="L122">
        <v>55035.6</v>
      </c>
      <c r="M122">
        <v>52992.84</v>
      </c>
      <c r="N122">
        <v>4.8449999999999998</v>
      </c>
      <c r="O122">
        <v>6.1870000000000001E-2</v>
      </c>
      <c r="P122">
        <v>2.0419999999999998</v>
      </c>
      <c r="Q122">
        <v>99.96</v>
      </c>
      <c r="R122">
        <v>11.12</v>
      </c>
      <c r="S122">
        <v>69.180000000000007</v>
      </c>
    </row>
    <row r="123" spans="1:19" x14ac:dyDescent="0.25">
      <c r="A123" s="6">
        <v>44092</v>
      </c>
      <c r="B123">
        <v>34.18</v>
      </c>
      <c r="C123">
        <v>45.13</v>
      </c>
      <c r="D123">
        <v>53.19</v>
      </c>
      <c r="E123">
        <v>56.18</v>
      </c>
      <c r="F123">
        <v>55.66</v>
      </c>
      <c r="G123">
        <v>41.11</v>
      </c>
      <c r="H123">
        <v>43.15</v>
      </c>
      <c r="I123">
        <v>42.01</v>
      </c>
      <c r="J123">
        <v>37.19</v>
      </c>
      <c r="K123">
        <v>13.66</v>
      </c>
      <c r="L123">
        <v>54673.65</v>
      </c>
      <c r="M123">
        <v>53198.46</v>
      </c>
      <c r="N123">
        <v>4.8449999999999998</v>
      </c>
      <c r="O123">
        <v>6.1199999999999997E-2</v>
      </c>
      <c r="P123">
        <v>2.048</v>
      </c>
      <c r="Q123">
        <v>99.21</v>
      </c>
      <c r="R123">
        <v>11.475</v>
      </c>
      <c r="S123">
        <v>68.97</v>
      </c>
    </row>
    <row r="124" spans="1:19" x14ac:dyDescent="0.25">
      <c r="A124" s="6">
        <v>44095</v>
      </c>
      <c r="B124">
        <v>34.18</v>
      </c>
      <c r="C124">
        <v>45.13</v>
      </c>
      <c r="D124">
        <v>53.19</v>
      </c>
      <c r="E124">
        <v>56.18</v>
      </c>
      <c r="F124">
        <v>55.66</v>
      </c>
      <c r="G124">
        <v>39.31</v>
      </c>
      <c r="H124">
        <v>41.44</v>
      </c>
      <c r="I124">
        <v>41.41</v>
      </c>
      <c r="J124">
        <v>36.43</v>
      </c>
      <c r="K124">
        <v>13.78</v>
      </c>
      <c r="L124">
        <v>53319.08</v>
      </c>
      <c r="M124">
        <v>51789</v>
      </c>
      <c r="N124">
        <v>4.78</v>
      </c>
      <c r="O124">
        <v>5.9560000000000002E-2</v>
      </c>
      <c r="P124">
        <v>1.835</v>
      </c>
      <c r="Q124">
        <v>99.27</v>
      </c>
      <c r="R124">
        <v>11.494999999999999</v>
      </c>
      <c r="S124">
        <v>65.150000000000006</v>
      </c>
    </row>
    <row r="125" spans="1:19" x14ac:dyDescent="0.25">
      <c r="A125" s="6">
        <v>44096</v>
      </c>
      <c r="B125">
        <v>34.18</v>
      </c>
      <c r="C125">
        <v>45.13</v>
      </c>
      <c r="D125">
        <v>53.19</v>
      </c>
      <c r="E125">
        <v>56.18</v>
      </c>
      <c r="F125">
        <v>55.66</v>
      </c>
      <c r="G125">
        <v>39.6</v>
      </c>
      <c r="H125">
        <v>41.72</v>
      </c>
      <c r="I125">
        <v>41.5</v>
      </c>
      <c r="J125">
        <v>35.53</v>
      </c>
      <c r="K125">
        <v>13.84</v>
      </c>
      <c r="L125">
        <v>53265.33</v>
      </c>
      <c r="M125">
        <v>50772.23</v>
      </c>
      <c r="N125">
        <v>4.835</v>
      </c>
      <c r="O125">
        <v>5.9499999999999997E-2</v>
      </c>
      <c r="P125">
        <v>1.8340000000000001</v>
      </c>
      <c r="Q125">
        <v>98.8</v>
      </c>
      <c r="R125">
        <v>11.705</v>
      </c>
      <c r="S125">
        <v>63.98</v>
      </c>
    </row>
    <row r="126" spans="1:19" x14ac:dyDescent="0.25">
      <c r="A126" s="6">
        <v>44097</v>
      </c>
      <c r="B126">
        <v>34.18</v>
      </c>
      <c r="C126">
        <v>45.13</v>
      </c>
      <c r="D126">
        <v>53.19</v>
      </c>
      <c r="E126">
        <v>56.18</v>
      </c>
      <c r="F126">
        <v>55.66</v>
      </c>
      <c r="G126">
        <v>39.93</v>
      </c>
      <c r="H126">
        <v>41.77</v>
      </c>
      <c r="I126">
        <v>41.49</v>
      </c>
      <c r="J126">
        <v>34.39</v>
      </c>
      <c r="K126">
        <v>13.72</v>
      </c>
      <c r="L126">
        <v>54247.81</v>
      </c>
      <c r="M126">
        <v>51110.400000000001</v>
      </c>
      <c r="N126">
        <v>4.95</v>
      </c>
      <c r="O126">
        <v>5.8540000000000002E-2</v>
      </c>
      <c r="P126">
        <v>2.125</v>
      </c>
      <c r="Q126">
        <v>97</v>
      </c>
      <c r="R126">
        <v>12.02</v>
      </c>
      <c r="S126">
        <v>63.28</v>
      </c>
    </row>
    <row r="127" spans="1:19" x14ac:dyDescent="0.25">
      <c r="A127" s="6">
        <v>44098</v>
      </c>
      <c r="B127">
        <v>34.18</v>
      </c>
      <c r="C127">
        <v>45.13</v>
      </c>
      <c r="D127">
        <v>53.19</v>
      </c>
      <c r="E127">
        <v>56.18</v>
      </c>
      <c r="F127">
        <v>55.66</v>
      </c>
      <c r="G127">
        <v>40.31</v>
      </c>
      <c r="H127">
        <v>41.94</v>
      </c>
      <c r="I127">
        <v>41.56</v>
      </c>
      <c r="J127">
        <v>34.32</v>
      </c>
      <c r="K127">
        <v>13.48</v>
      </c>
      <c r="L127">
        <v>53066.733012048528</v>
      </c>
      <c r="M127">
        <v>50201.67220883444</v>
      </c>
      <c r="N127">
        <v>4.95</v>
      </c>
      <c r="O127">
        <v>5.9080000000000001E-2</v>
      </c>
      <c r="P127">
        <v>2.2480000000000002</v>
      </c>
      <c r="Q127">
        <v>98.33</v>
      </c>
      <c r="R127">
        <v>11.635</v>
      </c>
      <c r="S127">
        <v>63.58</v>
      </c>
    </row>
    <row r="128" spans="1:19" x14ac:dyDescent="0.25">
      <c r="A128" s="6">
        <v>44099</v>
      </c>
      <c r="B128">
        <v>35.590000000000003</v>
      </c>
      <c r="C128">
        <v>48.02</v>
      </c>
      <c r="D128">
        <v>56.57</v>
      </c>
      <c r="E128">
        <v>58.95</v>
      </c>
      <c r="F128">
        <v>59.12</v>
      </c>
      <c r="G128">
        <v>40.25</v>
      </c>
      <c r="H128">
        <v>41.92</v>
      </c>
      <c r="I128">
        <v>41.6</v>
      </c>
      <c r="J128">
        <v>34.64</v>
      </c>
      <c r="K128">
        <v>13.54</v>
      </c>
      <c r="L128">
        <v>53587.11</v>
      </c>
      <c r="M128">
        <v>51146.68</v>
      </c>
      <c r="N128">
        <v>4.9749999999999996</v>
      </c>
      <c r="O128">
        <v>5.833E-2</v>
      </c>
      <c r="P128">
        <v>2.1389999999999998</v>
      </c>
      <c r="Q128">
        <v>100.56</v>
      </c>
      <c r="R128">
        <v>11.664999999999999</v>
      </c>
      <c r="S128">
        <v>63.4</v>
      </c>
    </row>
    <row r="129" spans="1:19" x14ac:dyDescent="0.25">
      <c r="A129" s="6">
        <v>44102</v>
      </c>
      <c r="B129">
        <v>35.590000000000003</v>
      </c>
      <c r="C129">
        <v>48.02</v>
      </c>
      <c r="D129">
        <v>56.57</v>
      </c>
      <c r="E129">
        <v>58.95</v>
      </c>
      <c r="F129">
        <v>59.12</v>
      </c>
      <c r="G129">
        <v>40.6</v>
      </c>
      <c r="H129">
        <v>42.43</v>
      </c>
      <c r="I129">
        <v>41.62</v>
      </c>
      <c r="J129">
        <v>35.31</v>
      </c>
      <c r="K129">
        <v>13.94</v>
      </c>
      <c r="L129">
        <v>54718.8</v>
      </c>
      <c r="M129">
        <v>51816.7</v>
      </c>
      <c r="N129">
        <v>5.0750000000000002</v>
      </c>
      <c r="O129">
        <v>5.858E-2</v>
      </c>
      <c r="P129">
        <v>2.101</v>
      </c>
      <c r="Q129">
        <v>101.23</v>
      </c>
      <c r="R129">
        <v>12.35</v>
      </c>
      <c r="S129">
        <v>66.599999999999994</v>
      </c>
    </row>
    <row r="130" spans="1:19" x14ac:dyDescent="0.25">
      <c r="A130" s="6">
        <v>44103</v>
      </c>
      <c r="B130">
        <v>35.590000000000003</v>
      </c>
      <c r="C130">
        <v>48.02</v>
      </c>
      <c r="D130">
        <v>56.57</v>
      </c>
      <c r="E130">
        <v>58.95</v>
      </c>
      <c r="F130">
        <v>59.12</v>
      </c>
      <c r="G130">
        <v>39.29</v>
      </c>
      <c r="H130">
        <v>41.03</v>
      </c>
      <c r="I130">
        <v>41.53</v>
      </c>
      <c r="J130">
        <v>34.28</v>
      </c>
      <c r="K130">
        <v>13.92</v>
      </c>
      <c r="L130">
        <v>54506.879999999997</v>
      </c>
      <c r="M130">
        <v>51518.21</v>
      </c>
      <c r="N130">
        <v>5.0999999999999996</v>
      </c>
      <c r="O130">
        <v>5.8970000000000002E-2</v>
      </c>
      <c r="P130">
        <v>2.5609999999999999</v>
      </c>
      <c r="Q130">
        <v>99.17</v>
      </c>
      <c r="R130">
        <v>12.28</v>
      </c>
      <c r="S130">
        <v>69.8</v>
      </c>
    </row>
    <row r="131" spans="1:19" x14ac:dyDescent="0.25">
      <c r="A131" s="6">
        <v>44104</v>
      </c>
      <c r="B131">
        <v>35.590000000000003</v>
      </c>
      <c r="C131">
        <v>48.02</v>
      </c>
      <c r="D131">
        <v>56.57</v>
      </c>
      <c r="E131">
        <v>58.95</v>
      </c>
      <c r="F131">
        <v>59.12</v>
      </c>
      <c r="G131">
        <v>40.22</v>
      </c>
      <c r="H131">
        <v>40.950000000000003</v>
      </c>
      <c r="I131">
        <v>41.49</v>
      </c>
      <c r="J131">
        <v>34.33</v>
      </c>
      <c r="K131">
        <v>13.9</v>
      </c>
      <c r="L131">
        <v>54264.959999999999</v>
      </c>
      <c r="M131">
        <v>50856.62</v>
      </c>
      <c r="N131">
        <v>5.05</v>
      </c>
      <c r="O131">
        <v>5.9639999999999999E-2</v>
      </c>
      <c r="P131">
        <v>2.5270000000000001</v>
      </c>
      <c r="Q131">
        <v>100.05</v>
      </c>
      <c r="R131">
        <v>13.285</v>
      </c>
      <c r="S131">
        <v>69.28</v>
      </c>
    </row>
    <row r="132" spans="1:19" x14ac:dyDescent="0.25">
      <c r="A132" s="6">
        <v>44105</v>
      </c>
      <c r="B132">
        <v>35.590000000000003</v>
      </c>
      <c r="C132">
        <v>48.02</v>
      </c>
      <c r="D132">
        <v>56.57</v>
      </c>
      <c r="E132">
        <v>58.95</v>
      </c>
      <c r="F132">
        <v>59.12</v>
      </c>
      <c r="G132">
        <v>38.72</v>
      </c>
      <c r="H132">
        <v>40.93</v>
      </c>
      <c r="I132">
        <v>40.299999999999997</v>
      </c>
      <c r="J132">
        <v>33.130000000000003</v>
      </c>
      <c r="K132">
        <v>14.002650602409631</v>
      </c>
      <c r="L132">
        <v>54446.78</v>
      </c>
      <c r="M132">
        <v>50429.23</v>
      </c>
      <c r="N132">
        <v>5.0350000000000001</v>
      </c>
      <c r="O132">
        <v>6.0150000000000002E-2</v>
      </c>
      <c r="P132">
        <v>2.5270000000000001</v>
      </c>
      <c r="Q132">
        <v>101.43</v>
      </c>
      <c r="R132">
        <v>13.18</v>
      </c>
      <c r="S132">
        <v>68.67</v>
      </c>
    </row>
    <row r="133" spans="1:19" x14ac:dyDescent="0.25">
      <c r="A133" s="6">
        <v>44106</v>
      </c>
      <c r="B133">
        <v>35.81</v>
      </c>
      <c r="C133">
        <v>49.65</v>
      </c>
      <c r="D133">
        <v>58.87</v>
      </c>
      <c r="E133">
        <v>61.72</v>
      </c>
      <c r="F133">
        <v>58.67</v>
      </c>
      <c r="G133">
        <v>37.049999999999997</v>
      </c>
      <c r="H133">
        <v>39.270000000000003</v>
      </c>
      <c r="I133">
        <v>38.479999999999997</v>
      </c>
      <c r="J133">
        <v>32.979999999999997</v>
      </c>
      <c r="K133">
        <v>14.117393867314604</v>
      </c>
      <c r="L133">
        <v>54219.24</v>
      </c>
      <c r="M133">
        <v>50047.28</v>
      </c>
      <c r="N133">
        <v>5.0250000000000004</v>
      </c>
      <c r="O133">
        <v>6.0409999999999998E-2</v>
      </c>
      <c r="P133">
        <v>2.4380000000000002</v>
      </c>
      <c r="Q133">
        <v>101.34</v>
      </c>
      <c r="R133">
        <v>13.025</v>
      </c>
      <c r="S133">
        <v>71.92</v>
      </c>
    </row>
    <row r="134" spans="1:19" x14ac:dyDescent="0.25">
      <c r="A134" s="6">
        <v>44109</v>
      </c>
      <c r="B134">
        <v>35.81</v>
      </c>
      <c r="C134">
        <v>49.65</v>
      </c>
      <c r="D134">
        <v>58.87</v>
      </c>
      <c r="E134">
        <v>61.72</v>
      </c>
      <c r="F134">
        <v>58.67</v>
      </c>
      <c r="G134">
        <v>39.22</v>
      </c>
      <c r="H134">
        <v>41.29</v>
      </c>
      <c r="I134">
        <v>40.42</v>
      </c>
      <c r="J134">
        <v>33.74</v>
      </c>
      <c r="K134">
        <v>13.7</v>
      </c>
      <c r="L134">
        <v>54524.05</v>
      </c>
      <c r="M134">
        <v>50538.75</v>
      </c>
      <c r="N134">
        <v>5.05</v>
      </c>
      <c r="O134">
        <v>6.0260000000000001E-2</v>
      </c>
      <c r="P134">
        <v>2.6150000000000002</v>
      </c>
      <c r="Q134">
        <v>101.81</v>
      </c>
      <c r="R134">
        <v>13.42</v>
      </c>
      <c r="S134">
        <v>71.92</v>
      </c>
    </row>
    <row r="135" spans="1:19" x14ac:dyDescent="0.25">
      <c r="A135" s="6">
        <v>44110</v>
      </c>
      <c r="B135">
        <v>35.81</v>
      </c>
      <c r="C135">
        <v>49.65</v>
      </c>
      <c r="D135">
        <v>58.87</v>
      </c>
      <c r="E135">
        <v>61.72</v>
      </c>
      <c r="F135">
        <v>58.67</v>
      </c>
      <c r="G135">
        <v>40.67</v>
      </c>
      <c r="H135">
        <v>42.65</v>
      </c>
      <c r="I135">
        <v>41.56</v>
      </c>
      <c r="J135">
        <v>33.39</v>
      </c>
      <c r="K135">
        <v>13.74</v>
      </c>
      <c r="L135">
        <v>54203.83</v>
      </c>
      <c r="M135">
        <v>49990.87</v>
      </c>
      <c r="N135">
        <v>5.05</v>
      </c>
      <c r="O135">
        <v>5.9729999999999998E-2</v>
      </c>
      <c r="P135">
        <v>2.52</v>
      </c>
      <c r="Q135">
        <v>101.01</v>
      </c>
      <c r="R135">
        <v>13.305</v>
      </c>
      <c r="S135">
        <v>71.27</v>
      </c>
    </row>
    <row r="136" spans="1:19" x14ac:dyDescent="0.25">
      <c r="A136" s="6">
        <v>44111</v>
      </c>
      <c r="B136">
        <v>35.81</v>
      </c>
      <c r="C136">
        <v>49.65</v>
      </c>
      <c r="D136">
        <v>58.87</v>
      </c>
      <c r="E136">
        <v>61.72</v>
      </c>
      <c r="F136">
        <v>58.67</v>
      </c>
      <c r="G136">
        <v>39.950000000000003</v>
      </c>
      <c r="H136">
        <v>41.99</v>
      </c>
      <c r="I136">
        <v>40.98</v>
      </c>
      <c r="J136">
        <v>33.5</v>
      </c>
      <c r="K136">
        <v>13.76</v>
      </c>
      <c r="L136">
        <v>54749.77</v>
      </c>
      <c r="M136">
        <v>50682.95</v>
      </c>
      <c r="N136">
        <v>5.085</v>
      </c>
      <c r="O136">
        <v>6.012E-2</v>
      </c>
      <c r="P136">
        <v>2.6059999999999999</v>
      </c>
      <c r="Q136">
        <v>100.85</v>
      </c>
      <c r="R136">
        <v>13.71</v>
      </c>
      <c r="S136">
        <v>68.150000000000006</v>
      </c>
    </row>
    <row r="137" spans="1:19" x14ac:dyDescent="0.25">
      <c r="A137" s="6">
        <v>44112</v>
      </c>
      <c r="B137">
        <v>35.81</v>
      </c>
      <c r="C137">
        <v>49.65</v>
      </c>
      <c r="D137">
        <v>58.87</v>
      </c>
      <c r="E137">
        <v>61.72</v>
      </c>
      <c r="F137">
        <v>58.67</v>
      </c>
      <c r="G137">
        <v>41.19</v>
      </c>
      <c r="H137">
        <v>43.34</v>
      </c>
      <c r="I137">
        <v>41.88</v>
      </c>
      <c r="J137">
        <v>35.26</v>
      </c>
      <c r="K137">
        <v>13.4</v>
      </c>
      <c r="L137">
        <v>54554.85</v>
      </c>
      <c r="M137">
        <v>50910.06</v>
      </c>
      <c r="N137">
        <v>5.1050000000000004</v>
      </c>
      <c r="O137">
        <v>6.0260000000000001E-2</v>
      </c>
      <c r="P137">
        <v>2.6269999999999998</v>
      </c>
      <c r="Q137">
        <v>101.44</v>
      </c>
      <c r="R137">
        <v>13.9</v>
      </c>
      <c r="S137">
        <v>65.430000000000007</v>
      </c>
    </row>
    <row r="138" spans="1:19" x14ac:dyDescent="0.25">
      <c r="A138" s="6">
        <v>44113</v>
      </c>
      <c r="B138">
        <v>35.33</v>
      </c>
      <c r="C138">
        <v>47.56</v>
      </c>
      <c r="D138">
        <v>56.82</v>
      </c>
      <c r="E138">
        <v>59.93</v>
      </c>
      <c r="F138">
        <v>57.95</v>
      </c>
      <c r="G138">
        <v>40.6</v>
      </c>
      <c r="H138">
        <v>42.85</v>
      </c>
      <c r="I138">
        <v>41.48</v>
      </c>
      <c r="J138">
        <v>34.74</v>
      </c>
      <c r="K138">
        <v>13.72</v>
      </c>
      <c r="L138">
        <v>55182.99</v>
      </c>
      <c r="M138">
        <v>52392.44</v>
      </c>
      <c r="N138">
        <v>5.1349999999999998</v>
      </c>
      <c r="O138">
        <v>6.0670000000000002E-2</v>
      </c>
      <c r="P138">
        <v>2.7410000000000001</v>
      </c>
      <c r="Q138">
        <v>101.39</v>
      </c>
      <c r="R138">
        <v>13.755000000000001</v>
      </c>
      <c r="S138">
        <v>64.62</v>
      </c>
    </row>
    <row r="139" spans="1:19" x14ac:dyDescent="0.25">
      <c r="A139" s="6">
        <v>44116</v>
      </c>
      <c r="B139">
        <v>35.33</v>
      </c>
      <c r="C139">
        <v>47.56</v>
      </c>
      <c r="D139">
        <v>56.82</v>
      </c>
      <c r="E139">
        <v>59.93</v>
      </c>
      <c r="F139">
        <v>57.95</v>
      </c>
      <c r="G139">
        <v>39.43</v>
      </c>
      <c r="H139">
        <v>41.72</v>
      </c>
      <c r="I139">
        <v>40.78</v>
      </c>
      <c r="J139">
        <v>34.630000000000003</v>
      </c>
      <c r="K139">
        <v>13.84</v>
      </c>
      <c r="L139">
        <v>55552.35</v>
      </c>
      <c r="M139">
        <v>52514.23</v>
      </c>
      <c r="N139">
        <v>5.1349999999999998</v>
      </c>
      <c r="O139">
        <v>6.053E-2</v>
      </c>
      <c r="P139">
        <v>2.8809999999999998</v>
      </c>
      <c r="Q139">
        <v>102.96</v>
      </c>
      <c r="R139">
        <v>13.84</v>
      </c>
      <c r="S139">
        <v>63.33</v>
      </c>
    </row>
    <row r="140" spans="1:19" x14ac:dyDescent="0.25">
      <c r="A140" s="6">
        <v>44117</v>
      </c>
      <c r="B140">
        <v>35.33</v>
      </c>
      <c r="C140">
        <v>47.56</v>
      </c>
      <c r="D140">
        <v>56.82</v>
      </c>
      <c r="E140">
        <v>59.93</v>
      </c>
      <c r="F140">
        <v>57.95</v>
      </c>
      <c r="G140">
        <v>40.200000000000003</v>
      </c>
      <c r="H140">
        <v>42.45</v>
      </c>
      <c r="I140">
        <v>41.24</v>
      </c>
      <c r="J140">
        <v>34.22</v>
      </c>
      <c r="K140">
        <v>13.765945945945987</v>
      </c>
      <c r="L140">
        <v>55054.53</v>
      </c>
      <c r="M140">
        <v>51832.62</v>
      </c>
      <c r="N140">
        <v>5.1449999999999996</v>
      </c>
      <c r="O140">
        <v>6.0650000000000003E-2</v>
      </c>
      <c r="P140">
        <v>2.855</v>
      </c>
      <c r="Q140">
        <v>102.65</v>
      </c>
      <c r="R140">
        <v>13.595000000000001</v>
      </c>
      <c r="S140">
        <v>65.22</v>
      </c>
    </row>
    <row r="141" spans="1:19" x14ac:dyDescent="0.25">
      <c r="A141" s="6">
        <v>44118</v>
      </c>
      <c r="B141">
        <v>35.33</v>
      </c>
      <c r="C141">
        <v>47.56</v>
      </c>
      <c r="D141">
        <v>56.82</v>
      </c>
      <c r="E141">
        <v>59.93</v>
      </c>
      <c r="F141">
        <v>57.95</v>
      </c>
      <c r="G141">
        <v>41.04</v>
      </c>
      <c r="H141">
        <v>43.32</v>
      </c>
      <c r="I141">
        <v>41.78</v>
      </c>
      <c r="J141">
        <v>34.15</v>
      </c>
      <c r="K141">
        <v>13.76</v>
      </c>
      <c r="L141">
        <v>55394.23</v>
      </c>
      <c r="M141">
        <v>52702.36</v>
      </c>
      <c r="N141">
        <v>5.1449999999999996</v>
      </c>
      <c r="O141">
        <v>6.0449999999999997E-2</v>
      </c>
      <c r="P141">
        <v>2.6360000000000001</v>
      </c>
      <c r="Q141">
        <v>102.31</v>
      </c>
      <c r="R141">
        <v>13.87</v>
      </c>
      <c r="S141">
        <v>65.650000000000006</v>
      </c>
    </row>
    <row r="142" spans="1:19" x14ac:dyDescent="0.25">
      <c r="A142" s="6">
        <v>44119</v>
      </c>
      <c r="B142">
        <v>35.33</v>
      </c>
      <c r="C142">
        <v>47.56</v>
      </c>
      <c r="D142">
        <v>56.82</v>
      </c>
      <c r="E142">
        <v>59.93</v>
      </c>
      <c r="F142">
        <v>57.95</v>
      </c>
      <c r="G142">
        <v>40.96</v>
      </c>
      <c r="H142">
        <v>43.16</v>
      </c>
      <c r="I142">
        <v>41.65</v>
      </c>
      <c r="J142">
        <v>34.450000000000003</v>
      </c>
      <c r="K142">
        <v>13.96</v>
      </c>
      <c r="L142">
        <v>54843.96</v>
      </c>
      <c r="M142">
        <v>52136.1</v>
      </c>
      <c r="N142">
        <v>5.1459999999999999</v>
      </c>
      <c r="O142">
        <v>5.9990000000000002E-2</v>
      </c>
      <c r="P142">
        <v>2.7749999999999999</v>
      </c>
      <c r="Q142">
        <v>102.07</v>
      </c>
      <c r="R142">
        <v>14.24</v>
      </c>
      <c r="S142">
        <v>64.53</v>
      </c>
    </row>
    <row r="143" spans="1:19" x14ac:dyDescent="0.25">
      <c r="A143" s="6">
        <v>44120</v>
      </c>
      <c r="B143">
        <v>33.86</v>
      </c>
      <c r="C143">
        <v>45.32</v>
      </c>
      <c r="D143">
        <v>54.61</v>
      </c>
      <c r="E143">
        <v>57.01</v>
      </c>
      <c r="F143">
        <v>56.36</v>
      </c>
      <c r="G143">
        <v>40.880000000000003</v>
      </c>
      <c r="H143">
        <v>42.93</v>
      </c>
      <c r="I143">
        <v>41.48</v>
      </c>
      <c r="J143">
        <v>34.1</v>
      </c>
      <c r="K143">
        <v>14.06</v>
      </c>
      <c r="L143">
        <v>55047.26</v>
      </c>
      <c r="M143">
        <v>52300.76</v>
      </c>
      <c r="N143">
        <v>6.3150000000000004</v>
      </c>
      <c r="O143">
        <v>6.0319999999999999E-2</v>
      </c>
      <c r="P143">
        <v>2.7730000000000001</v>
      </c>
      <c r="Q143">
        <v>101.3</v>
      </c>
      <c r="R143">
        <v>14.5</v>
      </c>
      <c r="S143">
        <v>65</v>
      </c>
    </row>
    <row r="144" spans="1:19" x14ac:dyDescent="0.25">
      <c r="A144" s="6">
        <v>44123</v>
      </c>
      <c r="B144">
        <v>33.86</v>
      </c>
      <c r="C144">
        <v>45.32</v>
      </c>
      <c r="D144">
        <v>54.61</v>
      </c>
      <c r="E144">
        <v>57.01</v>
      </c>
      <c r="F144">
        <v>56.36</v>
      </c>
      <c r="G144">
        <v>40.83</v>
      </c>
      <c r="H144">
        <v>42.62</v>
      </c>
      <c r="I144">
        <v>41.37</v>
      </c>
      <c r="J144">
        <v>33.42</v>
      </c>
      <c r="K144">
        <v>13.78</v>
      </c>
      <c r="L144">
        <v>55161.03</v>
      </c>
      <c r="M144">
        <v>52290.91</v>
      </c>
      <c r="N144">
        <v>6.51</v>
      </c>
      <c r="O144">
        <v>6.0519999999999997E-2</v>
      </c>
      <c r="P144">
        <v>2.7949999999999999</v>
      </c>
      <c r="Q144">
        <v>98.45</v>
      </c>
      <c r="R144">
        <v>14.72</v>
      </c>
      <c r="S144">
        <v>66.92</v>
      </c>
    </row>
    <row r="145" spans="1:19" x14ac:dyDescent="0.25">
      <c r="A145" s="6">
        <v>44124</v>
      </c>
      <c r="B145">
        <v>33.86</v>
      </c>
      <c r="C145">
        <v>45.32</v>
      </c>
      <c r="D145">
        <v>54.61</v>
      </c>
      <c r="E145">
        <v>57.01</v>
      </c>
      <c r="F145">
        <v>56.36</v>
      </c>
      <c r="G145">
        <v>41.46</v>
      </c>
      <c r="H145">
        <v>43.16</v>
      </c>
      <c r="I145">
        <v>41.59</v>
      </c>
      <c r="J145">
        <v>33.700000000000003</v>
      </c>
      <c r="K145">
        <v>13.72</v>
      </c>
      <c r="L145">
        <v>55271.75</v>
      </c>
      <c r="M145">
        <v>52044.2</v>
      </c>
      <c r="N145">
        <v>6.55</v>
      </c>
      <c r="O145">
        <v>6.0639999999999999E-2</v>
      </c>
      <c r="P145">
        <v>2.9129999999999998</v>
      </c>
      <c r="Q145">
        <v>99.95</v>
      </c>
      <c r="R145">
        <v>14.895</v>
      </c>
      <c r="S145">
        <v>66.27</v>
      </c>
    </row>
    <row r="146" spans="1:19" x14ac:dyDescent="0.25">
      <c r="A146" s="6">
        <v>44125</v>
      </c>
      <c r="B146">
        <v>33.86</v>
      </c>
      <c r="C146">
        <v>45.32</v>
      </c>
      <c r="D146">
        <v>54.61</v>
      </c>
      <c r="E146">
        <v>57.01</v>
      </c>
      <c r="F146">
        <v>56.36</v>
      </c>
      <c r="G146">
        <v>40.03</v>
      </c>
      <c r="H146">
        <v>41.73</v>
      </c>
      <c r="I146">
        <v>41.07</v>
      </c>
      <c r="J146">
        <v>33.159999999999997</v>
      </c>
      <c r="K146">
        <v>13.8</v>
      </c>
      <c r="L146">
        <v>55345.49</v>
      </c>
      <c r="M146">
        <v>52769.74</v>
      </c>
      <c r="N146">
        <v>6.7249999999999996</v>
      </c>
      <c r="O146">
        <v>6.1210000000000001E-2</v>
      </c>
      <c r="P146">
        <v>3.0230000000000001</v>
      </c>
      <c r="Q146">
        <v>99.47</v>
      </c>
      <c r="R146">
        <v>14.865</v>
      </c>
      <c r="S146">
        <v>64.77</v>
      </c>
    </row>
    <row r="147" spans="1:19" x14ac:dyDescent="0.25">
      <c r="A147" s="6">
        <v>44126</v>
      </c>
      <c r="B147">
        <v>33.86</v>
      </c>
      <c r="C147">
        <v>45.32</v>
      </c>
      <c r="D147">
        <v>54.61</v>
      </c>
      <c r="E147">
        <v>57.01</v>
      </c>
      <c r="F147">
        <v>56.36</v>
      </c>
      <c r="G147">
        <v>40.64</v>
      </c>
      <c r="H147">
        <v>42.46</v>
      </c>
      <c r="I147">
        <v>41.31</v>
      </c>
      <c r="J147">
        <v>34.86</v>
      </c>
      <c r="K147">
        <v>13.82</v>
      </c>
      <c r="L147">
        <v>54796.42</v>
      </c>
      <c r="M147">
        <v>51044.04</v>
      </c>
      <c r="N147">
        <v>6.875</v>
      </c>
      <c r="O147">
        <v>6.164E-2</v>
      </c>
      <c r="P147">
        <v>3.0070000000000001</v>
      </c>
      <c r="Q147">
        <v>99.36</v>
      </c>
      <c r="R147">
        <v>15.255000000000001</v>
      </c>
      <c r="S147">
        <v>65.349999999999994</v>
      </c>
    </row>
    <row r="148" spans="1:19" x14ac:dyDescent="0.25">
      <c r="A148" s="6">
        <v>44127</v>
      </c>
      <c r="B148">
        <v>34.56</v>
      </c>
      <c r="C148">
        <v>45.67</v>
      </c>
      <c r="D148">
        <v>55.01</v>
      </c>
      <c r="E148">
        <v>57.37</v>
      </c>
      <c r="F148">
        <v>56.1</v>
      </c>
      <c r="G148">
        <v>39.85</v>
      </c>
      <c r="H148">
        <v>41.77</v>
      </c>
      <c r="I148">
        <v>41.14</v>
      </c>
      <c r="J148">
        <v>34.159999999999997</v>
      </c>
      <c r="K148">
        <v>14.08</v>
      </c>
      <c r="L148">
        <v>55339.58</v>
      </c>
      <c r="M148">
        <v>50668.17</v>
      </c>
      <c r="N148">
        <v>7.25</v>
      </c>
      <c r="O148">
        <v>6.1679999999999999E-2</v>
      </c>
      <c r="P148">
        <v>2.9710000000000001</v>
      </c>
      <c r="Q148">
        <v>98.95</v>
      </c>
      <c r="R148">
        <v>15.41</v>
      </c>
      <c r="S148">
        <v>64.95</v>
      </c>
    </row>
    <row r="149" spans="1:19" x14ac:dyDescent="0.25">
      <c r="A149" s="6">
        <v>44130</v>
      </c>
      <c r="B149">
        <v>34.56</v>
      </c>
      <c r="C149">
        <v>45.67</v>
      </c>
      <c r="D149">
        <v>55.01</v>
      </c>
      <c r="E149">
        <v>57.37</v>
      </c>
      <c r="F149">
        <v>56.1</v>
      </c>
      <c r="G149">
        <v>38.56</v>
      </c>
      <c r="H149">
        <v>40.46</v>
      </c>
      <c r="I149">
        <v>40.89</v>
      </c>
      <c r="J149">
        <v>33.35</v>
      </c>
      <c r="K149">
        <v>13.835675675675645</v>
      </c>
      <c r="L149">
        <v>54890.879999999997</v>
      </c>
      <c r="M149">
        <v>50255.59</v>
      </c>
      <c r="N149">
        <v>7.2</v>
      </c>
      <c r="O149">
        <v>6.1550000000000001E-2</v>
      </c>
      <c r="P149">
        <v>3.024</v>
      </c>
      <c r="Q149">
        <v>97.76</v>
      </c>
      <c r="R149">
        <v>14.865</v>
      </c>
      <c r="S149">
        <v>64.27</v>
      </c>
    </row>
    <row r="150" spans="1:19" x14ac:dyDescent="0.25">
      <c r="A150" s="6">
        <v>44131</v>
      </c>
      <c r="B150">
        <v>34.56</v>
      </c>
      <c r="C150">
        <v>45.67</v>
      </c>
      <c r="D150">
        <v>55.01</v>
      </c>
      <c r="E150">
        <v>57.37</v>
      </c>
      <c r="F150">
        <v>56.1</v>
      </c>
      <c r="G150">
        <v>39.57</v>
      </c>
      <c r="H150">
        <v>41.2</v>
      </c>
      <c r="I150">
        <v>40.98</v>
      </c>
      <c r="J150">
        <v>32.82</v>
      </c>
      <c r="K150">
        <v>14</v>
      </c>
      <c r="L150">
        <v>54079.43</v>
      </c>
      <c r="M150">
        <v>48705.83</v>
      </c>
      <c r="N150">
        <v>7</v>
      </c>
      <c r="O150">
        <v>6.1690000000000002E-2</v>
      </c>
      <c r="P150">
        <v>3.0190000000000001</v>
      </c>
      <c r="Q150">
        <v>97.56</v>
      </c>
      <c r="R150">
        <v>14.744999999999999</v>
      </c>
      <c r="S150">
        <v>64.650000000000006</v>
      </c>
    </row>
    <row r="151" spans="1:19" x14ac:dyDescent="0.25">
      <c r="A151" s="6">
        <v>44132</v>
      </c>
      <c r="B151">
        <v>34.56</v>
      </c>
      <c r="C151">
        <v>45.67</v>
      </c>
      <c r="D151">
        <v>55.01</v>
      </c>
      <c r="E151">
        <v>57.37</v>
      </c>
      <c r="F151">
        <v>56.1</v>
      </c>
      <c r="G151">
        <v>37.39</v>
      </c>
      <c r="H151">
        <v>39.119999999999997</v>
      </c>
      <c r="I151">
        <v>40.75</v>
      </c>
      <c r="J151">
        <v>31.57</v>
      </c>
      <c r="K151">
        <v>13.64</v>
      </c>
      <c r="L151">
        <v>52308.14</v>
      </c>
      <c r="M151">
        <v>46477.22</v>
      </c>
      <c r="N151">
        <v>6.95</v>
      </c>
      <c r="O151">
        <v>6.0999999999999999E-2</v>
      </c>
      <c r="P151">
        <v>2.996</v>
      </c>
      <c r="Q151">
        <v>93.77</v>
      </c>
      <c r="R151">
        <v>14.484999999999999</v>
      </c>
      <c r="S151">
        <v>64.48</v>
      </c>
    </row>
    <row r="152" spans="1:19" x14ac:dyDescent="0.25">
      <c r="A152" s="6">
        <v>44133</v>
      </c>
      <c r="B152">
        <v>34.56</v>
      </c>
      <c r="C152">
        <v>45.67</v>
      </c>
      <c r="D152">
        <v>55.01</v>
      </c>
      <c r="E152">
        <v>57.37</v>
      </c>
      <c r="F152">
        <v>56.1</v>
      </c>
      <c r="G152">
        <v>36.17</v>
      </c>
      <c r="H152">
        <v>37.65</v>
      </c>
      <c r="I152">
        <v>40.68</v>
      </c>
      <c r="J152">
        <v>32.97</v>
      </c>
      <c r="K152">
        <v>13.64</v>
      </c>
      <c r="L152">
        <v>51896.97</v>
      </c>
      <c r="M152">
        <v>46360.37</v>
      </c>
      <c r="N152">
        <v>6.9249999999999998</v>
      </c>
      <c r="O152">
        <v>6.0949999999999997E-2</v>
      </c>
      <c r="P152">
        <v>3.3010000000000002</v>
      </c>
      <c r="Q152">
        <v>95.7</v>
      </c>
      <c r="R152">
        <v>14.215</v>
      </c>
      <c r="S152">
        <v>64.45</v>
      </c>
    </row>
    <row r="153" spans="1:19" x14ac:dyDescent="0.25">
      <c r="A153" s="6">
        <v>44134</v>
      </c>
      <c r="B153">
        <v>35.11</v>
      </c>
      <c r="C153">
        <v>46.43</v>
      </c>
      <c r="D153">
        <v>55.61</v>
      </c>
      <c r="E153">
        <v>59.71</v>
      </c>
      <c r="F153">
        <v>56.48</v>
      </c>
      <c r="G153">
        <v>35.79</v>
      </c>
      <c r="H153">
        <v>37.46</v>
      </c>
      <c r="I153">
        <v>40.659999999999997</v>
      </c>
      <c r="J153">
        <v>32.619999999999997</v>
      </c>
      <c r="K153">
        <v>13.4</v>
      </c>
      <c r="L153">
        <v>51684.7</v>
      </c>
      <c r="M153">
        <v>45767.22</v>
      </c>
      <c r="N153">
        <v>7.02</v>
      </c>
      <c r="O153">
        <v>6.1510000000000002E-2</v>
      </c>
      <c r="P153">
        <v>3.3540000000000001</v>
      </c>
      <c r="Q153">
        <v>94.4</v>
      </c>
      <c r="R153">
        <v>14.06</v>
      </c>
      <c r="S153">
        <v>63.77</v>
      </c>
    </row>
    <row r="154" spans="1:19" x14ac:dyDescent="0.25">
      <c r="A154" s="6">
        <v>44137</v>
      </c>
      <c r="B154">
        <v>35.11</v>
      </c>
      <c r="C154">
        <v>46.43</v>
      </c>
      <c r="D154">
        <v>55.61</v>
      </c>
      <c r="E154">
        <v>59.71</v>
      </c>
      <c r="F154">
        <v>56.48</v>
      </c>
      <c r="G154">
        <v>36.81</v>
      </c>
      <c r="H154">
        <v>38.97</v>
      </c>
      <c r="I154">
        <v>38.36</v>
      </c>
      <c r="J154">
        <v>33.99</v>
      </c>
      <c r="K154">
        <v>13.52</v>
      </c>
      <c r="L154">
        <v>52618.04</v>
      </c>
      <c r="M154">
        <v>47245.22</v>
      </c>
      <c r="N154">
        <v>6.915</v>
      </c>
      <c r="O154">
        <v>6.1609999999999998E-2</v>
      </c>
      <c r="P154">
        <v>3.2440000000000002</v>
      </c>
      <c r="Q154">
        <v>94.66</v>
      </c>
      <c r="R154">
        <v>13.654999999999999</v>
      </c>
      <c r="S154">
        <v>61.88</v>
      </c>
    </row>
    <row r="155" spans="1:19" x14ac:dyDescent="0.25">
      <c r="A155" s="6">
        <v>44138</v>
      </c>
      <c r="B155">
        <v>35.11</v>
      </c>
      <c r="C155">
        <v>46.43</v>
      </c>
      <c r="D155">
        <v>55.61</v>
      </c>
      <c r="E155">
        <v>59.71</v>
      </c>
      <c r="F155">
        <v>56.48</v>
      </c>
      <c r="G155">
        <v>37.659999999999997</v>
      </c>
      <c r="H155">
        <v>39.71</v>
      </c>
      <c r="I155">
        <v>39.159999999999997</v>
      </c>
      <c r="J155">
        <v>33.409999999999997</v>
      </c>
      <c r="K155">
        <v>13.56</v>
      </c>
      <c r="L155">
        <v>53187.81</v>
      </c>
      <c r="M155">
        <v>48417.1</v>
      </c>
      <c r="N155">
        <v>6.8</v>
      </c>
      <c r="O155">
        <v>6.2210000000000001E-2</v>
      </c>
      <c r="P155">
        <v>3.0590000000000002</v>
      </c>
      <c r="Q155">
        <v>96.06</v>
      </c>
      <c r="R155">
        <v>13.664999999999999</v>
      </c>
      <c r="S155">
        <v>61.98</v>
      </c>
    </row>
    <row r="156" spans="1:19" x14ac:dyDescent="0.25">
      <c r="A156" s="6">
        <v>44139</v>
      </c>
      <c r="B156">
        <v>35.11</v>
      </c>
      <c r="C156">
        <v>46.43</v>
      </c>
      <c r="D156">
        <v>55.61</v>
      </c>
      <c r="E156">
        <v>59.71</v>
      </c>
      <c r="F156">
        <v>56.48</v>
      </c>
      <c r="G156">
        <v>39.15</v>
      </c>
      <c r="H156">
        <v>41.23</v>
      </c>
      <c r="I156">
        <v>40.549999999999997</v>
      </c>
      <c r="J156">
        <v>33.229999999999997</v>
      </c>
      <c r="K156">
        <v>13.56</v>
      </c>
      <c r="L156">
        <v>53656.21</v>
      </c>
      <c r="M156">
        <v>47790.53</v>
      </c>
      <c r="N156">
        <v>6.8550000000000004</v>
      </c>
      <c r="O156">
        <v>6.2939999999999996E-2</v>
      </c>
      <c r="P156">
        <v>3.0459999999999998</v>
      </c>
      <c r="Q156">
        <v>98.36</v>
      </c>
      <c r="R156">
        <v>13.885</v>
      </c>
      <c r="S156">
        <v>60.42</v>
      </c>
    </row>
    <row r="157" spans="1:19" x14ac:dyDescent="0.25">
      <c r="A157" s="6">
        <v>44140</v>
      </c>
      <c r="B157">
        <v>35.11</v>
      </c>
      <c r="C157">
        <v>46.43</v>
      </c>
      <c r="D157">
        <v>55.61</v>
      </c>
      <c r="E157">
        <v>59.71</v>
      </c>
      <c r="F157">
        <v>56.48</v>
      </c>
      <c r="G157">
        <v>38.79</v>
      </c>
      <c r="H157">
        <v>40.93</v>
      </c>
      <c r="I157">
        <v>40.14</v>
      </c>
      <c r="J157">
        <v>33.17</v>
      </c>
      <c r="K157">
        <v>13.76</v>
      </c>
      <c r="L157">
        <v>55225.24</v>
      </c>
      <c r="M157">
        <v>49005.08</v>
      </c>
      <c r="N157">
        <v>6.8550000000000004</v>
      </c>
      <c r="O157">
        <v>6.3700000000000007E-2</v>
      </c>
      <c r="P157">
        <v>2.9420000000000002</v>
      </c>
      <c r="Q157">
        <v>100.96</v>
      </c>
      <c r="R157">
        <v>14.455</v>
      </c>
      <c r="S157">
        <v>62.27</v>
      </c>
    </row>
    <row r="158" spans="1:19" x14ac:dyDescent="0.25">
      <c r="A158" s="6">
        <v>44141</v>
      </c>
      <c r="B158">
        <v>36.130000000000003</v>
      </c>
      <c r="C158">
        <v>47.56</v>
      </c>
      <c r="D158">
        <v>56.76</v>
      </c>
      <c r="E158">
        <v>61.35</v>
      </c>
      <c r="F158">
        <v>57.65</v>
      </c>
      <c r="G158">
        <v>37.14</v>
      </c>
      <c r="H158">
        <v>39.450000000000003</v>
      </c>
      <c r="I158">
        <v>39.28</v>
      </c>
      <c r="J158">
        <v>32.78</v>
      </c>
      <c r="K158">
        <v>14</v>
      </c>
      <c r="L158">
        <v>56387.040000000001</v>
      </c>
      <c r="M158">
        <v>50057.87</v>
      </c>
      <c r="N158">
        <v>6.9050000000000002</v>
      </c>
      <c r="O158">
        <v>6.4030000000000004E-2</v>
      </c>
      <c r="P158">
        <v>2.8879999999999999</v>
      </c>
      <c r="Q158">
        <v>100.66</v>
      </c>
      <c r="R158">
        <v>13.9</v>
      </c>
      <c r="S158">
        <v>64.8</v>
      </c>
    </row>
    <row r="159" spans="1:19" x14ac:dyDescent="0.25">
      <c r="A159" s="6">
        <v>44144</v>
      </c>
      <c r="B159">
        <v>36.130000000000003</v>
      </c>
      <c r="C159">
        <v>47.56</v>
      </c>
      <c r="D159">
        <v>56.76</v>
      </c>
      <c r="E159">
        <v>61.35</v>
      </c>
      <c r="F159">
        <v>57.65</v>
      </c>
      <c r="G159">
        <v>40.29</v>
      </c>
      <c r="H159">
        <v>42.4</v>
      </c>
      <c r="I159">
        <v>41.4</v>
      </c>
      <c r="J159">
        <v>36.93</v>
      </c>
      <c r="K159">
        <v>13.88</v>
      </c>
      <c r="L159">
        <v>57307.49</v>
      </c>
      <c r="M159">
        <v>49279.67</v>
      </c>
      <c r="N159">
        <v>6.9050000000000002</v>
      </c>
      <c r="O159">
        <v>6.5000000000000002E-2</v>
      </c>
      <c r="P159">
        <v>2.859</v>
      </c>
      <c r="Q159">
        <v>98.22</v>
      </c>
      <c r="R159">
        <v>13.855</v>
      </c>
      <c r="S159">
        <v>65.569999999999993</v>
      </c>
    </row>
    <row r="160" spans="1:19" x14ac:dyDescent="0.25">
      <c r="A160" s="6">
        <v>44145</v>
      </c>
      <c r="B160">
        <v>36.130000000000003</v>
      </c>
      <c r="C160">
        <v>47.56</v>
      </c>
      <c r="D160">
        <v>56.76</v>
      </c>
      <c r="E160">
        <v>61.35</v>
      </c>
      <c r="F160">
        <v>57.65</v>
      </c>
      <c r="G160">
        <v>41.36</v>
      </c>
      <c r="H160">
        <v>43.61</v>
      </c>
      <c r="I160">
        <v>42.19</v>
      </c>
      <c r="J160">
        <v>36.86</v>
      </c>
      <c r="K160">
        <v>14.3</v>
      </c>
      <c r="L160">
        <v>57672.12</v>
      </c>
      <c r="M160">
        <v>50568.22</v>
      </c>
      <c r="N160">
        <v>6.9050000000000002</v>
      </c>
      <c r="O160">
        <v>6.3939999999999997E-2</v>
      </c>
      <c r="P160">
        <v>2.9489999999999998</v>
      </c>
      <c r="Q160">
        <v>98</v>
      </c>
      <c r="R160">
        <v>14.035</v>
      </c>
      <c r="S160">
        <v>67.22</v>
      </c>
    </row>
    <row r="161" spans="1:19" x14ac:dyDescent="0.25">
      <c r="A161" s="6">
        <v>44146</v>
      </c>
      <c r="B161">
        <v>36.130000000000003</v>
      </c>
      <c r="C161">
        <v>47.56</v>
      </c>
      <c r="D161">
        <v>56.76</v>
      </c>
      <c r="E161">
        <v>61.35</v>
      </c>
      <c r="F161">
        <v>57.65</v>
      </c>
      <c r="G161">
        <v>41.45</v>
      </c>
      <c r="H161">
        <v>43.8</v>
      </c>
      <c r="I161">
        <v>42.36</v>
      </c>
      <c r="J161">
        <v>36.479999999999997</v>
      </c>
      <c r="K161">
        <v>14.9</v>
      </c>
      <c r="L161">
        <v>57607.3</v>
      </c>
      <c r="M161">
        <v>50034.99</v>
      </c>
      <c r="N161">
        <v>6.9050000000000002</v>
      </c>
      <c r="O161">
        <v>6.3920000000000005E-2</v>
      </c>
      <c r="P161">
        <v>3.0310000000000001</v>
      </c>
      <c r="Q161">
        <v>99.98</v>
      </c>
      <c r="R161">
        <v>14.095000000000001</v>
      </c>
      <c r="S161">
        <v>68.08</v>
      </c>
    </row>
    <row r="162" spans="1:19" x14ac:dyDescent="0.25">
      <c r="A162" s="6">
        <v>44147</v>
      </c>
      <c r="B162">
        <v>36.130000000000003</v>
      </c>
      <c r="C162">
        <v>47.56</v>
      </c>
      <c r="D162">
        <v>56.76</v>
      </c>
      <c r="E162">
        <v>61.35</v>
      </c>
      <c r="F162">
        <v>57.65</v>
      </c>
      <c r="G162">
        <v>41.12</v>
      </c>
      <c r="H162">
        <v>43.53</v>
      </c>
      <c r="I162">
        <v>42.37</v>
      </c>
      <c r="J162">
        <v>35.229999999999997</v>
      </c>
      <c r="K162">
        <v>14.76</v>
      </c>
      <c r="L162">
        <v>57031.19</v>
      </c>
      <c r="M162">
        <v>48832</v>
      </c>
      <c r="N162">
        <v>6.9</v>
      </c>
      <c r="O162">
        <v>6.3839999999999994E-2</v>
      </c>
      <c r="P162">
        <v>2.976</v>
      </c>
      <c r="Q162">
        <v>98.31</v>
      </c>
      <c r="R162">
        <v>14</v>
      </c>
      <c r="S162">
        <v>69.569999999999993</v>
      </c>
    </row>
    <row r="163" spans="1:19" x14ac:dyDescent="0.25">
      <c r="A163" s="6">
        <v>44148</v>
      </c>
      <c r="B163">
        <v>38.86</v>
      </c>
      <c r="C163">
        <v>50.86</v>
      </c>
      <c r="D163">
        <v>60.87</v>
      </c>
      <c r="E163">
        <v>67.13</v>
      </c>
      <c r="F163">
        <v>59.33</v>
      </c>
      <c r="G163">
        <v>40.130000000000003</v>
      </c>
      <c r="H163">
        <v>42.78</v>
      </c>
      <c r="I163">
        <v>41.87</v>
      </c>
      <c r="J163">
        <v>36.08</v>
      </c>
      <c r="K163">
        <v>14.32</v>
      </c>
      <c r="L163">
        <v>57182.6</v>
      </c>
      <c r="M163">
        <v>49324.06</v>
      </c>
      <c r="N163">
        <v>6.899</v>
      </c>
      <c r="O163">
        <v>6.4519999999999994E-2</v>
      </c>
      <c r="P163">
        <v>2.9950000000000001</v>
      </c>
      <c r="Q163">
        <v>99.35</v>
      </c>
      <c r="R163">
        <v>14.24</v>
      </c>
      <c r="S163">
        <v>68.98</v>
      </c>
    </row>
    <row r="164" spans="1:19" x14ac:dyDescent="0.25">
      <c r="A164" s="6">
        <v>44151</v>
      </c>
      <c r="B164">
        <v>38.86</v>
      </c>
      <c r="C164">
        <v>50.86</v>
      </c>
      <c r="D164">
        <v>60.87</v>
      </c>
      <c r="E164">
        <v>67.13</v>
      </c>
      <c r="F164">
        <v>59.33</v>
      </c>
      <c r="G164">
        <v>41.34</v>
      </c>
      <c r="H164">
        <v>43.82</v>
      </c>
      <c r="I164">
        <v>42.52</v>
      </c>
      <c r="J164">
        <v>38.159999999999997</v>
      </c>
      <c r="K164">
        <v>14.72</v>
      </c>
      <c r="L164">
        <v>57267</v>
      </c>
      <c r="M164">
        <v>50148.46</v>
      </c>
      <c r="N164">
        <v>6.75</v>
      </c>
      <c r="O164">
        <v>6.5170000000000006E-2</v>
      </c>
      <c r="P164">
        <v>2.6970000000000001</v>
      </c>
      <c r="Q164">
        <v>99.71</v>
      </c>
      <c r="R164">
        <v>14.494999999999999</v>
      </c>
      <c r="S164">
        <v>69.42</v>
      </c>
    </row>
    <row r="165" spans="1:19" x14ac:dyDescent="0.25">
      <c r="A165" s="6">
        <v>44152</v>
      </c>
      <c r="B165">
        <v>38.86</v>
      </c>
      <c r="C165">
        <v>50.86</v>
      </c>
      <c r="D165">
        <v>60.87</v>
      </c>
      <c r="E165">
        <v>67.13</v>
      </c>
      <c r="F165">
        <v>59.33</v>
      </c>
      <c r="G165">
        <v>41.43</v>
      </c>
      <c r="H165">
        <v>43.75</v>
      </c>
      <c r="I165">
        <v>42.49</v>
      </c>
      <c r="J165">
        <v>38.67</v>
      </c>
      <c r="K165">
        <v>14.86</v>
      </c>
      <c r="L165">
        <v>57053.01</v>
      </c>
      <c r="M165">
        <v>49378.38</v>
      </c>
      <c r="N165">
        <v>6.5650000000000004</v>
      </c>
      <c r="O165">
        <v>6.4879999999999993E-2</v>
      </c>
      <c r="P165">
        <v>2.6920000000000002</v>
      </c>
      <c r="Q165">
        <v>100.03</v>
      </c>
      <c r="R165">
        <v>13.97</v>
      </c>
      <c r="S165">
        <v>69.42</v>
      </c>
    </row>
    <row r="166" spans="1:19" x14ac:dyDescent="0.25">
      <c r="A166" s="6">
        <v>44153</v>
      </c>
      <c r="B166">
        <v>38.86</v>
      </c>
      <c r="C166">
        <v>50.86</v>
      </c>
      <c r="D166">
        <v>60.87</v>
      </c>
      <c r="E166">
        <v>67.13</v>
      </c>
      <c r="F166">
        <v>59.33</v>
      </c>
      <c r="G166">
        <v>41.82</v>
      </c>
      <c r="H166">
        <v>44.34</v>
      </c>
      <c r="I166">
        <v>42.69</v>
      </c>
      <c r="J166">
        <v>37.21</v>
      </c>
      <c r="K166">
        <v>14.78</v>
      </c>
      <c r="L166">
        <v>57323.67</v>
      </c>
      <c r="M166">
        <v>49492.18</v>
      </c>
      <c r="N166">
        <v>6.43</v>
      </c>
      <c r="O166">
        <v>6.4649999999999999E-2</v>
      </c>
      <c r="P166">
        <v>2.7120000000000002</v>
      </c>
      <c r="Q166">
        <v>99.46</v>
      </c>
      <c r="R166">
        <v>13.68</v>
      </c>
      <c r="S166">
        <v>69.45</v>
      </c>
    </row>
    <row r="167" spans="1:19" x14ac:dyDescent="0.25">
      <c r="A167" s="6">
        <v>44154</v>
      </c>
      <c r="B167">
        <v>38.86</v>
      </c>
      <c r="C167">
        <v>50.86</v>
      </c>
      <c r="D167">
        <v>60.87</v>
      </c>
      <c r="E167">
        <v>67.13</v>
      </c>
      <c r="F167">
        <v>59.33</v>
      </c>
      <c r="G167">
        <v>41.74</v>
      </c>
      <c r="H167">
        <v>44.2</v>
      </c>
      <c r="I167">
        <v>42.6</v>
      </c>
      <c r="J167">
        <v>37.4</v>
      </c>
      <c r="K167">
        <v>14.48</v>
      </c>
      <c r="L167">
        <v>56753.49</v>
      </c>
      <c r="M167">
        <v>49043.22</v>
      </c>
      <c r="N167">
        <v>6.25</v>
      </c>
      <c r="O167">
        <v>6.4829999999999999E-2</v>
      </c>
      <c r="P167">
        <v>2.5920000000000001</v>
      </c>
      <c r="Q167">
        <v>100.9</v>
      </c>
      <c r="R167">
        <v>13.02</v>
      </c>
      <c r="S167">
        <v>68.48</v>
      </c>
    </row>
    <row r="168" spans="1:19" x14ac:dyDescent="0.25">
      <c r="A168" s="6">
        <v>44155</v>
      </c>
      <c r="B168">
        <v>40.1</v>
      </c>
      <c r="C168">
        <v>51.78</v>
      </c>
      <c r="D168">
        <v>62.43</v>
      </c>
      <c r="E168">
        <v>69.790000000000006</v>
      </c>
      <c r="F168">
        <v>60.38</v>
      </c>
      <c r="G168">
        <v>42.15</v>
      </c>
      <c r="H168">
        <v>44.96</v>
      </c>
      <c r="I168">
        <v>42.84</v>
      </c>
      <c r="J168">
        <v>36.94</v>
      </c>
      <c r="K168">
        <v>14.42</v>
      </c>
      <c r="L168">
        <v>56615.28</v>
      </c>
      <c r="M168">
        <v>49208.54</v>
      </c>
      <c r="N168">
        <v>6.375</v>
      </c>
      <c r="O168">
        <v>6.479E-2</v>
      </c>
      <c r="P168">
        <v>2.65</v>
      </c>
      <c r="Q168">
        <v>101.06</v>
      </c>
      <c r="R168">
        <v>12.895</v>
      </c>
      <c r="S168">
        <v>68.38</v>
      </c>
    </row>
    <row r="169" spans="1:19" x14ac:dyDescent="0.25">
      <c r="A169" s="6">
        <v>44158</v>
      </c>
      <c r="B169">
        <v>40.1</v>
      </c>
      <c r="C169">
        <v>51.78</v>
      </c>
      <c r="D169">
        <v>62.43</v>
      </c>
      <c r="E169">
        <v>69.790000000000006</v>
      </c>
      <c r="F169">
        <v>60.38</v>
      </c>
      <c r="G169">
        <v>43.06</v>
      </c>
      <c r="H169">
        <v>46.06</v>
      </c>
      <c r="I169">
        <v>43.08</v>
      </c>
      <c r="J169">
        <v>39.36</v>
      </c>
      <c r="K169">
        <v>14.8</v>
      </c>
      <c r="L169">
        <v>57147.31</v>
      </c>
      <c r="M169">
        <v>49420.12</v>
      </c>
      <c r="N169">
        <v>6.55</v>
      </c>
      <c r="O169">
        <v>6.4710000000000004E-2</v>
      </c>
      <c r="P169">
        <v>2.7109999999999999</v>
      </c>
      <c r="Q169">
        <v>102.36</v>
      </c>
      <c r="R169">
        <v>13.535</v>
      </c>
      <c r="S169">
        <v>68.87</v>
      </c>
    </row>
    <row r="170" spans="1:19" x14ac:dyDescent="0.25">
      <c r="A170" s="6">
        <v>44159</v>
      </c>
      <c r="B170">
        <v>40.1</v>
      </c>
      <c r="C170">
        <v>51.78</v>
      </c>
      <c r="D170">
        <v>62.43</v>
      </c>
      <c r="E170">
        <v>69.790000000000006</v>
      </c>
      <c r="F170">
        <v>60.38</v>
      </c>
      <c r="G170">
        <v>44.91</v>
      </c>
      <c r="H170">
        <v>47.86</v>
      </c>
      <c r="I170">
        <v>43.4</v>
      </c>
      <c r="J170">
        <v>41.98</v>
      </c>
      <c r="K170">
        <v>15.08</v>
      </c>
      <c r="L170">
        <v>57761.919999999998</v>
      </c>
      <c r="M170">
        <v>49899.85</v>
      </c>
      <c r="N170">
        <v>6.7450000000000001</v>
      </c>
      <c r="O170">
        <v>6.5710000000000005E-2</v>
      </c>
      <c r="P170">
        <v>2.7749999999999999</v>
      </c>
      <c r="Q170">
        <v>103.07</v>
      </c>
      <c r="R170">
        <v>13.9</v>
      </c>
      <c r="S170">
        <v>70.75</v>
      </c>
    </row>
    <row r="171" spans="1:19" x14ac:dyDescent="0.25">
      <c r="A171" s="6">
        <v>44160</v>
      </c>
      <c r="B171">
        <v>40.1</v>
      </c>
      <c r="C171">
        <v>51.78</v>
      </c>
      <c r="D171">
        <v>62.43</v>
      </c>
      <c r="E171">
        <v>69.790000000000006</v>
      </c>
      <c r="F171">
        <v>60.38</v>
      </c>
      <c r="G171">
        <v>45.71</v>
      </c>
      <c r="H171">
        <v>48.61</v>
      </c>
      <c r="I171">
        <v>43.52</v>
      </c>
      <c r="J171">
        <v>40.81</v>
      </c>
      <c r="K171">
        <v>15.12</v>
      </c>
      <c r="L171">
        <v>57742.19</v>
      </c>
      <c r="M171">
        <v>50036.44</v>
      </c>
      <c r="N171">
        <v>6.95</v>
      </c>
      <c r="O171">
        <v>6.6059999999999994E-2</v>
      </c>
      <c r="P171">
        <v>2.8959999999999999</v>
      </c>
      <c r="Q171">
        <v>103.93</v>
      </c>
      <c r="R171">
        <v>13.93</v>
      </c>
      <c r="S171">
        <v>70.58</v>
      </c>
    </row>
    <row r="172" spans="1:19" x14ac:dyDescent="0.25">
      <c r="A172" s="6">
        <v>44161</v>
      </c>
      <c r="B172">
        <v>40.1</v>
      </c>
      <c r="C172">
        <v>51.78</v>
      </c>
      <c r="D172">
        <v>62.43</v>
      </c>
      <c r="E172">
        <v>69.790000000000006</v>
      </c>
      <c r="F172">
        <v>60.38</v>
      </c>
      <c r="G172">
        <v>44.98</v>
      </c>
      <c r="H172">
        <v>47.8</v>
      </c>
      <c r="I172">
        <v>43.480000000000004</v>
      </c>
      <c r="J172">
        <v>40.5</v>
      </c>
      <c r="K172">
        <v>15.4</v>
      </c>
      <c r="L172">
        <v>57923.69</v>
      </c>
      <c r="M172">
        <v>50308.43</v>
      </c>
      <c r="N172">
        <v>6.9100000000003092</v>
      </c>
      <c r="O172">
        <v>6.5820000000000004E-2</v>
      </c>
      <c r="P172">
        <v>2.93</v>
      </c>
      <c r="Q172">
        <v>104.46000000000001</v>
      </c>
      <c r="R172">
        <v>14.2075</v>
      </c>
      <c r="S172">
        <v>70.87</v>
      </c>
    </row>
    <row r="173" spans="1:19" x14ac:dyDescent="0.25">
      <c r="A173" s="6">
        <v>44162</v>
      </c>
      <c r="B173">
        <v>43.19</v>
      </c>
      <c r="C173">
        <v>55.76</v>
      </c>
      <c r="D173">
        <v>68.39</v>
      </c>
      <c r="E173">
        <v>77.72</v>
      </c>
      <c r="F173">
        <v>66.19</v>
      </c>
      <c r="G173">
        <v>45.53</v>
      </c>
      <c r="H173">
        <v>48.18</v>
      </c>
      <c r="I173">
        <v>43.44</v>
      </c>
      <c r="J173">
        <v>40.19</v>
      </c>
      <c r="K173">
        <v>15.36</v>
      </c>
      <c r="L173">
        <v>57822.5</v>
      </c>
      <c r="M173">
        <v>50282.66</v>
      </c>
      <c r="N173">
        <v>7.15</v>
      </c>
      <c r="O173">
        <v>6.5500000000000003E-2</v>
      </c>
      <c r="P173">
        <v>2.843</v>
      </c>
      <c r="Q173">
        <v>104.99</v>
      </c>
      <c r="R173">
        <v>14.484999999999999</v>
      </c>
      <c r="S173">
        <v>72.569999999999993</v>
      </c>
    </row>
    <row r="174" spans="1:19" x14ac:dyDescent="0.25">
      <c r="A174" s="6">
        <v>44165</v>
      </c>
      <c r="B174">
        <v>43.19</v>
      </c>
      <c r="C174">
        <v>55.76</v>
      </c>
      <c r="D174">
        <v>68.39</v>
      </c>
      <c r="E174">
        <v>77.72</v>
      </c>
      <c r="F174">
        <v>66.19</v>
      </c>
      <c r="G174">
        <v>45.34</v>
      </c>
      <c r="H174">
        <v>47.59</v>
      </c>
      <c r="I174">
        <v>43.39</v>
      </c>
      <c r="J174">
        <v>38.130000000000003</v>
      </c>
      <c r="K174">
        <v>14.98</v>
      </c>
      <c r="L174">
        <v>57091.89</v>
      </c>
      <c r="M174">
        <v>50269.89</v>
      </c>
      <c r="N174">
        <v>7.3250000000000002</v>
      </c>
      <c r="O174">
        <v>6.4589999999999995E-2</v>
      </c>
      <c r="P174">
        <v>2.8820000000000001</v>
      </c>
      <c r="Q174">
        <v>105.51</v>
      </c>
      <c r="R174">
        <v>15.14</v>
      </c>
      <c r="S174">
        <v>72.67</v>
      </c>
    </row>
    <row r="175" spans="1:19" x14ac:dyDescent="0.25">
      <c r="A175" s="6">
        <v>44166</v>
      </c>
      <c r="B175">
        <v>43.19</v>
      </c>
      <c r="C175">
        <v>55.76</v>
      </c>
      <c r="D175">
        <v>68.39</v>
      </c>
      <c r="E175">
        <v>77.72</v>
      </c>
      <c r="F175">
        <v>66.19</v>
      </c>
      <c r="G175">
        <v>44.55</v>
      </c>
      <c r="H175">
        <v>47.42</v>
      </c>
      <c r="I175">
        <v>46.96</v>
      </c>
      <c r="J175">
        <v>38.5</v>
      </c>
      <c r="K175">
        <v>15.06</v>
      </c>
      <c r="L175">
        <v>57509.72</v>
      </c>
      <c r="M175">
        <v>51251.76</v>
      </c>
      <c r="N175">
        <v>7.3250000000000002</v>
      </c>
      <c r="O175">
        <v>6.5530000000000005E-2</v>
      </c>
      <c r="P175">
        <v>2.88</v>
      </c>
      <c r="Q175">
        <v>107.16</v>
      </c>
      <c r="R175">
        <v>14.91</v>
      </c>
      <c r="S175">
        <v>72.67</v>
      </c>
    </row>
    <row r="176" spans="1:19" x14ac:dyDescent="0.25">
      <c r="A176" s="6">
        <v>44167</v>
      </c>
      <c r="B176">
        <v>43.19</v>
      </c>
      <c r="C176">
        <v>55.76</v>
      </c>
      <c r="D176">
        <v>68.39</v>
      </c>
      <c r="E176">
        <v>77.72</v>
      </c>
      <c r="F176">
        <v>66.19</v>
      </c>
      <c r="G176">
        <v>45.28</v>
      </c>
      <c r="H176">
        <v>48.25</v>
      </c>
      <c r="I176">
        <v>47.67</v>
      </c>
      <c r="J176">
        <v>39.94</v>
      </c>
      <c r="K176">
        <v>15.26</v>
      </c>
      <c r="L176">
        <v>58281.98</v>
      </c>
      <c r="M176">
        <v>53177.46</v>
      </c>
      <c r="N176">
        <v>7.55</v>
      </c>
      <c r="O176">
        <v>6.5369999999999998E-2</v>
      </c>
      <c r="P176">
        <v>2.78</v>
      </c>
      <c r="Q176">
        <v>106.56</v>
      </c>
      <c r="R176">
        <v>14.904999999999999</v>
      </c>
      <c r="S176">
        <v>72.27</v>
      </c>
    </row>
    <row r="177" spans="1:19" x14ac:dyDescent="0.25">
      <c r="A177" s="6">
        <v>44168</v>
      </c>
      <c r="B177">
        <v>43.19</v>
      </c>
      <c r="C177">
        <v>55.76</v>
      </c>
      <c r="D177">
        <v>68.39</v>
      </c>
      <c r="E177">
        <v>77.72</v>
      </c>
      <c r="F177">
        <v>66.19</v>
      </c>
      <c r="G177">
        <v>45.64</v>
      </c>
      <c r="H177">
        <v>48.71</v>
      </c>
      <c r="I177">
        <v>48.04</v>
      </c>
      <c r="J177">
        <v>40.21</v>
      </c>
      <c r="K177">
        <v>15.08</v>
      </c>
      <c r="L177">
        <v>58947.48</v>
      </c>
      <c r="M177">
        <v>54270.48</v>
      </c>
      <c r="N177">
        <v>7.5</v>
      </c>
      <c r="O177">
        <v>6.5960000000000005E-2</v>
      </c>
      <c r="P177">
        <v>2.5070000000000001</v>
      </c>
      <c r="Q177">
        <v>107.46</v>
      </c>
      <c r="R177">
        <v>14.145</v>
      </c>
      <c r="S177">
        <v>71.67</v>
      </c>
    </row>
    <row r="178" spans="1:19" x14ac:dyDescent="0.25">
      <c r="A178" s="6">
        <v>44169</v>
      </c>
      <c r="B178">
        <v>44.27</v>
      </c>
      <c r="C178">
        <v>59.58</v>
      </c>
      <c r="D178">
        <v>74.180000000000007</v>
      </c>
      <c r="E178">
        <v>81.900000000000006</v>
      </c>
      <c r="F178">
        <v>71.19</v>
      </c>
      <c r="G178">
        <v>46.26</v>
      </c>
      <c r="H178">
        <v>49.25</v>
      </c>
      <c r="I178">
        <v>48.35</v>
      </c>
      <c r="J178">
        <v>41.68</v>
      </c>
      <c r="K178">
        <v>14.76</v>
      </c>
      <c r="L178">
        <v>59419.37</v>
      </c>
      <c r="M178">
        <v>54643.47</v>
      </c>
      <c r="N178">
        <v>7.4950000000000001</v>
      </c>
      <c r="O178">
        <v>6.5710000000000005E-2</v>
      </c>
      <c r="P178">
        <v>2.5750000000000002</v>
      </c>
      <c r="Q178">
        <v>109.23</v>
      </c>
      <c r="R178">
        <v>14.645</v>
      </c>
      <c r="S178">
        <v>71.83</v>
      </c>
    </row>
    <row r="179" spans="1:19" x14ac:dyDescent="0.25">
      <c r="A179" s="6">
        <v>44172</v>
      </c>
      <c r="B179">
        <v>44.27</v>
      </c>
      <c r="C179">
        <v>59.58</v>
      </c>
      <c r="D179">
        <v>74.180000000000007</v>
      </c>
      <c r="E179">
        <v>81.900000000000006</v>
      </c>
      <c r="F179">
        <v>71.19</v>
      </c>
      <c r="G179">
        <v>45.76</v>
      </c>
      <c r="H179">
        <v>48.79</v>
      </c>
      <c r="I179">
        <v>48.23</v>
      </c>
      <c r="J179">
        <v>40.9</v>
      </c>
      <c r="K179">
        <v>14.28</v>
      </c>
      <c r="L179">
        <v>59527.7</v>
      </c>
      <c r="M179">
        <v>55125.7</v>
      </c>
      <c r="N179">
        <v>7.6</v>
      </c>
      <c r="O179">
        <v>6.5979999999999997E-2</v>
      </c>
      <c r="P179">
        <v>2.4060000000000001</v>
      </c>
      <c r="Q179">
        <v>110.28</v>
      </c>
      <c r="R179">
        <v>14.355</v>
      </c>
      <c r="S179">
        <v>71.42</v>
      </c>
    </row>
    <row r="180" spans="1:19" x14ac:dyDescent="0.25">
      <c r="A180" s="6">
        <v>44173</v>
      </c>
      <c r="B180">
        <v>44.27</v>
      </c>
      <c r="C180">
        <v>59.58</v>
      </c>
      <c r="D180">
        <v>74.180000000000007</v>
      </c>
      <c r="E180">
        <v>81.900000000000006</v>
      </c>
      <c r="F180">
        <v>71.19</v>
      </c>
      <c r="G180">
        <v>45.6</v>
      </c>
      <c r="H180">
        <v>48.84</v>
      </c>
      <c r="I180">
        <v>48.28</v>
      </c>
      <c r="J180">
        <v>42.24</v>
      </c>
      <c r="K180">
        <v>14.3</v>
      </c>
      <c r="L180">
        <v>59159.360000000001</v>
      </c>
      <c r="M180">
        <v>54597.75</v>
      </c>
      <c r="N180">
        <v>7.6950000000000003</v>
      </c>
      <c r="O180">
        <v>6.6689999999999999E-2</v>
      </c>
      <c r="P180">
        <v>2.399</v>
      </c>
      <c r="Q180">
        <v>110.06</v>
      </c>
      <c r="R180">
        <v>14.445</v>
      </c>
      <c r="S180">
        <v>71.400000000000006</v>
      </c>
    </row>
    <row r="181" spans="1:19" x14ac:dyDescent="0.25">
      <c r="A181" s="6">
        <v>44174</v>
      </c>
      <c r="B181">
        <v>44.27</v>
      </c>
      <c r="C181">
        <v>59.58</v>
      </c>
      <c r="D181">
        <v>74.180000000000007</v>
      </c>
      <c r="E181">
        <v>81.900000000000006</v>
      </c>
      <c r="F181">
        <v>71.19</v>
      </c>
      <c r="G181">
        <v>45.52</v>
      </c>
      <c r="H181">
        <v>48.86</v>
      </c>
      <c r="I181">
        <v>48.42</v>
      </c>
      <c r="J181">
        <v>42.8</v>
      </c>
      <c r="K181">
        <v>14.52</v>
      </c>
      <c r="L181">
        <v>59291.75</v>
      </c>
      <c r="M181">
        <v>54139.51</v>
      </c>
      <c r="N181">
        <v>7.82</v>
      </c>
      <c r="O181">
        <v>6.6750000000000004E-2</v>
      </c>
      <c r="P181">
        <v>2.4420000000000002</v>
      </c>
      <c r="Q181">
        <v>110.17</v>
      </c>
      <c r="R181">
        <v>14.734999999999999</v>
      </c>
      <c r="S181">
        <v>72.849999999999994</v>
      </c>
    </row>
    <row r="182" spans="1:19" x14ac:dyDescent="0.25">
      <c r="A182" s="6">
        <v>44175</v>
      </c>
      <c r="B182">
        <v>44.27</v>
      </c>
      <c r="C182">
        <v>59.58</v>
      </c>
      <c r="D182">
        <v>74.180000000000007</v>
      </c>
      <c r="E182">
        <v>81.900000000000006</v>
      </c>
      <c r="F182">
        <v>71.19</v>
      </c>
      <c r="G182">
        <v>46.78</v>
      </c>
      <c r="H182">
        <v>50.25</v>
      </c>
      <c r="I182">
        <v>49.29</v>
      </c>
      <c r="J182">
        <v>44.01</v>
      </c>
      <c r="K182">
        <v>14.58</v>
      </c>
      <c r="L182">
        <v>59282.77</v>
      </c>
      <c r="M182">
        <v>54739.81</v>
      </c>
      <c r="N182">
        <v>7.915</v>
      </c>
      <c r="O182">
        <v>6.6519999999999996E-2</v>
      </c>
      <c r="P182">
        <v>2.5529999999999999</v>
      </c>
      <c r="Q182">
        <v>109.24</v>
      </c>
      <c r="R182">
        <v>15.54</v>
      </c>
      <c r="S182">
        <v>73.680000000000007</v>
      </c>
    </row>
    <row r="183" spans="1:19" x14ac:dyDescent="0.25">
      <c r="A183" s="6">
        <v>44176</v>
      </c>
      <c r="B183">
        <v>44.95</v>
      </c>
      <c r="C183">
        <v>59.94</v>
      </c>
      <c r="D183">
        <v>74.55</v>
      </c>
      <c r="E183">
        <v>84.49</v>
      </c>
      <c r="F183">
        <v>69.44</v>
      </c>
      <c r="G183">
        <v>46.57</v>
      </c>
      <c r="H183">
        <v>49.97</v>
      </c>
      <c r="I183">
        <v>49.22</v>
      </c>
      <c r="J183">
        <v>43.8</v>
      </c>
      <c r="K183">
        <v>14.86</v>
      </c>
      <c r="L183">
        <v>59412.61</v>
      </c>
      <c r="M183">
        <v>54149.14</v>
      </c>
      <c r="N183">
        <v>8.0749999999999993</v>
      </c>
      <c r="O183">
        <v>6.6059999999999994E-2</v>
      </c>
      <c r="P183">
        <v>2.5910000000000002</v>
      </c>
      <c r="Q183">
        <v>108.82</v>
      </c>
      <c r="R183">
        <v>15.96</v>
      </c>
      <c r="S183">
        <v>72.45</v>
      </c>
    </row>
    <row r="184" spans="1:19" x14ac:dyDescent="0.25">
      <c r="A184" s="6">
        <v>44179</v>
      </c>
      <c r="B184">
        <v>44.95</v>
      </c>
      <c r="C184">
        <v>59.94</v>
      </c>
      <c r="D184">
        <v>74.55</v>
      </c>
      <c r="E184">
        <v>84.49</v>
      </c>
      <c r="F184">
        <v>69.44</v>
      </c>
      <c r="G184">
        <v>46.99</v>
      </c>
      <c r="H184">
        <v>50.29</v>
      </c>
      <c r="I184">
        <v>49.46</v>
      </c>
      <c r="J184">
        <v>42.22</v>
      </c>
      <c r="K184">
        <v>14.4</v>
      </c>
      <c r="L184">
        <v>59508.800000000003</v>
      </c>
      <c r="M184">
        <v>54158.43</v>
      </c>
      <c r="N184">
        <v>8.1649999999999991</v>
      </c>
      <c r="O184">
        <v>6.6470000000000001E-2</v>
      </c>
      <c r="P184">
        <v>2.6819999999999999</v>
      </c>
      <c r="Q184">
        <v>107.71</v>
      </c>
      <c r="R184">
        <v>16.605</v>
      </c>
      <c r="S184">
        <v>71.069999999999993</v>
      </c>
    </row>
    <row r="185" spans="1:19" x14ac:dyDescent="0.25">
      <c r="A185" s="6">
        <v>44180</v>
      </c>
      <c r="B185">
        <v>44.95</v>
      </c>
      <c r="C185">
        <v>59.94</v>
      </c>
      <c r="D185">
        <v>74.55</v>
      </c>
      <c r="E185">
        <v>84.49</v>
      </c>
      <c r="F185">
        <v>69.44</v>
      </c>
      <c r="G185">
        <v>47.62</v>
      </c>
      <c r="H185">
        <v>50.76</v>
      </c>
      <c r="I185">
        <v>49.81</v>
      </c>
      <c r="J185">
        <v>43.04</v>
      </c>
      <c r="K185">
        <v>14.6</v>
      </c>
      <c r="L185">
        <v>59478.26</v>
      </c>
      <c r="M185">
        <v>54129.58</v>
      </c>
      <c r="N185">
        <v>8.173</v>
      </c>
      <c r="O185">
        <v>6.7159999999999997E-2</v>
      </c>
      <c r="P185">
        <v>2.6819999999999999</v>
      </c>
      <c r="Q185">
        <v>110.98</v>
      </c>
      <c r="R185">
        <v>17.225000000000001</v>
      </c>
      <c r="S185">
        <v>73</v>
      </c>
    </row>
    <row r="186" spans="1:19" x14ac:dyDescent="0.25">
      <c r="A186" s="6">
        <v>44181</v>
      </c>
      <c r="B186">
        <v>44.95</v>
      </c>
      <c r="C186">
        <v>59.94</v>
      </c>
      <c r="D186">
        <v>74.55</v>
      </c>
      <c r="E186">
        <v>84.49</v>
      </c>
      <c r="F186">
        <v>69.44</v>
      </c>
      <c r="G186">
        <v>47.82</v>
      </c>
      <c r="H186">
        <v>51.08</v>
      </c>
      <c r="I186">
        <v>49.96</v>
      </c>
      <c r="J186">
        <v>43.7</v>
      </c>
      <c r="K186">
        <v>14.64</v>
      </c>
      <c r="L186">
        <v>59572.095751072979</v>
      </c>
      <c r="M186">
        <v>54052.995064377785</v>
      </c>
      <c r="N186">
        <v>10.435</v>
      </c>
      <c r="O186">
        <v>6.744E-2</v>
      </c>
      <c r="P186">
        <v>2.677</v>
      </c>
      <c r="Q186">
        <v>111.31</v>
      </c>
      <c r="R186">
        <v>16.38</v>
      </c>
      <c r="S186">
        <v>73.22</v>
      </c>
    </row>
    <row r="187" spans="1:19" x14ac:dyDescent="0.25">
      <c r="A187" s="6">
        <v>44182</v>
      </c>
      <c r="B187">
        <v>44.95</v>
      </c>
      <c r="C187">
        <v>59.94</v>
      </c>
      <c r="D187">
        <v>74.55</v>
      </c>
      <c r="E187">
        <v>84.49</v>
      </c>
      <c r="F187">
        <v>69.44</v>
      </c>
      <c r="G187">
        <v>48.36</v>
      </c>
      <c r="H187">
        <v>51.5</v>
      </c>
      <c r="I187">
        <v>50.08</v>
      </c>
      <c r="J187">
        <v>43.48</v>
      </c>
      <c r="K187">
        <v>14.62</v>
      </c>
      <c r="L187">
        <v>60544.3</v>
      </c>
      <c r="M187">
        <v>55934.21</v>
      </c>
      <c r="N187">
        <v>10.115</v>
      </c>
      <c r="O187">
        <v>6.8250000000000005E-2</v>
      </c>
      <c r="P187">
        <v>2.6360000000000001</v>
      </c>
      <c r="Q187">
        <v>112.79</v>
      </c>
      <c r="R187">
        <v>15.94</v>
      </c>
      <c r="S187">
        <v>73.099999999999994</v>
      </c>
    </row>
    <row r="188" spans="1:19" x14ac:dyDescent="0.25">
      <c r="A188" s="6">
        <v>44183</v>
      </c>
      <c r="B188">
        <v>50.37</v>
      </c>
      <c r="C188">
        <v>66.25</v>
      </c>
      <c r="D188">
        <v>82.07</v>
      </c>
      <c r="E188">
        <v>97.92</v>
      </c>
      <c r="F188">
        <v>74.89</v>
      </c>
      <c r="G188">
        <v>49.1</v>
      </c>
      <c r="H188">
        <v>52.26</v>
      </c>
      <c r="I188">
        <v>50.34</v>
      </c>
      <c r="J188">
        <v>42.73</v>
      </c>
      <c r="K188">
        <v>15.08</v>
      </c>
      <c r="L188">
        <v>59788.12</v>
      </c>
      <c r="M188">
        <v>54999.08</v>
      </c>
      <c r="N188">
        <v>9.66</v>
      </c>
      <c r="O188">
        <v>6.8769999999999998E-2</v>
      </c>
      <c r="P188">
        <v>2.7</v>
      </c>
      <c r="Q188">
        <v>112.83</v>
      </c>
      <c r="R188">
        <v>15.885</v>
      </c>
      <c r="S188">
        <v>72.47</v>
      </c>
    </row>
    <row r="189" spans="1:19" x14ac:dyDescent="0.25">
      <c r="A189" s="6">
        <v>44186</v>
      </c>
      <c r="B189">
        <v>50.37</v>
      </c>
      <c r="C189">
        <v>66.25</v>
      </c>
      <c r="D189">
        <v>82.07</v>
      </c>
      <c r="E189">
        <v>97.92</v>
      </c>
      <c r="F189">
        <v>74.89</v>
      </c>
      <c r="G189">
        <v>47.74</v>
      </c>
      <c r="H189">
        <v>50.91</v>
      </c>
      <c r="I189">
        <v>49.86</v>
      </c>
      <c r="J189">
        <v>41.95</v>
      </c>
      <c r="K189">
        <v>15.16</v>
      </c>
      <c r="L189">
        <v>58714.87</v>
      </c>
      <c r="M189">
        <v>54190.02</v>
      </c>
      <c r="N189">
        <v>10.050000000000001</v>
      </c>
      <c r="O189">
        <v>6.8440000000000001E-2</v>
      </c>
      <c r="P189">
        <v>2.7050000000000001</v>
      </c>
      <c r="Q189">
        <v>112.54</v>
      </c>
      <c r="R189">
        <v>16.795000000000002</v>
      </c>
      <c r="S189">
        <v>68.58</v>
      </c>
    </row>
    <row r="190" spans="1:19" x14ac:dyDescent="0.25">
      <c r="A190" s="6">
        <v>44187</v>
      </c>
      <c r="B190">
        <v>50.37</v>
      </c>
      <c r="C190">
        <v>66.25</v>
      </c>
      <c r="D190">
        <v>82.07</v>
      </c>
      <c r="E190">
        <v>97.92</v>
      </c>
      <c r="F190">
        <v>74.89</v>
      </c>
      <c r="G190">
        <v>47.02</v>
      </c>
      <c r="H190">
        <v>50.08</v>
      </c>
      <c r="I190">
        <v>49.57</v>
      </c>
      <c r="J190">
        <v>41.24</v>
      </c>
      <c r="K190">
        <v>14.74</v>
      </c>
      <c r="L190">
        <v>58619.75</v>
      </c>
      <c r="M190">
        <v>53834.13</v>
      </c>
      <c r="N190">
        <v>10.755000000000001</v>
      </c>
      <c r="O190">
        <v>6.8220000000000003E-2</v>
      </c>
      <c r="P190">
        <v>2.78</v>
      </c>
      <c r="Q190">
        <v>113.16</v>
      </c>
      <c r="R190">
        <v>17.635000000000002</v>
      </c>
      <c r="S190">
        <v>71.069999999999993</v>
      </c>
    </row>
    <row r="191" spans="1:19" x14ac:dyDescent="0.25">
      <c r="A191" s="6">
        <v>44188</v>
      </c>
      <c r="B191">
        <v>50.37</v>
      </c>
      <c r="C191">
        <v>66.25</v>
      </c>
      <c r="D191">
        <v>82.07</v>
      </c>
      <c r="E191">
        <v>97.92</v>
      </c>
      <c r="F191">
        <v>74.89</v>
      </c>
      <c r="G191">
        <v>48.12</v>
      </c>
      <c r="H191">
        <v>51.2</v>
      </c>
      <c r="I191">
        <v>49.81</v>
      </c>
      <c r="J191">
        <v>41.77</v>
      </c>
      <c r="K191">
        <v>14.84</v>
      </c>
      <c r="L191">
        <v>58986.720000000001</v>
      </c>
      <c r="M191">
        <v>54153.1</v>
      </c>
      <c r="N191">
        <v>10.525</v>
      </c>
      <c r="O191">
        <v>6.8419999999999995E-2</v>
      </c>
      <c r="P191">
        <v>2.6080000000000001</v>
      </c>
      <c r="Q191">
        <v>112.18</v>
      </c>
      <c r="R191">
        <v>17.504999999999999</v>
      </c>
      <c r="S191">
        <v>71.349999999999994</v>
      </c>
    </row>
    <row r="192" spans="1:19" x14ac:dyDescent="0.25">
      <c r="A192" s="6">
        <v>44189</v>
      </c>
      <c r="B192">
        <v>48.79</v>
      </c>
      <c r="C192">
        <v>65.58</v>
      </c>
      <c r="D192">
        <v>81.31</v>
      </c>
      <c r="E192">
        <v>97.4</v>
      </c>
      <c r="F192">
        <v>75.83</v>
      </c>
      <c r="G192">
        <v>48.23</v>
      </c>
      <c r="H192">
        <v>51.29</v>
      </c>
      <c r="I192">
        <v>49.84</v>
      </c>
      <c r="J192">
        <v>41.6</v>
      </c>
      <c r="K192">
        <v>14.8</v>
      </c>
      <c r="L192">
        <v>59175.8</v>
      </c>
      <c r="M192">
        <v>54811.67</v>
      </c>
      <c r="N192">
        <v>11</v>
      </c>
      <c r="O192">
        <v>6.8419999999999995E-2</v>
      </c>
      <c r="P192">
        <v>2.5179999999999998</v>
      </c>
      <c r="Q192">
        <v>112.69</v>
      </c>
      <c r="R192">
        <v>17.649999999999999</v>
      </c>
      <c r="S192">
        <v>71.03</v>
      </c>
    </row>
    <row r="193" spans="1:19" x14ac:dyDescent="0.25">
      <c r="A193" s="6">
        <v>44190</v>
      </c>
      <c r="B193">
        <v>48.79</v>
      </c>
      <c r="C193">
        <v>65.58</v>
      </c>
      <c r="D193">
        <v>81.31</v>
      </c>
      <c r="E193">
        <v>97.4</v>
      </c>
      <c r="F193">
        <v>75.83</v>
      </c>
      <c r="G193">
        <v>47.924999999999997</v>
      </c>
      <c r="H193">
        <v>51.075000000000003</v>
      </c>
      <c r="I193">
        <v>49.805000000000007</v>
      </c>
      <c r="J193">
        <v>41.67</v>
      </c>
      <c r="K193">
        <v>14.870472103004293</v>
      </c>
      <c r="L193">
        <v>58434.10656652227</v>
      </c>
      <c r="M193">
        <v>53848.440042918548</v>
      </c>
      <c r="N193">
        <v>10.96412017167313</v>
      </c>
      <c r="O193">
        <v>6.8580000000000002E-2</v>
      </c>
      <c r="P193">
        <v>2.4115000000000002</v>
      </c>
      <c r="Q193">
        <v>113.14</v>
      </c>
      <c r="R193">
        <v>18.399999999999999</v>
      </c>
      <c r="S193">
        <v>71.599999999999994</v>
      </c>
    </row>
    <row r="194" spans="1:19" x14ac:dyDescent="0.25">
      <c r="A194" s="6">
        <v>44193</v>
      </c>
      <c r="B194">
        <v>48.79</v>
      </c>
      <c r="C194">
        <v>65.58</v>
      </c>
      <c r="D194">
        <v>81.31</v>
      </c>
      <c r="E194">
        <v>97.4</v>
      </c>
      <c r="F194">
        <v>75.83</v>
      </c>
      <c r="G194">
        <v>47.62</v>
      </c>
      <c r="H194">
        <v>50.86</v>
      </c>
      <c r="I194">
        <v>49.77</v>
      </c>
      <c r="J194">
        <v>41.74</v>
      </c>
      <c r="K194">
        <v>14.84</v>
      </c>
      <c r="L194">
        <v>59006.07</v>
      </c>
      <c r="M194">
        <v>55379.91</v>
      </c>
      <c r="N194">
        <v>11.085000000000001</v>
      </c>
      <c r="O194">
        <v>6.8220000000000003E-2</v>
      </c>
      <c r="P194">
        <v>2.3050000000000002</v>
      </c>
      <c r="Q194">
        <v>113.59</v>
      </c>
      <c r="R194">
        <v>19.149999999999999</v>
      </c>
      <c r="S194">
        <v>71.599999999999994</v>
      </c>
    </row>
    <row r="195" spans="1:19" x14ac:dyDescent="0.25">
      <c r="A195" s="6">
        <v>44194</v>
      </c>
      <c r="B195">
        <v>48.79</v>
      </c>
      <c r="C195">
        <v>65.58</v>
      </c>
      <c r="D195">
        <v>81.31</v>
      </c>
      <c r="E195">
        <v>97.4</v>
      </c>
      <c r="F195">
        <v>75.83</v>
      </c>
      <c r="G195">
        <v>48</v>
      </c>
      <c r="H195">
        <v>51.09</v>
      </c>
      <c r="I195">
        <v>49.78</v>
      </c>
      <c r="J195">
        <v>41.27</v>
      </c>
      <c r="K195">
        <v>14.76</v>
      </c>
      <c r="L195">
        <v>59246.400000000001</v>
      </c>
      <c r="M195">
        <v>55158.8</v>
      </c>
      <c r="N195">
        <v>12.1</v>
      </c>
      <c r="O195">
        <v>6.7890000000000006E-2</v>
      </c>
      <c r="P195">
        <v>2.4670000000000001</v>
      </c>
      <c r="Q195">
        <v>112.9</v>
      </c>
      <c r="R195">
        <v>18.774999999999999</v>
      </c>
      <c r="S195">
        <v>72.52</v>
      </c>
    </row>
    <row r="196" spans="1:19" x14ac:dyDescent="0.25">
      <c r="A196" s="6">
        <v>44195</v>
      </c>
      <c r="B196">
        <v>48.79</v>
      </c>
      <c r="C196">
        <v>65.58</v>
      </c>
      <c r="D196">
        <v>81.31</v>
      </c>
      <c r="E196">
        <v>97.4</v>
      </c>
      <c r="F196">
        <v>75.83</v>
      </c>
      <c r="G196">
        <v>48.4</v>
      </c>
      <c r="H196">
        <v>51.34</v>
      </c>
      <c r="I196">
        <v>49.82</v>
      </c>
      <c r="J196">
        <v>41.6</v>
      </c>
      <c r="K196">
        <v>14.64</v>
      </c>
      <c r="L196">
        <v>59634.93</v>
      </c>
      <c r="M196">
        <v>55390.55</v>
      </c>
      <c r="N196">
        <v>12.795</v>
      </c>
      <c r="O196">
        <v>6.8419999999999995E-2</v>
      </c>
      <c r="P196">
        <v>2.4220000000000002</v>
      </c>
      <c r="Q196">
        <v>113.15</v>
      </c>
      <c r="R196">
        <v>19</v>
      </c>
      <c r="S196">
        <v>74.3</v>
      </c>
    </row>
    <row r="197" spans="1:19" x14ac:dyDescent="0.25">
      <c r="A197" s="6">
        <v>44196</v>
      </c>
      <c r="B197">
        <v>47.03</v>
      </c>
      <c r="C197">
        <v>62.38</v>
      </c>
      <c r="D197">
        <v>76.92</v>
      </c>
      <c r="E197">
        <v>91.34</v>
      </c>
      <c r="F197">
        <v>73.430000000000007</v>
      </c>
      <c r="G197">
        <v>48.52</v>
      </c>
      <c r="H197">
        <v>51.8</v>
      </c>
      <c r="I197">
        <v>49.81</v>
      </c>
      <c r="J197">
        <v>41.22</v>
      </c>
      <c r="K197">
        <v>14.6</v>
      </c>
      <c r="L197">
        <v>59408.68</v>
      </c>
      <c r="M197">
        <v>55214.46</v>
      </c>
      <c r="N197">
        <v>14.3</v>
      </c>
      <c r="O197">
        <v>6.8010000000000001E-2</v>
      </c>
      <c r="P197">
        <v>2.5390000000000001</v>
      </c>
      <c r="Q197">
        <v>115.29</v>
      </c>
      <c r="R197">
        <v>19.125</v>
      </c>
      <c r="S197">
        <v>75.97</v>
      </c>
    </row>
    <row r="198" spans="1:19" x14ac:dyDescent="0.25">
      <c r="A198" s="6">
        <v>44197</v>
      </c>
      <c r="B198">
        <v>47.03</v>
      </c>
      <c r="C198">
        <v>62.38</v>
      </c>
      <c r="D198">
        <v>76.92</v>
      </c>
      <c r="E198">
        <v>91.34</v>
      </c>
      <c r="F198">
        <v>73.430000000000007</v>
      </c>
      <c r="G198">
        <v>48.07</v>
      </c>
      <c r="H198">
        <v>51.445</v>
      </c>
      <c r="I198">
        <v>50.21</v>
      </c>
      <c r="J198">
        <v>41.36</v>
      </c>
      <c r="K198">
        <v>14.620879367827911</v>
      </c>
      <c r="L198">
        <v>59568.141329919919</v>
      </c>
      <c r="M198">
        <v>55585.178921143524</v>
      </c>
      <c r="N198">
        <v>13.729348302604194</v>
      </c>
      <c r="O198">
        <v>6.8169999999999994E-2</v>
      </c>
      <c r="P198">
        <v>2.56</v>
      </c>
      <c r="Q198">
        <v>114.295</v>
      </c>
      <c r="R198">
        <v>19.484999999999999</v>
      </c>
      <c r="S198">
        <v>73.400000000000006</v>
      </c>
    </row>
    <row r="199" spans="1:19" x14ac:dyDescent="0.25">
      <c r="A199" s="6">
        <v>44200</v>
      </c>
      <c r="B199">
        <v>47.03</v>
      </c>
      <c r="C199">
        <v>62.38</v>
      </c>
      <c r="D199">
        <v>76.92</v>
      </c>
      <c r="E199">
        <v>91.34</v>
      </c>
      <c r="F199">
        <v>73.430000000000007</v>
      </c>
      <c r="G199">
        <v>47.62</v>
      </c>
      <c r="H199">
        <v>51.09</v>
      </c>
      <c r="I199">
        <v>50.61</v>
      </c>
      <c r="J199">
        <v>41.5</v>
      </c>
      <c r="K199">
        <v>14.58</v>
      </c>
      <c r="L199">
        <v>60479.42</v>
      </c>
      <c r="M199">
        <v>58288.65</v>
      </c>
      <c r="N199">
        <v>14.93</v>
      </c>
      <c r="O199">
        <v>6.7890000000000006E-2</v>
      </c>
      <c r="P199">
        <v>2.581</v>
      </c>
      <c r="Q199">
        <v>113.3</v>
      </c>
      <c r="R199">
        <v>19.844999999999999</v>
      </c>
      <c r="S199">
        <v>76.3</v>
      </c>
    </row>
    <row r="200" spans="1:19" x14ac:dyDescent="0.25">
      <c r="A200" s="6">
        <v>44201</v>
      </c>
      <c r="B200">
        <v>47.03</v>
      </c>
      <c r="C200">
        <v>62.38</v>
      </c>
      <c r="D200">
        <v>76.92</v>
      </c>
      <c r="E200">
        <v>91.34</v>
      </c>
      <c r="F200">
        <v>73.430000000000007</v>
      </c>
      <c r="G200">
        <v>49.93</v>
      </c>
      <c r="H200">
        <v>53.6</v>
      </c>
      <c r="I200">
        <v>52.84</v>
      </c>
      <c r="J200">
        <v>43.5</v>
      </c>
      <c r="K200">
        <v>14.6</v>
      </c>
      <c r="L200">
        <v>60921.37</v>
      </c>
      <c r="M200">
        <v>58925.599999999999</v>
      </c>
      <c r="N200">
        <v>15.105</v>
      </c>
      <c r="O200">
        <v>6.6699999999999995E-2</v>
      </c>
      <c r="P200">
        <v>2.702</v>
      </c>
      <c r="Q200">
        <v>113.54</v>
      </c>
      <c r="R200">
        <v>18.004999999999999</v>
      </c>
      <c r="S200">
        <v>73.400000000000006</v>
      </c>
    </row>
    <row r="201" spans="1:19" x14ac:dyDescent="0.25">
      <c r="A201" s="6">
        <v>44202</v>
      </c>
      <c r="B201">
        <v>47.03</v>
      </c>
      <c r="C201">
        <v>62.38</v>
      </c>
      <c r="D201">
        <v>76.92</v>
      </c>
      <c r="E201">
        <v>91.34</v>
      </c>
      <c r="F201">
        <v>73.430000000000007</v>
      </c>
      <c r="G201">
        <v>50.63</v>
      </c>
      <c r="H201">
        <v>54.3</v>
      </c>
      <c r="I201">
        <v>53.63</v>
      </c>
      <c r="J201">
        <v>44.61</v>
      </c>
      <c r="K201">
        <v>14.8</v>
      </c>
      <c r="L201">
        <v>61857.42</v>
      </c>
      <c r="M201">
        <v>61135.72</v>
      </c>
      <c r="N201">
        <v>15.55</v>
      </c>
      <c r="O201">
        <v>6.6369999999999998E-2</v>
      </c>
      <c r="P201">
        <v>2.7160000000000002</v>
      </c>
      <c r="Q201">
        <v>115.74</v>
      </c>
      <c r="R201">
        <v>17.565000000000001</v>
      </c>
      <c r="S201">
        <v>74</v>
      </c>
    </row>
    <row r="202" spans="1:19" x14ac:dyDescent="0.25">
      <c r="A202" s="6">
        <v>44203</v>
      </c>
      <c r="B202">
        <v>47.03</v>
      </c>
      <c r="C202">
        <v>62.38</v>
      </c>
      <c r="D202">
        <v>76.92</v>
      </c>
      <c r="E202">
        <v>91.34</v>
      </c>
      <c r="F202">
        <v>73.430000000000007</v>
      </c>
      <c r="G202">
        <v>50.83</v>
      </c>
      <c r="H202">
        <v>54.38</v>
      </c>
      <c r="I202">
        <v>53.78</v>
      </c>
      <c r="J202">
        <v>44.96</v>
      </c>
      <c r="K202">
        <v>14.88</v>
      </c>
      <c r="L202">
        <v>63042.879999999997</v>
      </c>
      <c r="M202">
        <v>62818.13</v>
      </c>
      <c r="N202">
        <v>17.25</v>
      </c>
      <c r="O202">
        <v>6.4710000000000004E-2</v>
      </c>
      <c r="P202">
        <v>2.7290000000000001</v>
      </c>
      <c r="Q202">
        <v>115.81</v>
      </c>
      <c r="R202">
        <v>19.305</v>
      </c>
      <c r="S202">
        <v>74.069999999999993</v>
      </c>
    </row>
    <row r="203" spans="1:19" x14ac:dyDescent="0.25">
      <c r="A203" s="6">
        <v>44204</v>
      </c>
      <c r="B203">
        <v>46.09</v>
      </c>
      <c r="C203">
        <v>62.53</v>
      </c>
      <c r="D203">
        <v>76.28</v>
      </c>
      <c r="E203">
        <v>87.88</v>
      </c>
      <c r="F203">
        <v>69.63</v>
      </c>
      <c r="G203">
        <v>52.24</v>
      </c>
      <c r="H203">
        <v>55.99</v>
      </c>
      <c r="I203">
        <v>55.06</v>
      </c>
      <c r="J203">
        <v>45.46</v>
      </c>
      <c r="K203">
        <v>14.96</v>
      </c>
      <c r="L203">
        <v>63519.18</v>
      </c>
      <c r="M203">
        <v>62340.7</v>
      </c>
      <c r="N203">
        <v>17.25</v>
      </c>
      <c r="O203">
        <v>6.5320000000000003E-2</v>
      </c>
      <c r="P203">
        <v>2.7</v>
      </c>
      <c r="Q203">
        <v>117.63</v>
      </c>
      <c r="R203">
        <v>20.12</v>
      </c>
      <c r="S203">
        <v>74.400000000000006</v>
      </c>
    </row>
    <row r="204" spans="1:19" x14ac:dyDescent="0.25">
      <c r="A204" s="6">
        <v>44207</v>
      </c>
      <c r="B204">
        <v>46.09</v>
      </c>
      <c r="C204">
        <v>62.53</v>
      </c>
      <c r="D204">
        <v>76.28</v>
      </c>
      <c r="E204">
        <v>87.88</v>
      </c>
      <c r="F204">
        <v>69.63</v>
      </c>
      <c r="G204">
        <v>52.25</v>
      </c>
      <c r="H204">
        <v>55.66</v>
      </c>
      <c r="I204">
        <v>54.78</v>
      </c>
      <c r="J204">
        <v>46.84</v>
      </c>
      <c r="K204">
        <v>14.86</v>
      </c>
      <c r="L204">
        <v>63759.93</v>
      </c>
      <c r="M204">
        <v>62194.37</v>
      </c>
      <c r="N204">
        <v>19.7</v>
      </c>
      <c r="O204">
        <v>6.4280000000000004E-2</v>
      </c>
      <c r="P204">
        <v>2.7469999999999999</v>
      </c>
      <c r="Q204">
        <v>117.65</v>
      </c>
      <c r="R204">
        <v>22.125</v>
      </c>
      <c r="S204">
        <v>75.08</v>
      </c>
    </row>
    <row r="205" spans="1:19" x14ac:dyDescent="0.25">
      <c r="A205" s="6">
        <v>44208</v>
      </c>
      <c r="B205">
        <v>46.09</v>
      </c>
      <c r="C205">
        <v>62.53</v>
      </c>
      <c r="D205">
        <v>76.28</v>
      </c>
      <c r="E205">
        <v>87.88</v>
      </c>
      <c r="F205">
        <v>69.63</v>
      </c>
      <c r="G205">
        <v>53.21</v>
      </c>
      <c r="H205">
        <v>56.58</v>
      </c>
      <c r="I205">
        <v>55.37</v>
      </c>
      <c r="J205">
        <v>47.88</v>
      </c>
      <c r="K205">
        <v>14.9</v>
      </c>
      <c r="L205">
        <v>63535.1</v>
      </c>
      <c r="M205">
        <v>61563.21</v>
      </c>
      <c r="N205">
        <v>19.7</v>
      </c>
      <c r="O205">
        <v>6.5600000000000006E-2</v>
      </c>
      <c r="P205">
        <v>2.7530000000000001</v>
      </c>
      <c r="Q205">
        <v>117.86</v>
      </c>
      <c r="R205">
        <v>26.155000000000001</v>
      </c>
      <c r="S205">
        <v>75.25</v>
      </c>
    </row>
    <row r="206" spans="1:19" x14ac:dyDescent="0.25">
      <c r="A206" s="6">
        <v>44209</v>
      </c>
      <c r="B206">
        <v>46.09</v>
      </c>
      <c r="C206">
        <v>62.53</v>
      </c>
      <c r="D206">
        <v>76.28</v>
      </c>
      <c r="E206">
        <v>87.88</v>
      </c>
      <c r="F206">
        <v>69.63</v>
      </c>
      <c r="G206">
        <v>52.91</v>
      </c>
      <c r="H206">
        <v>56.06</v>
      </c>
      <c r="I206">
        <v>54.96</v>
      </c>
      <c r="J206">
        <v>48.42</v>
      </c>
      <c r="K206">
        <v>15.74</v>
      </c>
      <c r="L206">
        <v>63474.53</v>
      </c>
      <c r="M206">
        <v>61874.58</v>
      </c>
      <c r="N206">
        <v>18.57</v>
      </c>
      <c r="O206">
        <v>6.5519999999999995E-2</v>
      </c>
      <c r="P206">
        <v>2.7269999999999999</v>
      </c>
      <c r="Q206">
        <v>117.84</v>
      </c>
      <c r="R206">
        <v>21.5</v>
      </c>
      <c r="S206">
        <v>74.45</v>
      </c>
    </row>
    <row r="207" spans="1:19" x14ac:dyDescent="0.25">
      <c r="A207" s="6">
        <v>44210</v>
      </c>
      <c r="B207">
        <v>46.09</v>
      </c>
      <c r="C207">
        <v>62.53</v>
      </c>
      <c r="D207">
        <v>76.28</v>
      </c>
      <c r="E207">
        <v>87.88</v>
      </c>
      <c r="F207">
        <v>69.63</v>
      </c>
      <c r="G207">
        <v>53.57</v>
      </c>
      <c r="H207">
        <v>56.42</v>
      </c>
      <c r="I207">
        <v>55.17</v>
      </c>
      <c r="J207">
        <v>50.31</v>
      </c>
      <c r="K207">
        <v>15.86</v>
      </c>
      <c r="L207">
        <v>63884.77</v>
      </c>
      <c r="M207">
        <v>61926.74</v>
      </c>
      <c r="N207">
        <v>18.57</v>
      </c>
      <c r="O207">
        <v>6.6290000000000002E-2</v>
      </c>
      <c r="P207">
        <v>2.6659999999999999</v>
      </c>
      <c r="Q207">
        <v>115.62</v>
      </c>
      <c r="R207">
        <v>21.335000000000001</v>
      </c>
      <c r="S207">
        <v>76.680000000000007</v>
      </c>
    </row>
    <row r="208" spans="1:19" x14ac:dyDescent="0.25">
      <c r="A208" s="6">
        <v>44211</v>
      </c>
      <c r="B208">
        <v>49.78</v>
      </c>
      <c r="C208">
        <v>67.84</v>
      </c>
      <c r="D208">
        <v>81.81</v>
      </c>
      <c r="E208">
        <v>95.54</v>
      </c>
      <c r="F208">
        <v>72.55</v>
      </c>
      <c r="G208">
        <v>52.36</v>
      </c>
      <c r="H208">
        <v>55.1</v>
      </c>
      <c r="I208">
        <v>54.53</v>
      </c>
      <c r="J208">
        <v>47.89</v>
      </c>
      <c r="K208">
        <v>15.74</v>
      </c>
      <c r="L208">
        <v>63549.75</v>
      </c>
      <c r="M208">
        <v>61008.37</v>
      </c>
      <c r="N208">
        <v>18.309000000000001</v>
      </c>
      <c r="O208">
        <v>6.5610000000000002E-2</v>
      </c>
      <c r="P208">
        <v>2.7370000000000001</v>
      </c>
      <c r="Q208">
        <v>115.19</v>
      </c>
      <c r="R208">
        <v>20.2</v>
      </c>
      <c r="S208">
        <v>78.22</v>
      </c>
    </row>
    <row r="209" spans="1:19" x14ac:dyDescent="0.25">
      <c r="A209" s="6">
        <v>44214</v>
      </c>
      <c r="B209">
        <v>49.78</v>
      </c>
      <c r="C209">
        <v>67.84</v>
      </c>
      <c r="D209">
        <v>81.81</v>
      </c>
      <c r="E209">
        <v>95.54</v>
      </c>
      <c r="F209">
        <v>72.55</v>
      </c>
      <c r="G209">
        <v>52.36</v>
      </c>
      <c r="H209">
        <v>54.75</v>
      </c>
      <c r="I209">
        <v>54.71</v>
      </c>
      <c r="J209">
        <v>48.365000000000002</v>
      </c>
      <c r="K209">
        <v>15.98</v>
      </c>
      <c r="L209">
        <v>63713.87</v>
      </c>
      <c r="M209">
        <v>60453.94</v>
      </c>
      <c r="N209">
        <v>19.29875675675703</v>
      </c>
      <c r="O209">
        <v>6.5939999999999999E-2</v>
      </c>
      <c r="P209">
        <v>2.637</v>
      </c>
      <c r="Q209">
        <v>115.035</v>
      </c>
      <c r="R209">
        <v>20.262499999999999</v>
      </c>
      <c r="S209">
        <v>80.03</v>
      </c>
    </row>
    <row r="210" spans="1:19" x14ac:dyDescent="0.25">
      <c r="A210" s="6">
        <v>44215</v>
      </c>
      <c r="B210">
        <v>49.78</v>
      </c>
      <c r="C210">
        <v>67.84</v>
      </c>
      <c r="D210">
        <v>81.81</v>
      </c>
      <c r="E210">
        <v>95.54</v>
      </c>
      <c r="F210">
        <v>72.55</v>
      </c>
      <c r="G210">
        <v>52.98</v>
      </c>
      <c r="H210">
        <v>55.9</v>
      </c>
      <c r="I210">
        <v>54.89</v>
      </c>
      <c r="J210">
        <v>48.84</v>
      </c>
      <c r="K210">
        <v>15.98</v>
      </c>
      <c r="L210">
        <v>63603.26</v>
      </c>
      <c r="M210">
        <v>59452.01</v>
      </c>
      <c r="N210">
        <v>8.52</v>
      </c>
      <c r="O210">
        <v>6.6710000000000005E-2</v>
      </c>
      <c r="P210">
        <v>2.5459999999999998</v>
      </c>
      <c r="Q210">
        <v>114.88</v>
      </c>
      <c r="R210">
        <v>20.324999999999999</v>
      </c>
      <c r="S210">
        <v>81.08</v>
      </c>
    </row>
    <row r="211" spans="1:19" x14ac:dyDescent="0.25">
      <c r="A211" s="6">
        <v>44216</v>
      </c>
      <c r="B211">
        <v>49.78</v>
      </c>
      <c r="C211">
        <v>67.84</v>
      </c>
      <c r="D211">
        <v>81.81</v>
      </c>
      <c r="E211">
        <v>95.54</v>
      </c>
      <c r="F211">
        <v>72.55</v>
      </c>
      <c r="G211">
        <v>53.24</v>
      </c>
      <c r="H211">
        <v>56.08</v>
      </c>
      <c r="I211">
        <v>54.97</v>
      </c>
      <c r="J211">
        <v>49.53</v>
      </c>
      <c r="K211">
        <v>15.7</v>
      </c>
      <c r="L211">
        <v>64108.51</v>
      </c>
      <c r="M211">
        <v>60312.19</v>
      </c>
      <c r="N211">
        <v>9.0150000000000006</v>
      </c>
      <c r="O211">
        <v>6.7070000000000005E-2</v>
      </c>
      <c r="P211">
        <v>2.5390000000000001</v>
      </c>
      <c r="Q211">
        <v>114.69</v>
      </c>
      <c r="R211">
        <v>20.260000000000002</v>
      </c>
      <c r="S211">
        <v>81.849999999999994</v>
      </c>
    </row>
    <row r="212" spans="1:19" x14ac:dyDescent="0.25">
      <c r="A212" s="6">
        <v>44217</v>
      </c>
      <c r="B212">
        <v>49.78</v>
      </c>
      <c r="C212">
        <v>67.84</v>
      </c>
      <c r="D212">
        <v>81.81</v>
      </c>
      <c r="E212">
        <v>95.54</v>
      </c>
      <c r="F212">
        <v>72.55</v>
      </c>
      <c r="G212">
        <v>53.13</v>
      </c>
      <c r="H212">
        <v>56.1</v>
      </c>
      <c r="I212">
        <v>54.95</v>
      </c>
      <c r="J212">
        <v>48.11</v>
      </c>
      <c r="K212">
        <v>15.86</v>
      </c>
      <c r="L212">
        <v>64174.879999999997</v>
      </c>
      <c r="M212">
        <v>60878.5</v>
      </c>
      <c r="N212">
        <v>8.4849999999999994</v>
      </c>
      <c r="O212">
        <v>6.6890000000000005E-2</v>
      </c>
      <c r="P212">
        <v>2.4910000000000001</v>
      </c>
      <c r="Q212">
        <v>112.92</v>
      </c>
      <c r="R212">
        <v>20.065000000000001</v>
      </c>
      <c r="S212">
        <v>80.2</v>
      </c>
    </row>
    <row r="213" spans="1:19" x14ac:dyDescent="0.25">
      <c r="A213" s="6">
        <v>44218</v>
      </c>
      <c r="B213">
        <v>45.25</v>
      </c>
      <c r="C213">
        <v>62.04</v>
      </c>
      <c r="D213">
        <v>76.72</v>
      </c>
      <c r="E213">
        <v>89.97</v>
      </c>
      <c r="F213">
        <v>72.959999999999994</v>
      </c>
      <c r="G213">
        <v>52.27</v>
      </c>
      <c r="H213">
        <v>55.41</v>
      </c>
      <c r="I213">
        <v>54.76</v>
      </c>
      <c r="J213">
        <v>47.43</v>
      </c>
      <c r="K213">
        <v>15.36</v>
      </c>
      <c r="L213">
        <v>63987.92</v>
      </c>
      <c r="M213">
        <v>60052.95</v>
      </c>
      <c r="N213">
        <v>8.8550000000000004</v>
      </c>
      <c r="O213">
        <v>6.6119999999999998E-2</v>
      </c>
      <c r="P213">
        <v>2.4460000000000002</v>
      </c>
      <c r="Q213">
        <v>111.92</v>
      </c>
      <c r="R213">
        <v>21.484999999999999</v>
      </c>
      <c r="S213">
        <v>77.650000000000006</v>
      </c>
    </row>
    <row r="214" spans="1:19" x14ac:dyDescent="0.25">
      <c r="A214" s="6">
        <v>44221</v>
      </c>
      <c r="B214">
        <v>45.25</v>
      </c>
      <c r="C214">
        <v>62.04</v>
      </c>
      <c r="D214">
        <v>76.72</v>
      </c>
      <c r="E214">
        <v>89.97</v>
      </c>
      <c r="F214">
        <v>72.959999999999994</v>
      </c>
      <c r="G214">
        <v>52.77</v>
      </c>
      <c r="H214">
        <v>55.88</v>
      </c>
      <c r="I214">
        <v>54.87</v>
      </c>
      <c r="J214">
        <v>46.9</v>
      </c>
      <c r="K214">
        <v>15.12</v>
      </c>
      <c r="L214">
        <v>64559.85</v>
      </c>
      <c r="M214">
        <v>59631.63</v>
      </c>
      <c r="N214">
        <v>8.61</v>
      </c>
      <c r="O214">
        <v>6.5579999999999999E-2</v>
      </c>
      <c r="P214">
        <v>2.6019999999999999</v>
      </c>
      <c r="Q214">
        <v>112.46</v>
      </c>
      <c r="R214">
        <v>20.16</v>
      </c>
      <c r="S214">
        <v>77.349999999999994</v>
      </c>
    </row>
    <row r="215" spans="1:19" x14ac:dyDescent="0.25">
      <c r="A215" s="6">
        <v>44222</v>
      </c>
      <c r="B215">
        <v>45.25</v>
      </c>
      <c r="C215">
        <v>62.04</v>
      </c>
      <c r="D215">
        <v>76.72</v>
      </c>
      <c r="E215">
        <v>89.97</v>
      </c>
      <c r="F215">
        <v>72.959999999999994</v>
      </c>
      <c r="G215">
        <v>52.61</v>
      </c>
      <c r="H215">
        <v>55.91</v>
      </c>
      <c r="I215">
        <v>54.82</v>
      </c>
      <c r="J215">
        <v>45.87</v>
      </c>
      <c r="K215">
        <v>14.84</v>
      </c>
      <c r="L215">
        <v>63923.63</v>
      </c>
      <c r="M215">
        <v>59343.29</v>
      </c>
      <c r="N215">
        <v>8.56</v>
      </c>
      <c r="O215">
        <v>6.6320000000000004E-2</v>
      </c>
      <c r="P215">
        <v>2.6560000000000001</v>
      </c>
      <c r="Q215">
        <v>112.65</v>
      </c>
      <c r="R215">
        <v>19.510000000000002</v>
      </c>
      <c r="S215">
        <v>80.98</v>
      </c>
    </row>
    <row r="216" spans="1:19" x14ac:dyDescent="0.25">
      <c r="A216" s="6">
        <v>44223</v>
      </c>
      <c r="B216">
        <v>45.25</v>
      </c>
      <c r="C216">
        <v>62.04</v>
      </c>
      <c r="D216">
        <v>76.72</v>
      </c>
      <c r="E216">
        <v>89.97</v>
      </c>
      <c r="F216">
        <v>72.959999999999994</v>
      </c>
      <c r="G216">
        <v>52.85</v>
      </c>
      <c r="H216">
        <v>55.81</v>
      </c>
      <c r="I216">
        <v>54.81</v>
      </c>
      <c r="J216">
        <v>45.35</v>
      </c>
      <c r="K216">
        <v>14.84</v>
      </c>
      <c r="L216">
        <v>62784.52</v>
      </c>
      <c r="M216">
        <v>57031.17</v>
      </c>
      <c r="N216">
        <v>8.6150000000000002</v>
      </c>
      <c r="O216">
        <v>6.5439999999999998E-2</v>
      </c>
      <c r="P216">
        <v>2.76</v>
      </c>
      <c r="Q216">
        <v>109.35</v>
      </c>
      <c r="R216">
        <v>19.7</v>
      </c>
      <c r="S216">
        <v>80.98</v>
      </c>
    </row>
    <row r="217" spans="1:19" x14ac:dyDescent="0.25">
      <c r="A217" s="6">
        <v>44224</v>
      </c>
      <c r="B217">
        <v>45.25</v>
      </c>
      <c r="C217">
        <v>62.04</v>
      </c>
      <c r="D217">
        <v>76.72</v>
      </c>
      <c r="E217">
        <v>89.97</v>
      </c>
      <c r="F217">
        <v>72.959999999999994</v>
      </c>
      <c r="G217">
        <v>52.34</v>
      </c>
      <c r="H217">
        <v>55.53</v>
      </c>
      <c r="I217">
        <v>54.76</v>
      </c>
      <c r="J217">
        <v>46.06</v>
      </c>
      <c r="K217">
        <v>14.54</v>
      </c>
      <c r="L217">
        <v>63206.720000000001</v>
      </c>
      <c r="M217">
        <v>58373.919999999998</v>
      </c>
      <c r="N217">
        <v>8.85</v>
      </c>
      <c r="O217">
        <v>6.583E-2</v>
      </c>
      <c r="P217">
        <v>2.6640000000000001</v>
      </c>
      <c r="Q217">
        <v>112.61</v>
      </c>
      <c r="R217">
        <v>20.91</v>
      </c>
      <c r="S217">
        <v>82.78</v>
      </c>
    </row>
    <row r="218" spans="1:19" x14ac:dyDescent="0.25">
      <c r="A218" s="6">
        <v>44225</v>
      </c>
      <c r="B218">
        <v>45.53</v>
      </c>
      <c r="C218">
        <v>62.85</v>
      </c>
      <c r="D218">
        <v>77.12</v>
      </c>
      <c r="E218">
        <v>87.76</v>
      </c>
      <c r="F218">
        <v>71.34</v>
      </c>
      <c r="G218">
        <v>52.2</v>
      </c>
      <c r="H218">
        <v>55.88</v>
      </c>
      <c r="I218">
        <v>54.77</v>
      </c>
      <c r="J218">
        <v>44.84</v>
      </c>
      <c r="K218">
        <v>14.38</v>
      </c>
      <c r="L218">
        <v>62472.1</v>
      </c>
      <c r="M218">
        <v>57617.78</v>
      </c>
      <c r="N218">
        <v>8.8699999999999992</v>
      </c>
      <c r="O218">
        <v>6.5909999999999996E-2</v>
      </c>
      <c r="P218">
        <v>2.5640000000000001</v>
      </c>
      <c r="Q218">
        <v>110.35</v>
      </c>
      <c r="R218">
        <v>19.82</v>
      </c>
      <c r="S218">
        <v>82.08</v>
      </c>
    </row>
    <row r="219" spans="1:19" x14ac:dyDescent="0.25">
      <c r="A219" s="6">
        <v>44228</v>
      </c>
      <c r="B219">
        <v>45.53</v>
      </c>
      <c r="C219">
        <v>62.85</v>
      </c>
      <c r="D219">
        <v>77.12</v>
      </c>
      <c r="E219">
        <v>87.76</v>
      </c>
      <c r="F219">
        <v>71.34</v>
      </c>
      <c r="G219">
        <v>53.55</v>
      </c>
      <c r="H219">
        <v>56.35</v>
      </c>
      <c r="I219">
        <v>55.66</v>
      </c>
      <c r="J219">
        <v>44.92</v>
      </c>
      <c r="K219">
        <v>14.26</v>
      </c>
      <c r="L219">
        <v>62796.65</v>
      </c>
      <c r="M219">
        <v>58626.400000000001</v>
      </c>
      <c r="N219">
        <v>8.52</v>
      </c>
      <c r="O219">
        <v>6.6269999999999996E-2</v>
      </c>
      <c r="P219">
        <v>2.85</v>
      </c>
      <c r="Q219">
        <v>113.41</v>
      </c>
      <c r="R219">
        <v>18.14</v>
      </c>
      <c r="S219">
        <v>82.48</v>
      </c>
    </row>
    <row r="220" spans="1:19" x14ac:dyDescent="0.25">
      <c r="A220" s="6">
        <v>44229</v>
      </c>
      <c r="B220">
        <v>45.53</v>
      </c>
      <c r="C220">
        <v>62.85</v>
      </c>
      <c r="D220">
        <v>77.12</v>
      </c>
      <c r="E220">
        <v>87.76</v>
      </c>
      <c r="F220">
        <v>71.34</v>
      </c>
      <c r="G220">
        <v>54.76</v>
      </c>
      <c r="H220">
        <v>57.46</v>
      </c>
      <c r="I220">
        <v>56.71</v>
      </c>
      <c r="J220">
        <v>45.63</v>
      </c>
      <c r="K220">
        <v>14.1</v>
      </c>
      <c r="L220">
        <v>62733.65</v>
      </c>
      <c r="M220">
        <v>56826.53</v>
      </c>
      <c r="N220">
        <v>8.43</v>
      </c>
      <c r="O220">
        <v>6.6790000000000002E-2</v>
      </c>
      <c r="P220">
        <v>2.8450000000000002</v>
      </c>
      <c r="Q220">
        <v>116.78</v>
      </c>
      <c r="R220">
        <v>18.25</v>
      </c>
      <c r="S220">
        <v>83.72</v>
      </c>
    </row>
    <row r="221" spans="1:19" x14ac:dyDescent="0.25">
      <c r="A221" s="6">
        <v>44230</v>
      </c>
      <c r="B221">
        <v>45.53</v>
      </c>
      <c r="C221">
        <v>62.85</v>
      </c>
      <c r="D221">
        <v>77.12</v>
      </c>
      <c r="E221">
        <v>87.76</v>
      </c>
      <c r="F221">
        <v>71.34</v>
      </c>
      <c r="G221">
        <v>55.69</v>
      </c>
      <c r="H221">
        <v>58.46</v>
      </c>
      <c r="I221">
        <v>57.69</v>
      </c>
      <c r="J221">
        <v>47.42</v>
      </c>
      <c r="K221">
        <v>14.06</v>
      </c>
      <c r="L221">
        <v>63010.61</v>
      </c>
      <c r="M221">
        <v>56933.65</v>
      </c>
      <c r="N221">
        <v>8.3650000000000002</v>
      </c>
      <c r="O221">
        <v>6.6890000000000005E-2</v>
      </c>
      <c r="P221">
        <v>2.7890000000000001</v>
      </c>
      <c r="Q221">
        <v>115.3</v>
      </c>
      <c r="R221">
        <v>17.855</v>
      </c>
      <c r="S221">
        <v>84.08</v>
      </c>
    </row>
    <row r="222" spans="1:19" x14ac:dyDescent="0.25">
      <c r="A222" s="6">
        <v>44231</v>
      </c>
      <c r="B222">
        <v>45.53</v>
      </c>
      <c r="C222">
        <v>62.85</v>
      </c>
      <c r="D222">
        <v>77.12</v>
      </c>
      <c r="E222">
        <v>87.76</v>
      </c>
      <c r="F222">
        <v>71.34</v>
      </c>
      <c r="G222">
        <v>56.23</v>
      </c>
      <c r="H222">
        <v>58.84</v>
      </c>
      <c r="I222">
        <v>57.97</v>
      </c>
      <c r="J222">
        <v>48.33</v>
      </c>
      <c r="K222">
        <v>14.02</v>
      </c>
      <c r="L222">
        <v>63786.21</v>
      </c>
      <c r="M222">
        <v>57223.11</v>
      </c>
      <c r="N222">
        <v>8.34</v>
      </c>
      <c r="O222">
        <v>6.6619999999999999E-2</v>
      </c>
      <c r="P222">
        <v>2.9350000000000001</v>
      </c>
      <c r="Q222">
        <v>114.55</v>
      </c>
      <c r="R222">
        <v>18.12</v>
      </c>
      <c r="S222">
        <v>85.82</v>
      </c>
    </row>
    <row r="223" spans="1:19" x14ac:dyDescent="0.25">
      <c r="A223" s="6">
        <v>44232</v>
      </c>
      <c r="B223">
        <v>43.02</v>
      </c>
      <c r="C223">
        <v>60.88</v>
      </c>
      <c r="D223">
        <v>74.72</v>
      </c>
      <c r="E223">
        <v>83.95</v>
      </c>
      <c r="F223">
        <v>70.010000000000005</v>
      </c>
      <c r="G223">
        <v>56.85</v>
      </c>
      <c r="H223">
        <v>59.34</v>
      </c>
      <c r="I223">
        <v>58.4</v>
      </c>
      <c r="J223">
        <v>49.95</v>
      </c>
      <c r="K223">
        <v>13.88</v>
      </c>
      <c r="L223">
        <v>64289.48</v>
      </c>
      <c r="M223">
        <v>57588.94</v>
      </c>
      <c r="N223">
        <v>8.3849999999999998</v>
      </c>
      <c r="O223">
        <v>6.7199999999999996E-2</v>
      </c>
      <c r="P223">
        <v>2.863</v>
      </c>
      <c r="Q223">
        <v>114.19</v>
      </c>
      <c r="R223">
        <v>18.38</v>
      </c>
      <c r="S223">
        <v>86.65</v>
      </c>
    </row>
    <row r="224" spans="1:19" x14ac:dyDescent="0.25">
      <c r="A224" s="6">
        <v>44235</v>
      </c>
      <c r="B224">
        <v>43.02</v>
      </c>
      <c r="C224">
        <v>60.88</v>
      </c>
      <c r="D224">
        <v>74.72</v>
      </c>
      <c r="E224">
        <v>83.95</v>
      </c>
      <c r="F224">
        <v>70.010000000000005</v>
      </c>
      <c r="G224">
        <v>57.97</v>
      </c>
      <c r="H224">
        <v>60.56</v>
      </c>
      <c r="I224">
        <v>59.36</v>
      </c>
      <c r="J224">
        <v>52.1</v>
      </c>
      <c r="K224">
        <v>13.86</v>
      </c>
      <c r="L224">
        <v>65059.16</v>
      </c>
      <c r="M224">
        <v>59576.75</v>
      </c>
      <c r="N224">
        <v>8.43</v>
      </c>
      <c r="O224">
        <v>6.7150000000000001E-2</v>
      </c>
      <c r="P224">
        <v>2.8820000000000001</v>
      </c>
      <c r="Q224">
        <v>113.46</v>
      </c>
      <c r="R224">
        <v>20.18</v>
      </c>
      <c r="S224">
        <v>85.48</v>
      </c>
    </row>
    <row r="225" spans="1:19" x14ac:dyDescent="0.25">
      <c r="A225" s="6">
        <v>44236</v>
      </c>
      <c r="B225">
        <v>43.02</v>
      </c>
      <c r="C225">
        <v>60.88</v>
      </c>
      <c r="D225">
        <v>74.72</v>
      </c>
      <c r="E225">
        <v>83.95</v>
      </c>
      <c r="F225">
        <v>70.010000000000005</v>
      </c>
      <c r="G225">
        <v>58.36</v>
      </c>
      <c r="H225">
        <v>61.09</v>
      </c>
      <c r="I225">
        <v>59.63</v>
      </c>
      <c r="J225">
        <v>50.63</v>
      </c>
      <c r="K225">
        <v>13.98</v>
      </c>
      <c r="L225">
        <v>65162.69</v>
      </c>
      <c r="M225">
        <v>59003.18</v>
      </c>
      <c r="N225">
        <v>8.3049999999999997</v>
      </c>
      <c r="O225">
        <v>6.7849999999999994E-2</v>
      </c>
      <c r="P225">
        <v>2.835</v>
      </c>
      <c r="Q225">
        <v>113.26</v>
      </c>
      <c r="R225">
        <v>19.045000000000002</v>
      </c>
      <c r="S225">
        <v>90.8</v>
      </c>
    </row>
    <row r="226" spans="1:19" x14ac:dyDescent="0.25">
      <c r="A226" s="6">
        <v>44237</v>
      </c>
      <c r="B226">
        <v>43.02</v>
      </c>
      <c r="C226">
        <v>60.88</v>
      </c>
      <c r="D226">
        <v>74.72</v>
      </c>
      <c r="E226">
        <v>83.95</v>
      </c>
      <c r="F226">
        <v>70.010000000000005</v>
      </c>
      <c r="G226">
        <v>58.68</v>
      </c>
      <c r="H226">
        <v>61.47</v>
      </c>
      <c r="I226">
        <v>59.69</v>
      </c>
      <c r="J226">
        <v>51.12</v>
      </c>
      <c r="K226">
        <v>13.98</v>
      </c>
      <c r="L226">
        <v>66150.820000000007</v>
      </c>
      <c r="M226">
        <v>61163.73</v>
      </c>
      <c r="N226">
        <v>8.2799999999999994</v>
      </c>
      <c r="O226">
        <v>6.7750000000000005E-2</v>
      </c>
      <c r="P226">
        <v>2.911</v>
      </c>
      <c r="Q226">
        <v>111.66</v>
      </c>
      <c r="R226">
        <v>18.559999999999999</v>
      </c>
      <c r="S226">
        <v>90.22</v>
      </c>
    </row>
    <row r="227" spans="1:19" x14ac:dyDescent="0.25">
      <c r="A227" s="6">
        <v>44238</v>
      </c>
      <c r="B227">
        <v>43.02</v>
      </c>
      <c r="C227">
        <v>60.88</v>
      </c>
      <c r="D227">
        <v>74.72</v>
      </c>
      <c r="E227">
        <v>83.95</v>
      </c>
      <c r="F227">
        <v>70.010000000000005</v>
      </c>
      <c r="G227">
        <v>58.24</v>
      </c>
      <c r="H227">
        <v>61.14</v>
      </c>
      <c r="I227">
        <v>59.56</v>
      </c>
      <c r="J227">
        <v>49.84</v>
      </c>
      <c r="K227">
        <v>14.02</v>
      </c>
      <c r="L227">
        <v>65882.720000000001</v>
      </c>
      <c r="M227">
        <v>60173.38</v>
      </c>
      <c r="N227">
        <v>8.2650000000000006</v>
      </c>
      <c r="O227">
        <v>6.8309999999999996E-2</v>
      </c>
      <c r="P227">
        <v>2.8679999999999999</v>
      </c>
      <c r="Q227">
        <v>111.3</v>
      </c>
      <c r="R227">
        <v>17.375</v>
      </c>
      <c r="S227">
        <v>100.18</v>
      </c>
    </row>
    <row r="228" spans="1:19" x14ac:dyDescent="0.25">
      <c r="A228" s="6">
        <v>44239</v>
      </c>
      <c r="B228">
        <v>46.13</v>
      </c>
      <c r="C228">
        <v>64.23</v>
      </c>
      <c r="D228">
        <v>78.89</v>
      </c>
      <c r="E228">
        <v>90.18</v>
      </c>
      <c r="F228">
        <v>73.09</v>
      </c>
      <c r="G228">
        <v>59.47</v>
      </c>
      <c r="H228">
        <v>62.43</v>
      </c>
      <c r="I228">
        <v>60.23</v>
      </c>
      <c r="J228">
        <v>50.52</v>
      </c>
      <c r="K228">
        <v>13.982060085836935</v>
      </c>
      <c r="L228">
        <v>66132.240000000005</v>
      </c>
      <c r="M228">
        <v>59807.88</v>
      </c>
      <c r="N228">
        <v>8.2639999999999993</v>
      </c>
      <c r="O228">
        <v>6.8669999999999995E-2</v>
      </c>
      <c r="P228">
        <v>2.9119999999999999</v>
      </c>
      <c r="Q228">
        <v>111.07</v>
      </c>
      <c r="R228">
        <v>17.62</v>
      </c>
      <c r="S228">
        <v>99.43</v>
      </c>
    </row>
    <row r="229" spans="1:19" x14ac:dyDescent="0.25">
      <c r="A229" s="6">
        <v>44242</v>
      </c>
      <c r="B229">
        <v>46.13</v>
      </c>
      <c r="C229">
        <v>64.23</v>
      </c>
      <c r="D229">
        <v>78.89</v>
      </c>
      <c r="E229">
        <v>90.18</v>
      </c>
      <c r="F229">
        <v>73.09</v>
      </c>
      <c r="G229">
        <v>60.09</v>
      </c>
      <c r="H229">
        <v>63.3</v>
      </c>
      <c r="I229">
        <v>60.414999999999999</v>
      </c>
      <c r="J229">
        <v>51.28</v>
      </c>
      <c r="K229">
        <v>14.070636817074728</v>
      </c>
      <c r="L229">
        <v>67124.83</v>
      </c>
      <c r="M229">
        <v>62234.11</v>
      </c>
      <c r="N229">
        <v>8.1910540540540069</v>
      </c>
      <c r="O229">
        <v>6.9139999999999993E-2</v>
      </c>
      <c r="P229">
        <v>3.0670000000000002</v>
      </c>
      <c r="Q229">
        <v>111.745</v>
      </c>
      <c r="R229">
        <v>17.1675</v>
      </c>
      <c r="S229">
        <v>97.17</v>
      </c>
    </row>
    <row r="230" spans="1:19" x14ac:dyDescent="0.25">
      <c r="A230" s="6">
        <v>44243</v>
      </c>
      <c r="B230">
        <v>46.13</v>
      </c>
      <c r="C230">
        <v>64.23</v>
      </c>
      <c r="D230">
        <v>78.89</v>
      </c>
      <c r="E230">
        <v>90.18</v>
      </c>
      <c r="F230">
        <v>73.09</v>
      </c>
      <c r="G230">
        <v>60.05</v>
      </c>
      <c r="H230">
        <v>63.35</v>
      </c>
      <c r="I230">
        <v>60.6</v>
      </c>
      <c r="J230">
        <v>52.04</v>
      </c>
      <c r="K230">
        <v>14.42</v>
      </c>
      <c r="L230">
        <v>67227.06</v>
      </c>
      <c r="M230">
        <v>62857.63</v>
      </c>
      <c r="N230">
        <v>6.35</v>
      </c>
      <c r="O230">
        <v>6.8169999999999994E-2</v>
      </c>
      <c r="P230">
        <v>3.129</v>
      </c>
      <c r="Q230">
        <v>112.42</v>
      </c>
      <c r="R230">
        <v>16.715</v>
      </c>
      <c r="S230">
        <v>92.4</v>
      </c>
    </row>
    <row r="231" spans="1:19" x14ac:dyDescent="0.25">
      <c r="A231" s="6">
        <v>44244</v>
      </c>
      <c r="B231">
        <v>46.13</v>
      </c>
      <c r="C231">
        <v>64.23</v>
      </c>
      <c r="D231">
        <v>78.89</v>
      </c>
      <c r="E231">
        <v>90.18</v>
      </c>
      <c r="F231">
        <v>73.09</v>
      </c>
      <c r="G231">
        <v>61.14</v>
      </c>
      <c r="H231">
        <v>64.34</v>
      </c>
      <c r="I231">
        <v>60.89</v>
      </c>
      <c r="J231">
        <v>52.85</v>
      </c>
      <c r="K231">
        <v>14.6</v>
      </c>
      <c r="L231">
        <v>67110.070000000007</v>
      </c>
      <c r="M231">
        <v>62917.04</v>
      </c>
      <c r="N231">
        <v>6.3049999999999997</v>
      </c>
      <c r="O231">
        <v>6.8220000000000003E-2</v>
      </c>
      <c r="P231">
        <v>3.2189999999999999</v>
      </c>
      <c r="Q231">
        <v>112.78</v>
      </c>
      <c r="R231">
        <v>16.54</v>
      </c>
      <c r="S231">
        <v>94.63</v>
      </c>
    </row>
    <row r="232" spans="1:19" x14ac:dyDescent="0.25">
      <c r="A232" s="6">
        <v>44245</v>
      </c>
      <c r="B232">
        <v>46.13</v>
      </c>
      <c r="C232">
        <v>64.23</v>
      </c>
      <c r="D232">
        <v>78.89</v>
      </c>
      <c r="E232">
        <v>90.18</v>
      </c>
      <c r="F232">
        <v>73.09</v>
      </c>
      <c r="G232">
        <v>60.52</v>
      </c>
      <c r="H232">
        <v>63.93</v>
      </c>
      <c r="I232">
        <v>60.59</v>
      </c>
      <c r="J232">
        <v>52.02</v>
      </c>
      <c r="K232">
        <v>14.88</v>
      </c>
      <c r="L232">
        <v>66575.45</v>
      </c>
      <c r="M232">
        <v>62471.47</v>
      </c>
      <c r="N232">
        <v>6.6</v>
      </c>
      <c r="O232">
        <v>6.8430000000000005E-2</v>
      </c>
      <c r="P232">
        <v>3.0819999999999999</v>
      </c>
      <c r="Q232">
        <v>113.86</v>
      </c>
      <c r="R232">
        <v>17.329999999999998</v>
      </c>
      <c r="S232">
        <v>99.28</v>
      </c>
    </row>
    <row r="233" spans="1:19" x14ac:dyDescent="0.25">
      <c r="A233" s="6">
        <v>44246</v>
      </c>
      <c r="B233">
        <v>45.36</v>
      </c>
      <c r="C233">
        <v>62.33</v>
      </c>
      <c r="D233">
        <v>76.59</v>
      </c>
      <c r="E233">
        <v>89.3</v>
      </c>
      <c r="F233">
        <v>79</v>
      </c>
      <c r="G233">
        <v>59.24</v>
      </c>
      <c r="H233">
        <v>62.91</v>
      </c>
      <c r="I233">
        <v>60.2</v>
      </c>
      <c r="J233">
        <v>52.37</v>
      </c>
      <c r="K233">
        <v>14.92</v>
      </c>
      <c r="L233">
        <v>67464.86</v>
      </c>
      <c r="M233">
        <v>63739.87</v>
      </c>
      <c r="N233">
        <v>6.4</v>
      </c>
      <c r="O233">
        <v>6.8210000000000007E-2</v>
      </c>
      <c r="P233">
        <v>3.069</v>
      </c>
      <c r="Q233">
        <v>113.35</v>
      </c>
      <c r="R233">
        <v>16.555</v>
      </c>
      <c r="S233">
        <v>98.4</v>
      </c>
    </row>
    <row r="234" spans="1:19" x14ac:dyDescent="0.25">
      <c r="A234" s="6">
        <v>44249</v>
      </c>
      <c r="B234">
        <v>45.36</v>
      </c>
      <c r="C234">
        <v>62.33</v>
      </c>
      <c r="D234">
        <v>76.59</v>
      </c>
      <c r="E234">
        <v>89.3</v>
      </c>
      <c r="F234">
        <v>79</v>
      </c>
      <c r="G234">
        <v>61.49</v>
      </c>
      <c r="H234">
        <v>65.239999999999995</v>
      </c>
      <c r="I234">
        <v>60.62</v>
      </c>
      <c r="J234">
        <v>54.3</v>
      </c>
      <c r="K234">
        <v>15.54</v>
      </c>
      <c r="L234">
        <v>67362.820000000007</v>
      </c>
      <c r="M234">
        <v>64298.01</v>
      </c>
      <c r="N234">
        <v>6.2549999999999999</v>
      </c>
      <c r="O234">
        <v>6.8099999999999994E-2</v>
      </c>
      <c r="P234">
        <v>2.9529999999999998</v>
      </c>
      <c r="Q234">
        <v>111.72</v>
      </c>
      <c r="R234">
        <v>15.96</v>
      </c>
      <c r="S234">
        <v>98.42</v>
      </c>
    </row>
    <row r="235" spans="1:19" x14ac:dyDescent="0.25">
      <c r="A235" s="6">
        <v>44250</v>
      </c>
      <c r="B235">
        <v>45.36</v>
      </c>
      <c r="C235">
        <v>62.33</v>
      </c>
      <c r="D235">
        <v>76.59</v>
      </c>
      <c r="E235">
        <v>89.3</v>
      </c>
      <c r="F235">
        <v>79</v>
      </c>
      <c r="G235">
        <v>61.67</v>
      </c>
      <c r="H235">
        <v>65.37</v>
      </c>
      <c r="I235">
        <v>60.63</v>
      </c>
      <c r="J235">
        <v>55.05</v>
      </c>
      <c r="K235">
        <v>15.16</v>
      </c>
      <c r="L235">
        <v>65921.600000000006</v>
      </c>
      <c r="M235">
        <v>62988.51</v>
      </c>
      <c r="N235">
        <v>6.23</v>
      </c>
      <c r="O235">
        <v>6.8729999999999999E-2</v>
      </c>
      <c r="P235">
        <v>2.879</v>
      </c>
      <c r="Q235">
        <v>111.42</v>
      </c>
      <c r="R235">
        <v>16.25</v>
      </c>
      <c r="S235">
        <v>99.28</v>
      </c>
    </row>
    <row r="236" spans="1:19" x14ac:dyDescent="0.25">
      <c r="A236" s="6">
        <v>44251</v>
      </c>
      <c r="B236">
        <v>45.36</v>
      </c>
      <c r="C236">
        <v>62.33</v>
      </c>
      <c r="D236">
        <v>76.59</v>
      </c>
      <c r="E236">
        <v>89.3</v>
      </c>
      <c r="F236">
        <v>79</v>
      </c>
      <c r="G236">
        <v>63.22</v>
      </c>
      <c r="H236">
        <v>67.040000000000006</v>
      </c>
      <c r="I236">
        <v>60.81</v>
      </c>
      <c r="J236">
        <v>56.7</v>
      </c>
      <c r="K236">
        <v>14.88</v>
      </c>
      <c r="L236">
        <v>66200.759999999995</v>
      </c>
      <c r="M236">
        <v>63484.59</v>
      </c>
      <c r="N236">
        <v>6.04</v>
      </c>
      <c r="O236">
        <v>6.8949999999999997E-2</v>
      </c>
      <c r="P236">
        <v>2.8540000000000001</v>
      </c>
      <c r="Q236">
        <v>111.46</v>
      </c>
      <c r="R236">
        <v>16.38</v>
      </c>
      <c r="S236">
        <v>102.78</v>
      </c>
    </row>
    <row r="237" spans="1:19" x14ac:dyDescent="0.25">
      <c r="A237" s="6">
        <v>44252</v>
      </c>
      <c r="B237">
        <v>45.36</v>
      </c>
      <c r="C237">
        <v>62.33</v>
      </c>
      <c r="D237">
        <v>76.59</v>
      </c>
      <c r="E237">
        <v>89.3</v>
      </c>
      <c r="F237">
        <v>79</v>
      </c>
      <c r="G237">
        <v>63.53</v>
      </c>
      <c r="H237">
        <v>66.88</v>
      </c>
      <c r="I237">
        <v>60.84</v>
      </c>
      <c r="J237">
        <v>55.76</v>
      </c>
      <c r="K237">
        <v>15.2</v>
      </c>
      <c r="L237">
        <v>67483.759999999995</v>
      </c>
      <c r="M237">
        <v>66960.03</v>
      </c>
      <c r="N237">
        <v>5.8049999999999997</v>
      </c>
      <c r="O237">
        <v>6.6320000000000004E-2</v>
      </c>
      <c r="P237">
        <v>2.7770000000000001</v>
      </c>
      <c r="Q237">
        <v>112</v>
      </c>
      <c r="R237">
        <v>15.935</v>
      </c>
      <c r="S237">
        <v>100.55</v>
      </c>
    </row>
    <row r="238" spans="1:19" x14ac:dyDescent="0.25">
      <c r="A238" s="6">
        <v>44253</v>
      </c>
      <c r="B238">
        <v>44.5</v>
      </c>
      <c r="C238">
        <v>60.84</v>
      </c>
      <c r="D238">
        <v>75.25</v>
      </c>
      <c r="E238">
        <v>85.6</v>
      </c>
      <c r="F238">
        <v>74.069999999999993</v>
      </c>
      <c r="G238">
        <v>61.5</v>
      </c>
      <c r="H238">
        <v>66.13</v>
      </c>
      <c r="I238">
        <v>60.85</v>
      </c>
      <c r="J238">
        <v>54.37</v>
      </c>
      <c r="K238">
        <v>14.74</v>
      </c>
      <c r="L238">
        <v>66138.05</v>
      </c>
      <c r="M238">
        <v>64310.69</v>
      </c>
      <c r="N238">
        <v>6.1950000000000003</v>
      </c>
      <c r="O238">
        <v>6.6189999999999999E-2</v>
      </c>
      <c r="P238">
        <v>2.7709999999999999</v>
      </c>
      <c r="Q238">
        <v>110.31</v>
      </c>
      <c r="R238">
        <v>15.695</v>
      </c>
      <c r="S238">
        <v>97.78</v>
      </c>
    </row>
    <row r="239" spans="1:19" x14ac:dyDescent="0.25">
      <c r="A239" s="6">
        <v>44256</v>
      </c>
      <c r="B239">
        <v>44.5</v>
      </c>
      <c r="C239">
        <v>60.84</v>
      </c>
      <c r="D239">
        <v>75.25</v>
      </c>
      <c r="E239">
        <v>85.6</v>
      </c>
      <c r="F239">
        <v>74.069999999999993</v>
      </c>
      <c r="G239">
        <v>60.64</v>
      </c>
      <c r="H239">
        <v>63.69</v>
      </c>
      <c r="I239">
        <v>62.28</v>
      </c>
      <c r="J239">
        <v>56.4</v>
      </c>
      <c r="K239">
        <v>14.84</v>
      </c>
      <c r="L239">
        <v>67536.960000000006</v>
      </c>
      <c r="M239">
        <v>65698.91</v>
      </c>
      <c r="N239">
        <v>5.9249999999999998</v>
      </c>
      <c r="O239">
        <v>6.6559999999999994E-2</v>
      </c>
      <c r="P239">
        <v>2.7770000000000001</v>
      </c>
      <c r="Q239">
        <v>113.74</v>
      </c>
      <c r="R239">
        <v>16.079999999999998</v>
      </c>
      <c r="S239">
        <v>100.35</v>
      </c>
    </row>
    <row r="240" spans="1:19" x14ac:dyDescent="0.25">
      <c r="A240" s="6">
        <v>44257</v>
      </c>
      <c r="B240">
        <v>44.5</v>
      </c>
      <c r="C240">
        <v>60.84</v>
      </c>
      <c r="D240">
        <v>75.25</v>
      </c>
      <c r="E240">
        <v>85.6</v>
      </c>
      <c r="F240">
        <v>74.069999999999993</v>
      </c>
      <c r="G240">
        <v>59.75</v>
      </c>
      <c r="H240">
        <v>62.7</v>
      </c>
      <c r="I240">
        <v>61.33</v>
      </c>
      <c r="J240">
        <v>56.07</v>
      </c>
      <c r="K240">
        <v>14.7</v>
      </c>
      <c r="L240">
        <v>68510.75</v>
      </c>
      <c r="M240">
        <v>67188.87</v>
      </c>
      <c r="N240">
        <v>5.875</v>
      </c>
      <c r="O240">
        <v>6.6900000000000001E-2</v>
      </c>
      <c r="P240">
        <v>2.839</v>
      </c>
      <c r="Q240">
        <v>113.62</v>
      </c>
      <c r="R240">
        <v>15.87</v>
      </c>
      <c r="S240">
        <v>100.92</v>
      </c>
    </row>
    <row r="241" spans="1:19" x14ac:dyDescent="0.25">
      <c r="A241" s="6">
        <v>44258</v>
      </c>
      <c r="B241">
        <v>44.5</v>
      </c>
      <c r="C241">
        <v>60.84</v>
      </c>
      <c r="D241">
        <v>75.25</v>
      </c>
      <c r="E241">
        <v>85.6</v>
      </c>
      <c r="F241">
        <v>74.069999999999993</v>
      </c>
      <c r="G241">
        <v>61.28</v>
      </c>
      <c r="H241">
        <v>64.069999999999993</v>
      </c>
      <c r="I241">
        <v>62.55</v>
      </c>
      <c r="J241">
        <v>56.52</v>
      </c>
      <c r="K241">
        <v>15.06</v>
      </c>
      <c r="L241">
        <v>68326.789999999994</v>
      </c>
      <c r="M241">
        <v>65970.44</v>
      </c>
      <c r="N241">
        <v>5.875</v>
      </c>
      <c r="O241">
        <v>6.6250000000000003E-2</v>
      </c>
      <c r="P241">
        <v>2.8159999999999998</v>
      </c>
      <c r="Q241">
        <v>111.64</v>
      </c>
      <c r="R241">
        <v>15.525</v>
      </c>
      <c r="S241">
        <v>99.15</v>
      </c>
    </row>
    <row r="242" spans="1:19" x14ac:dyDescent="0.25">
      <c r="A242" s="6">
        <v>44259</v>
      </c>
      <c r="B242">
        <v>44.5</v>
      </c>
      <c r="C242">
        <v>60.84</v>
      </c>
      <c r="D242">
        <v>75.25</v>
      </c>
      <c r="E242">
        <v>85.6</v>
      </c>
      <c r="F242">
        <v>74.069999999999993</v>
      </c>
      <c r="G242">
        <v>63.83</v>
      </c>
      <c r="H242">
        <v>66.739999999999995</v>
      </c>
      <c r="I242">
        <v>64.8</v>
      </c>
      <c r="J242">
        <v>58.71</v>
      </c>
      <c r="K242">
        <v>14.96</v>
      </c>
      <c r="L242">
        <v>67743.539999999994</v>
      </c>
      <c r="M242">
        <v>65763.460000000006</v>
      </c>
      <c r="N242">
        <v>6</v>
      </c>
      <c r="O242">
        <v>6.5329999999999999E-2</v>
      </c>
      <c r="P242">
        <v>2.746</v>
      </c>
      <c r="Q242">
        <v>111.13</v>
      </c>
      <c r="R242">
        <v>15.93</v>
      </c>
      <c r="S242">
        <v>103.52</v>
      </c>
    </row>
    <row r="243" spans="1:19" x14ac:dyDescent="0.25">
      <c r="A243" s="6">
        <v>44260</v>
      </c>
      <c r="B243">
        <v>45.75</v>
      </c>
      <c r="C243">
        <v>62.25</v>
      </c>
      <c r="D243">
        <v>77.27</v>
      </c>
      <c r="E243">
        <v>90.96</v>
      </c>
      <c r="F243">
        <v>76.739999999999995</v>
      </c>
      <c r="G243">
        <v>66.09</v>
      </c>
      <c r="H243">
        <v>69.36</v>
      </c>
      <c r="I243">
        <v>66.89</v>
      </c>
      <c r="J243">
        <v>60.93</v>
      </c>
      <c r="K243">
        <v>14.8</v>
      </c>
      <c r="L243">
        <v>68271.19</v>
      </c>
      <c r="M243">
        <v>67009.710000000006</v>
      </c>
      <c r="N243">
        <v>6</v>
      </c>
      <c r="O243">
        <v>6.5089999999999995E-2</v>
      </c>
      <c r="P243">
        <v>2.7010000000000001</v>
      </c>
      <c r="Q243">
        <v>114.97</v>
      </c>
      <c r="R243">
        <v>16.364999999999998</v>
      </c>
      <c r="S243">
        <v>102.13</v>
      </c>
    </row>
    <row r="244" spans="1:19" x14ac:dyDescent="0.25">
      <c r="A244" s="6">
        <v>44263</v>
      </c>
      <c r="B244">
        <v>45.75</v>
      </c>
      <c r="C244">
        <v>62.25</v>
      </c>
      <c r="D244">
        <v>77.27</v>
      </c>
      <c r="E244">
        <v>90.96</v>
      </c>
      <c r="F244">
        <v>76.739999999999995</v>
      </c>
      <c r="G244">
        <v>65.05</v>
      </c>
      <c r="H244">
        <v>68.239999999999995</v>
      </c>
      <c r="I244">
        <v>65.84</v>
      </c>
      <c r="J244">
        <v>60.87</v>
      </c>
      <c r="K244">
        <v>14.74</v>
      </c>
      <c r="L244">
        <v>68426.17</v>
      </c>
      <c r="M244">
        <v>67897.78</v>
      </c>
      <c r="N244">
        <v>6</v>
      </c>
      <c r="O244">
        <v>6.4320000000000002E-2</v>
      </c>
      <c r="P244">
        <v>2.6640000000000001</v>
      </c>
      <c r="Q244">
        <v>113.74</v>
      </c>
      <c r="R244">
        <v>16.149999999999999</v>
      </c>
      <c r="S244">
        <v>102.35</v>
      </c>
    </row>
    <row r="245" spans="1:19" x14ac:dyDescent="0.25">
      <c r="A245" s="6">
        <v>44264</v>
      </c>
      <c r="B245">
        <v>45.75</v>
      </c>
      <c r="C245">
        <v>62.25</v>
      </c>
      <c r="D245">
        <v>77.27</v>
      </c>
      <c r="E245">
        <v>90.96</v>
      </c>
      <c r="F245">
        <v>76.739999999999995</v>
      </c>
      <c r="G245">
        <v>64.010000000000005</v>
      </c>
      <c r="H245">
        <v>67.52</v>
      </c>
      <c r="I245">
        <v>65.37</v>
      </c>
      <c r="J245">
        <v>59.93</v>
      </c>
      <c r="K245">
        <v>14.5</v>
      </c>
      <c r="L245">
        <v>68655.960000000006</v>
      </c>
      <c r="M245">
        <v>67056.69</v>
      </c>
      <c r="N245">
        <v>6.01</v>
      </c>
      <c r="O245">
        <v>6.5320000000000003E-2</v>
      </c>
      <c r="P245">
        <v>2.6619999999999999</v>
      </c>
      <c r="Q245">
        <v>114.41</v>
      </c>
      <c r="R245">
        <v>16.925000000000001</v>
      </c>
      <c r="S245">
        <v>100.48</v>
      </c>
    </row>
    <row r="246" spans="1:19" x14ac:dyDescent="0.25">
      <c r="A246" s="6">
        <v>44265</v>
      </c>
      <c r="B246">
        <v>45.75</v>
      </c>
      <c r="C246">
        <v>62.25</v>
      </c>
      <c r="D246">
        <v>77.27</v>
      </c>
      <c r="E246">
        <v>90.96</v>
      </c>
      <c r="F246">
        <v>76.739999999999995</v>
      </c>
      <c r="G246">
        <v>64.44</v>
      </c>
      <c r="H246">
        <v>67.900000000000006</v>
      </c>
      <c r="I246">
        <v>65.540000000000006</v>
      </c>
      <c r="J246">
        <v>61.77</v>
      </c>
      <c r="K246">
        <v>14.32</v>
      </c>
      <c r="L246">
        <v>68516.990000000005</v>
      </c>
      <c r="M246">
        <v>66442.740000000005</v>
      </c>
      <c r="N246">
        <v>6</v>
      </c>
      <c r="O246">
        <v>6.6309999999999994E-2</v>
      </c>
      <c r="P246">
        <v>2.6920000000000002</v>
      </c>
      <c r="Q246">
        <v>115.58</v>
      </c>
      <c r="R246">
        <v>17.63</v>
      </c>
      <c r="S246">
        <v>102.65</v>
      </c>
    </row>
    <row r="247" spans="1:19" x14ac:dyDescent="0.25">
      <c r="A247" s="6">
        <v>44266</v>
      </c>
      <c r="B247">
        <v>45.75</v>
      </c>
      <c r="C247">
        <v>62.25</v>
      </c>
      <c r="D247">
        <v>77.27</v>
      </c>
      <c r="E247">
        <v>90.96</v>
      </c>
      <c r="F247">
        <v>76.739999999999995</v>
      </c>
      <c r="G247">
        <v>66.02</v>
      </c>
      <c r="H247">
        <v>69.63</v>
      </c>
      <c r="I247">
        <v>66.650000000000006</v>
      </c>
      <c r="J247">
        <v>61.31</v>
      </c>
      <c r="K247">
        <v>14.58</v>
      </c>
      <c r="L247">
        <v>68775.06</v>
      </c>
      <c r="M247">
        <v>66550.41</v>
      </c>
      <c r="N247">
        <v>6.0549999999999997</v>
      </c>
      <c r="O247">
        <v>6.7349999999999993E-2</v>
      </c>
      <c r="P247">
        <v>2.6680000000000001</v>
      </c>
      <c r="Q247">
        <v>115.2</v>
      </c>
      <c r="R247">
        <v>18.125</v>
      </c>
      <c r="S247">
        <v>109.42</v>
      </c>
    </row>
    <row r="248" spans="1:19" x14ac:dyDescent="0.25">
      <c r="A248" s="6">
        <v>44267</v>
      </c>
      <c r="B248">
        <v>45.37</v>
      </c>
      <c r="C248">
        <v>62.48</v>
      </c>
      <c r="D248">
        <v>77.66</v>
      </c>
      <c r="E248">
        <v>91.56</v>
      </c>
      <c r="F248">
        <v>77.040000000000006</v>
      </c>
      <c r="G248">
        <v>65.61</v>
      </c>
      <c r="H248">
        <v>69.22</v>
      </c>
      <c r="I248">
        <v>66.5</v>
      </c>
      <c r="J248">
        <v>61.97</v>
      </c>
      <c r="K248">
        <v>14.66</v>
      </c>
      <c r="L248">
        <v>68209.86</v>
      </c>
      <c r="M248">
        <v>66247.839999999997</v>
      </c>
      <c r="N248">
        <v>6.07</v>
      </c>
      <c r="O248">
        <v>6.6860000000000003E-2</v>
      </c>
      <c r="P248">
        <v>2.6</v>
      </c>
      <c r="Q248">
        <v>115.32</v>
      </c>
      <c r="R248">
        <v>18.45</v>
      </c>
      <c r="S248">
        <v>109.42</v>
      </c>
    </row>
    <row r="249" spans="1:19" x14ac:dyDescent="0.25">
      <c r="A249" s="6">
        <v>44270</v>
      </c>
      <c r="B249">
        <v>45.37</v>
      </c>
      <c r="C249">
        <v>62.48</v>
      </c>
      <c r="D249">
        <v>77.66</v>
      </c>
      <c r="E249">
        <v>91.56</v>
      </c>
      <c r="F249">
        <v>77.040000000000006</v>
      </c>
      <c r="G249">
        <v>65.39</v>
      </c>
      <c r="H249">
        <v>68.88</v>
      </c>
      <c r="I249">
        <v>66.38</v>
      </c>
      <c r="J249">
        <v>60.39</v>
      </c>
      <c r="K249">
        <v>15</v>
      </c>
      <c r="L249">
        <v>67566.42</v>
      </c>
      <c r="M249">
        <v>65295.21</v>
      </c>
      <c r="N249">
        <v>6.077</v>
      </c>
      <c r="O249">
        <v>6.7239999999999994E-2</v>
      </c>
      <c r="P249">
        <v>2.484</v>
      </c>
      <c r="Q249">
        <v>115.66</v>
      </c>
      <c r="R249">
        <v>17.93</v>
      </c>
      <c r="S249">
        <v>114.73</v>
      </c>
    </row>
    <row r="250" spans="1:19" x14ac:dyDescent="0.25">
      <c r="A250" s="6">
        <v>44271</v>
      </c>
      <c r="B250">
        <v>45.37</v>
      </c>
      <c r="C250">
        <v>62.48</v>
      </c>
      <c r="D250">
        <v>77.66</v>
      </c>
      <c r="E250">
        <v>91.56</v>
      </c>
      <c r="F250">
        <v>77.040000000000006</v>
      </c>
      <c r="G250">
        <v>64.8</v>
      </c>
      <c r="H250">
        <v>68.39</v>
      </c>
      <c r="I250">
        <v>66.05</v>
      </c>
      <c r="J250">
        <v>59.11</v>
      </c>
      <c r="K250">
        <v>14.98</v>
      </c>
      <c r="L250">
        <v>67289.37</v>
      </c>
      <c r="M250">
        <v>65082.35</v>
      </c>
      <c r="N250">
        <v>6.53</v>
      </c>
      <c r="O250">
        <v>6.7239999999999994E-2</v>
      </c>
      <c r="P250">
        <v>2.5619999999999998</v>
      </c>
      <c r="Q250">
        <v>114.66</v>
      </c>
      <c r="R250">
        <v>17.66</v>
      </c>
      <c r="S250">
        <v>113.23</v>
      </c>
    </row>
    <row r="251" spans="1:19" x14ac:dyDescent="0.25">
      <c r="A251" s="6">
        <v>44272</v>
      </c>
      <c r="B251">
        <v>45.37</v>
      </c>
      <c r="C251">
        <v>62.48</v>
      </c>
      <c r="D251">
        <v>77.66</v>
      </c>
      <c r="E251">
        <v>91.56</v>
      </c>
      <c r="F251">
        <v>77.040000000000006</v>
      </c>
      <c r="G251">
        <v>64.599999999999994</v>
      </c>
      <c r="H251">
        <v>68</v>
      </c>
      <c r="I251">
        <v>65.77</v>
      </c>
      <c r="J251">
        <v>59.37</v>
      </c>
      <c r="K251">
        <v>14.98</v>
      </c>
      <c r="L251">
        <v>66494.490000000005</v>
      </c>
      <c r="M251">
        <v>63552.27</v>
      </c>
      <c r="N251">
        <v>6.65</v>
      </c>
      <c r="O251">
        <v>6.8229999999999999E-2</v>
      </c>
      <c r="P251">
        <v>2.528</v>
      </c>
      <c r="Q251">
        <v>113.7</v>
      </c>
      <c r="R251">
        <v>17.97</v>
      </c>
      <c r="S251">
        <v>114.62</v>
      </c>
    </row>
    <row r="252" spans="1:19" x14ac:dyDescent="0.25">
      <c r="A252" s="6">
        <v>44273</v>
      </c>
      <c r="B252">
        <v>45.37</v>
      </c>
      <c r="C252">
        <v>62.48</v>
      </c>
      <c r="D252">
        <v>77.66</v>
      </c>
      <c r="E252">
        <v>91.56</v>
      </c>
      <c r="F252">
        <v>77.040000000000006</v>
      </c>
      <c r="G252">
        <v>60</v>
      </c>
      <c r="H252">
        <v>63.28</v>
      </c>
      <c r="I252">
        <v>63.9</v>
      </c>
      <c r="J252">
        <v>56.81</v>
      </c>
      <c r="K252">
        <v>14.9</v>
      </c>
      <c r="L252">
        <v>66739.740000000005</v>
      </c>
      <c r="M252">
        <v>64267.5</v>
      </c>
      <c r="N252">
        <v>6.5650000000000004</v>
      </c>
      <c r="O252">
        <v>6.7669999999999994E-2</v>
      </c>
      <c r="P252">
        <v>2.4809999999999999</v>
      </c>
      <c r="Q252">
        <v>111.64</v>
      </c>
      <c r="R252">
        <v>17.760000000000002</v>
      </c>
      <c r="S252">
        <v>119.13</v>
      </c>
    </row>
    <row r="253" spans="1:19" x14ac:dyDescent="0.25">
      <c r="A253" s="6">
        <v>44274</v>
      </c>
      <c r="B253">
        <v>50.48</v>
      </c>
      <c r="C253">
        <v>67.69</v>
      </c>
      <c r="D253">
        <v>83.4</v>
      </c>
      <c r="E253">
        <v>96.48</v>
      </c>
      <c r="F253">
        <v>80.22</v>
      </c>
      <c r="G253">
        <v>61.42</v>
      </c>
      <c r="H253">
        <v>64.53</v>
      </c>
      <c r="I253">
        <v>64.569999999999993</v>
      </c>
      <c r="J253">
        <v>56.49</v>
      </c>
      <c r="K253">
        <v>14.62</v>
      </c>
      <c r="L253">
        <v>65911.27</v>
      </c>
      <c r="M253">
        <v>62730.97</v>
      </c>
      <c r="N253">
        <v>6.4249999999999998</v>
      </c>
      <c r="O253">
        <v>6.7930000000000004E-2</v>
      </c>
      <c r="P253">
        <v>2.5350000000000001</v>
      </c>
      <c r="Q253">
        <v>111.2</v>
      </c>
      <c r="R253">
        <v>17.265000000000001</v>
      </c>
      <c r="S253">
        <v>123.63</v>
      </c>
    </row>
    <row r="254" spans="1:19" x14ac:dyDescent="0.25">
      <c r="A254" s="6">
        <v>44277</v>
      </c>
      <c r="B254">
        <v>50.48</v>
      </c>
      <c r="C254">
        <v>67.69</v>
      </c>
      <c r="D254">
        <v>83.4</v>
      </c>
      <c r="E254">
        <v>96.48</v>
      </c>
      <c r="F254">
        <v>80.22</v>
      </c>
      <c r="G254">
        <v>61.55</v>
      </c>
      <c r="H254">
        <v>64.62</v>
      </c>
      <c r="I254">
        <v>64.709999999999994</v>
      </c>
      <c r="J254">
        <v>55.91</v>
      </c>
      <c r="K254">
        <v>14.8</v>
      </c>
      <c r="L254">
        <v>65193.76189189218</v>
      </c>
      <c r="M254">
        <v>61779.350540537387</v>
      </c>
      <c r="N254">
        <v>6.625</v>
      </c>
      <c r="O254">
        <v>6.7890000000000006E-2</v>
      </c>
      <c r="P254">
        <v>2.5819999999999999</v>
      </c>
      <c r="Q254">
        <v>111.55</v>
      </c>
      <c r="R254">
        <v>18.045000000000002</v>
      </c>
      <c r="S254">
        <v>118.75</v>
      </c>
    </row>
    <row r="255" spans="1:19" x14ac:dyDescent="0.25">
      <c r="A255" s="6">
        <v>44278</v>
      </c>
      <c r="B255">
        <v>50.48</v>
      </c>
      <c r="C255">
        <v>67.69</v>
      </c>
      <c r="D255">
        <v>83.4</v>
      </c>
      <c r="E255">
        <v>96.48</v>
      </c>
      <c r="F255">
        <v>80.22</v>
      </c>
      <c r="G255">
        <v>57.76</v>
      </c>
      <c r="H255">
        <v>60.79</v>
      </c>
      <c r="I255">
        <v>63.72</v>
      </c>
      <c r="J255">
        <v>55.22</v>
      </c>
      <c r="K255">
        <v>14.52</v>
      </c>
      <c r="L255">
        <v>65318.52</v>
      </c>
      <c r="M255">
        <v>60646.05</v>
      </c>
      <c r="N255">
        <v>6.8550000000000004</v>
      </c>
      <c r="O255">
        <v>6.7129999999999995E-2</v>
      </c>
      <c r="P255">
        <v>2.508</v>
      </c>
      <c r="Q255">
        <v>111.65</v>
      </c>
      <c r="R255">
        <v>18.39</v>
      </c>
      <c r="S255">
        <v>120.1</v>
      </c>
    </row>
    <row r="256" spans="1:19" x14ac:dyDescent="0.25">
      <c r="A256" s="6">
        <v>44279</v>
      </c>
      <c r="B256">
        <v>50.48</v>
      </c>
      <c r="C256">
        <v>67.69</v>
      </c>
      <c r="D256">
        <v>83.4</v>
      </c>
      <c r="E256">
        <v>96.48</v>
      </c>
      <c r="F256">
        <v>80.22</v>
      </c>
      <c r="G256">
        <v>61.18</v>
      </c>
      <c r="H256">
        <v>64.41</v>
      </c>
      <c r="I256">
        <v>64.5</v>
      </c>
      <c r="J256">
        <v>56.34</v>
      </c>
      <c r="K256">
        <v>14.3</v>
      </c>
      <c r="L256">
        <v>65257.09</v>
      </c>
      <c r="M256">
        <v>60444.28</v>
      </c>
      <c r="N256">
        <v>6.8550000000000004</v>
      </c>
      <c r="O256">
        <v>6.6710000000000005E-2</v>
      </c>
      <c r="P256">
        <v>2.5179999999999998</v>
      </c>
      <c r="Q256">
        <v>112.61</v>
      </c>
      <c r="R256">
        <v>18.59</v>
      </c>
      <c r="S256">
        <v>116.62</v>
      </c>
    </row>
    <row r="257" spans="1:19" x14ac:dyDescent="0.25">
      <c r="A257" s="6">
        <v>44280</v>
      </c>
      <c r="B257">
        <v>50.48</v>
      </c>
      <c r="C257">
        <v>67.69</v>
      </c>
      <c r="D257">
        <v>83.4</v>
      </c>
      <c r="E257">
        <v>96.48</v>
      </c>
      <c r="F257">
        <v>80.22</v>
      </c>
      <c r="G257">
        <v>58.56</v>
      </c>
      <c r="H257">
        <v>61.95</v>
      </c>
      <c r="I257">
        <v>64.05</v>
      </c>
      <c r="J257">
        <v>56.18</v>
      </c>
      <c r="K257">
        <v>14.4</v>
      </c>
      <c r="L257">
        <v>64783.62</v>
      </c>
      <c r="M257">
        <v>60996.95</v>
      </c>
      <c r="N257">
        <v>6.75</v>
      </c>
      <c r="O257">
        <v>6.651E-2</v>
      </c>
      <c r="P257">
        <v>2.57</v>
      </c>
      <c r="Q257">
        <v>112.28</v>
      </c>
      <c r="R257">
        <v>18.364999999999998</v>
      </c>
      <c r="S257">
        <v>110.95</v>
      </c>
    </row>
    <row r="258" spans="1:19" x14ac:dyDescent="0.25">
      <c r="A258" s="6">
        <v>44281</v>
      </c>
      <c r="B258">
        <v>49.07</v>
      </c>
      <c r="C258">
        <v>72.39</v>
      </c>
      <c r="D258">
        <v>87.65</v>
      </c>
      <c r="E258">
        <v>100.1</v>
      </c>
      <c r="F258">
        <v>81.08</v>
      </c>
      <c r="G258">
        <v>60.97</v>
      </c>
      <c r="H258">
        <v>64.569999999999993</v>
      </c>
      <c r="I258">
        <v>64.430000000000007</v>
      </c>
      <c r="J258">
        <v>57.71</v>
      </c>
      <c r="K258">
        <v>14.5</v>
      </c>
      <c r="L258">
        <v>66833.990000000005</v>
      </c>
      <c r="M258">
        <v>63089.9</v>
      </c>
      <c r="N258">
        <v>6.93</v>
      </c>
      <c r="O258">
        <v>6.6799999999999998E-2</v>
      </c>
      <c r="P258">
        <v>2.5569999999999999</v>
      </c>
      <c r="Q258">
        <v>113.64</v>
      </c>
      <c r="R258">
        <v>18.7</v>
      </c>
      <c r="S258">
        <v>113.08</v>
      </c>
    </row>
    <row r="259" spans="1:19" x14ac:dyDescent="0.25">
      <c r="A259" s="6">
        <v>44284</v>
      </c>
      <c r="B259">
        <v>49.07</v>
      </c>
      <c r="C259">
        <v>72.39</v>
      </c>
      <c r="D259">
        <v>87.65</v>
      </c>
      <c r="E259">
        <v>100.1</v>
      </c>
      <c r="F259">
        <v>81.08</v>
      </c>
      <c r="G259">
        <v>61.56</v>
      </c>
      <c r="H259">
        <v>64.98</v>
      </c>
      <c r="I259">
        <v>64.42</v>
      </c>
      <c r="J259">
        <v>57.4</v>
      </c>
      <c r="K259">
        <v>16</v>
      </c>
      <c r="L259">
        <v>67089.37</v>
      </c>
      <c r="M259">
        <v>62967.34</v>
      </c>
      <c r="N259">
        <v>6.8650000000000002</v>
      </c>
      <c r="O259">
        <v>6.7030000000000006E-2</v>
      </c>
      <c r="P259">
        <v>2.5859999999999999</v>
      </c>
      <c r="Q259">
        <v>113.28</v>
      </c>
      <c r="R259">
        <v>18.445</v>
      </c>
      <c r="S259">
        <v>113.77</v>
      </c>
    </row>
    <row r="260" spans="1:19" x14ac:dyDescent="0.25">
      <c r="A260" s="6">
        <v>44285</v>
      </c>
      <c r="B260">
        <v>49.07</v>
      </c>
      <c r="C260">
        <v>72.39</v>
      </c>
      <c r="D260">
        <v>87.65</v>
      </c>
      <c r="E260">
        <v>100.1</v>
      </c>
      <c r="F260">
        <v>81.08</v>
      </c>
      <c r="G260">
        <v>60.55</v>
      </c>
      <c r="H260">
        <v>64.14</v>
      </c>
      <c r="I260">
        <v>64.41</v>
      </c>
      <c r="J260">
        <v>56.69</v>
      </c>
      <c r="K260">
        <v>15.94</v>
      </c>
      <c r="L260">
        <v>67291.66</v>
      </c>
      <c r="M260">
        <v>62335.22</v>
      </c>
      <c r="N260">
        <v>6.9349999999999996</v>
      </c>
      <c r="O260">
        <v>6.6989999999999994E-2</v>
      </c>
      <c r="P260">
        <v>2.6230000000000002</v>
      </c>
      <c r="Q260">
        <v>111.23</v>
      </c>
      <c r="R260">
        <v>18.805</v>
      </c>
      <c r="S260">
        <v>113.77</v>
      </c>
    </row>
    <row r="261" spans="1:19" x14ac:dyDescent="0.25">
      <c r="A261" s="6">
        <v>44286</v>
      </c>
      <c r="B261">
        <v>49.07</v>
      </c>
      <c r="C261">
        <v>72.39</v>
      </c>
      <c r="D261">
        <v>87.65</v>
      </c>
      <c r="E261">
        <v>100.1</v>
      </c>
      <c r="F261">
        <v>81.08</v>
      </c>
      <c r="G261">
        <v>59.16</v>
      </c>
      <c r="H261">
        <v>63.54</v>
      </c>
      <c r="I261">
        <v>64.41</v>
      </c>
      <c r="J261">
        <v>55.83</v>
      </c>
      <c r="K261">
        <v>16.02</v>
      </c>
      <c r="L261">
        <v>66485.289999999994</v>
      </c>
      <c r="M261">
        <v>62657.36</v>
      </c>
      <c r="N261">
        <v>7.02</v>
      </c>
      <c r="O261">
        <v>6.7629999999999996E-2</v>
      </c>
      <c r="P261">
        <v>2.6080000000000001</v>
      </c>
      <c r="Q261">
        <v>111.68</v>
      </c>
      <c r="R261">
        <v>18.995000000000001</v>
      </c>
      <c r="S261">
        <v>110.93</v>
      </c>
    </row>
    <row r="262" spans="1:19" x14ac:dyDescent="0.25">
      <c r="A262" s="6">
        <v>44287</v>
      </c>
      <c r="B262">
        <v>50.24</v>
      </c>
      <c r="C262">
        <v>67.319999999999993</v>
      </c>
      <c r="D262">
        <v>82.07</v>
      </c>
      <c r="E262">
        <v>96.6</v>
      </c>
      <c r="F262">
        <v>81.41</v>
      </c>
      <c r="G262">
        <v>61.45</v>
      </c>
      <c r="H262">
        <v>64.86</v>
      </c>
      <c r="I262">
        <v>63.27</v>
      </c>
      <c r="J262">
        <v>57.39</v>
      </c>
      <c r="K262">
        <v>16.02</v>
      </c>
      <c r="L262">
        <v>67236.31</v>
      </c>
      <c r="M262">
        <v>64240.32</v>
      </c>
      <c r="N262">
        <v>6.9249999999999998</v>
      </c>
      <c r="O262">
        <v>6.8360000000000004E-2</v>
      </c>
      <c r="P262">
        <v>2.6389999999999998</v>
      </c>
      <c r="Q262">
        <v>114.2</v>
      </c>
      <c r="R262">
        <v>19.170000000000002</v>
      </c>
      <c r="S262">
        <v>115.68</v>
      </c>
    </row>
    <row r="263" spans="1:19" x14ac:dyDescent="0.25">
      <c r="A263" s="6">
        <v>44288</v>
      </c>
      <c r="B263">
        <v>50.24</v>
      </c>
      <c r="C263">
        <v>67.319999999999993</v>
      </c>
      <c r="D263">
        <v>82.07</v>
      </c>
      <c r="E263">
        <v>96.6</v>
      </c>
      <c r="F263">
        <v>81.41</v>
      </c>
      <c r="G263">
        <v>60.05</v>
      </c>
      <c r="H263">
        <v>63.504999999999995</v>
      </c>
      <c r="I263">
        <v>61.99</v>
      </c>
      <c r="J263">
        <v>56.945</v>
      </c>
      <c r="K263">
        <v>16.598025751070963</v>
      </c>
      <c r="L263">
        <v>67580.851158797741</v>
      </c>
      <c r="M263">
        <v>63769.012317596003</v>
      </c>
      <c r="N263">
        <v>6.9968884120171424</v>
      </c>
      <c r="O263">
        <v>6.8140000000000006E-2</v>
      </c>
      <c r="P263">
        <v>2.5750000000000002</v>
      </c>
      <c r="Q263">
        <v>114.655</v>
      </c>
      <c r="R263">
        <v>19.170000000000002</v>
      </c>
      <c r="S263">
        <v>113.87</v>
      </c>
    </row>
    <row r="264" spans="1:19" x14ac:dyDescent="0.25">
      <c r="A264" s="6">
        <v>44291</v>
      </c>
      <c r="B264">
        <v>50.24</v>
      </c>
      <c r="C264">
        <v>67.319999999999993</v>
      </c>
      <c r="D264">
        <v>82.07</v>
      </c>
      <c r="E264">
        <v>96.6</v>
      </c>
      <c r="F264">
        <v>81.41</v>
      </c>
      <c r="G264">
        <v>58.65</v>
      </c>
      <c r="H264">
        <v>62.15</v>
      </c>
      <c r="I264">
        <v>60.71</v>
      </c>
      <c r="J264">
        <v>56.5</v>
      </c>
      <c r="K264">
        <v>17.361315392643519</v>
      </c>
      <c r="L264">
        <v>67500.359192668926</v>
      </c>
      <c r="M264">
        <v>63922.228115068749</v>
      </c>
      <c r="N264">
        <v>6.9249999999999998</v>
      </c>
      <c r="O264">
        <v>6.8680000000000005E-2</v>
      </c>
      <c r="P264">
        <v>2.5110000000000001</v>
      </c>
      <c r="Q264">
        <v>115.11</v>
      </c>
      <c r="R264">
        <v>19.170000000000002</v>
      </c>
      <c r="S264">
        <v>113.87</v>
      </c>
    </row>
    <row r="265" spans="1:19" x14ac:dyDescent="0.25">
      <c r="A265" s="6">
        <v>44292</v>
      </c>
      <c r="B265">
        <v>50.24</v>
      </c>
      <c r="C265">
        <v>67.319999999999993</v>
      </c>
      <c r="D265">
        <v>82.07</v>
      </c>
      <c r="E265">
        <v>96.6</v>
      </c>
      <c r="F265">
        <v>81.41</v>
      </c>
      <c r="G265">
        <v>59.33</v>
      </c>
      <c r="H265">
        <v>62.74</v>
      </c>
      <c r="I265">
        <v>60.96</v>
      </c>
      <c r="J265">
        <v>56.34</v>
      </c>
      <c r="K265">
        <v>17.406801016997633</v>
      </c>
      <c r="L265">
        <v>68063.89</v>
      </c>
      <c r="M265">
        <v>66009.320000000007</v>
      </c>
      <c r="N265">
        <v>6.97</v>
      </c>
      <c r="O265">
        <v>6.8809999999999996E-2</v>
      </c>
      <c r="P265">
        <v>2.456</v>
      </c>
      <c r="Q265">
        <v>113.91</v>
      </c>
      <c r="R265">
        <v>19.78</v>
      </c>
      <c r="S265">
        <v>117.77</v>
      </c>
    </row>
    <row r="266" spans="1:19" x14ac:dyDescent="0.25">
      <c r="A266" s="6">
        <v>44293</v>
      </c>
      <c r="B266">
        <v>50.24</v>
      </c>
      <c r="C266">
        <v>67.319999999999993</v>
      </c>
      <c r="D266">
        <v>82.07</v>
      </c>
      <c r="E266">
        <v>96.6</v>
      </c>
      <c r="F266">
        <v>81.41</v>
      </c>
      <c r="G266">
        <v>59.77</v>
      </c>
      <c r="H266">
        <v>63.16</v>
      </c>
      <c r="I266">
        <v>61.46</v>
      </c>
      <c r="J266">
        <v>56.59</v>
      </c>
      <c r="K266">
        <v>15.94</v>
      </c>
      <c r="L266">
        <v>67160.42</v>
      </c>
      <c r="M266">
        <v>64805.49</v>
      </c>
      <c r="N266">
        <v>6.98</v>
      </c>
      <c r="O266">
        <v>6.8570000000000006E-2</v>
      </c>
      <c r="P266">
        <v>2.52</v>
      </c>
      <c r="Q266">
        <v>114.75</v>
      </c>
      <c r="R266">
        <v>19.285</v>
      </c>
      <c r="S266">
        <v>118.25</v>
      </c>
    </row>
    <row r="267" spans="1:19" x14ac:dyDescent="0.25">
      <c r="A267" s="6">
        <v>44294</v>
      </c>
      <c r="B267">
        <v>50.24</v>
      </c>
      <c r="C267">
        <v>67.319999999999993</v>
      </c>
      <c r="D267">
        <v>82.07</v>
      </c>
      <c r="E267">
        <v>96.6</v>
      </c>
      <c r="F267">
        <v>81.41</v>
      </c>
      <c r="G267">
        <v>59.6</v>
      </c>
      <c r="H267">
        <v>63.2</v>
      </c>
      <c r="I267">
        <v>61.47</v>
      </c>
      <c r="J267">
        <v>56</v>
      </c>
      <c r="K267">
        <v>15.9</v>
      </c>
      <c r="L267">
        <v>67053.97</v>
      </c>
      <c r="M267">
        <v>65114.63</v>
      </c>
      <c r="N267">
        <v>6.9850000000000003</v>
      </c>
      <c r="O267">
        <v>6.88E-2</v>
      </c>
      <c r="P267">
        <v>2.5219999999999998</v>
      </c>
      <c r="Q267">
        <v>116.04</v>
      </c>
      <c r="R267">
        <v>18.989999999999998</v>
      </c>
      <c r="S267">
        <v>117.18</v>
      </c>
    </row>
    <row r="268" spans="1:19" x14ac:dyDescent="0.25">
      <c r="A268" s="6">
        <v>44295</v>
      </c>
      <c r="B268">
        <v>49.82</v>
      </c>
      <c r="C268">
        <v>67.88</v>
      </c>
      <c r="D268">
        <v>82.89</v>
      </c>
      <c r="E268">
        <v>95.95</v>
      </c>
      <c r="F268">
        <v>81.99</v>
      </c>
      <c r="G268">
        <v>59.32</v>
      </c>
      <c r="H268">
        <v>62.95</v>
      </c>
      <c r="I268">
        <v>61.19</v>
      </c>
      <c r="J268">
        <v>55.87</v>
      </c>
      <c r="K268">
        <v>16</v>
      </c>
      <c r="L268">
        <v>67191.27</v>
      </c>
      <c r="M268">
        <v>64401.120000000003</v>
      </c>
      <c r="N268">
        <v>6.9850000000000003</v>
      </c>
      <c r="O268">
        <v>6.8430000000000005E-2</v>
      </c>
      <c r="P268">
        <v>2.5259999999999998</v>
      </c>
      <c r="Q268">
        <v>117.17</v>
      </c>
      <c r="R268">
        <v>18.940000000000001</v>
      </c>
      <c r="S268">
        <v>116.7</v>
      </c>
    </row>
    <row r="269" spans="1:19" x14ac:dyDescent="0.25">
      <c r="A269" s="6">
        <v>44298</v>
      </c>
      <c r="B269">
        <v>49.82</v>
      </c>
      <c r="C269">
        <v>67.88</v>
      </c>
      <c r="D269">
        <v>82.89</v>
      </c>
      <c r="E269">
        <v>95.95</v>
      </c>
      <c r="F269">
        <v>81.99</v>
      </c>
      <c r="G269">
        <v>59.7</v>
      </c>
      <c r="H269">
        <v>63.28</v>
      </c>
      <c r="I269">
        <v>61.3</v>
      </c>
      <c r="J269">
        <v>55.5</v>
      </c>
      <c r="K269">
        <v>16.02</v>
      </c>
      <c r="L269">
        <v>66390.02</v>
      </c>
      <c r="M269">
        <v>62513.22</v>
      </c>
      <c r="N269">
        <v>7.0049999999999999</v>
      </c>
      <c r="O269">
        <v>6.8589999999999998E-2</v>
      </c>
      <c r="P269">
        <v>2.5609999999999999</v>
      </c>
      <c r="Q269">
        <v>117.71</v>
      </c>
      <c r="R269">
        <v>19.649999999999999</v>
      </c>
      <c r="S269">
        <v>112.62</v>
      </c>
    </row>
    <row r="270" spans="1:19" x14ac:dyDescent="0.25">
      <c r="A270" s="6">
        <v>44299</v>
      </c>
      <c r="B270">
        <v>49.82</v>
      </c>
      <c r="C270">
        <v>67.88</v>
      </c>
      <c r="D270">
        <v>82.89</v>
      </c>
      <c r="E270">
        <v>95.95</v>
      </c>
      <c r="F270">
        <v>81.99</v>
      </c>
      <c r="G270">
        <v>60.18</v>
      </c>
      <c r="H270">
        <v>63.67</v>
      </c>
      <c r="I270">
        <v>61.53</v>
      </c>
      <c r="J270">
        <v>55.71</v>
      </c>
      <c r="K270">
        <v>16.02</v>
      </c>
      <c r="L270">
        <v>67072.490000000005</v>
      </c>
      <c r="M270">
        <v>63317.05</v>
      </c>
      <c r="N270">
        <v>7.0149999999999997</v>
      </c>
      <c r="O270">
        <v>6.8860000000000005E-2</v>
      </c>
      <c r="P270">
        <v>2.6190000000000002</v>
      </c>
      <c r="Q270">
        <v>118.72</v>
      </c>
      <c r="R270">
        <v>19.510000000000002</v>
      </c>
      <c r="S270">
        <v>112.35</v>
      </c>
    </row>
    <row r="271" spans="1:19" x14ac:dyDescent="0.25">
      <c r="A271" s="6">
        <v>44300</v>
      </c>
      <c r="B271">
        <v>49.82</v>
      </c>
      <c r="C271">
        <v>67.88</v>
      </c>
      <c r="D271">
        <v>82.89</v>
      </c>
      <c r="E271">
        <v>95.95</v>
      </c>
      <c r="F271">
        <v>81.99</v>
      </c>
      <c r="G271">
        <v>63.15</v>
      </c>
      <c r="H271">
        <v>66.58</v>
      </c>
      <c r="I271">
        <v>63.26</v>
      </c>
      <c r="J271">
        <v>57.32</v>
      </c>
      <c r="K271">
        <v>16.420000000000002</v>
      </c>
      <c r="L271">
        <v>67812.149999999994</v>
      </c>
      <c r="M271">
        <v>63141.38</v>
      </c>
      <c r="N271">
        <v>7.0149999999999997</v>
      </c>
      <c r="O271">
        <v>6.9430000000000006E-2</v>
      </c>
      <c r="P271">
        <v>2.6179999999999999</v>
      </c>
      <c r="Q271">
        <v>118.19</v>
      </c>
      <c r="R271">
        <v>19.68</v>
      </c>
      <c r="S271">
        <v>112.02</v>
      </c>
    </row>
    <row r="272" spans="1:19" x14ac:dyDescent="0.25">
      <c r="A272" s="6">
        <v>44301</v>
      </c>
      <c r="B272">
        <v>49.82</v>
      </c>
      <c r="C272">
        <v>67.88</v>
      </c>
      <c r="D272">
        <v>82.89</v>
      </c>
      <c r="E272">
        <v>95.95</v>
      </c>
      <c r="F272">
        <v>81.99</v>
      </c>
      <c r="G272">
        <v>63.46</v>
      </c>
      <c r="H272">
        <v>66.94</v>
      </c>
      <c r="I272">
        <v>63.48</v>
      </c>
      <c r="J272">
        <v>56.98</v>
      </c>
      <c r="K272">
        <v>16.38</v>
      </c>
      <c r="L272">
        <v>67823.09</v>
      </c>
      <c r="M272">
        <v>63456.71</v>
      </c>
      <c r="N272">
        <v>7.0170000000000003</v>
      </c>
      <c r="O272">
        <v>7.0569999999999994E-2</v>
      </c>
      <c r="P272">
        <v>2.6579999999999999</v>
      </c>
      <c r="Q272">
        <v>119.86</v>
      </c>
      <c r="R272">
        <v>20.260000000000002</v>
      </c>
      <c r="S272">
        <v>112.02</v>
      </c>
    </row>
    <row r="273" spans="1:19" x14ac:dyDescent="0.25">
      <c r="A273" s="6">
        <v>44302</v>
      </c>
      <c r="B273">
        <v>48.63</v>
      </c>
      <c r="C273">
        <v>65.73</v>
      </c>
      <c r="D273">
        <v>82.91</v>
      </c>
      <c r="E273">
        <v>89.92</v>
      </c>
      <c r="F273">
        <v>78.66</v>
      </c>
      <c r="G273">
        <v>63.13</v>
      </c>
      <c r="H273">
        <v>66.77</v>
      </c>
      <c r="I273">
        <v>63.42</v>
      </c>
      <c r="J273">
        <v>56.66</v>
      </c>
      <c r="K273">
        <v>16.600000000000001</v>
      </c>
      <c r="L273">
        <v>68698.78</v>
      </c>
      <c r="M273">
        <v>65518.14</v>
      </c>
      <c r="N273">
        <v>8.2449999999999992</v>
      </c>
      <c r="O273">
        <v>6.9800000000000001E-2</v>
      </c>
      <c r="P273">
        <v>2.68</v>
      </c>
      <c r="Q273">
        <v>120.73</v>
      </c>
      <c r="R273">
        <v>20.54</v>
      </c>
      <c r="S273">
        <v>115.13</v>
      </c>
    </row>
    <row r="274" spans="1:19" x14ac:dyDescent="0.25">
      <c r="A274" s="6">
        <v>44305</v>
      </c>
      <c r="B274">
        <v>48.63</v>
      </c>
      <c r="C274">
        <v>65.73</v>
      </c>
      <c r="D274">
        <v>82.91</v>
      </c>
      <c r="E274">
        <v>89.92</v>
      </c>
      <c r="F274">
        <v>78.66</v>
      </c>
      <c r="G274">
        <v>63.38</v>
      </c>
      <c r="H274">
        <v>67.05</v>
      </c>
      <c r="I274">
        <v>63.47</v>
      </c>
      <c r="J274">
        <v>56.48</v>
      </c>
      <c r="K274">
        <v>16.48</v>
      </c>
      <c r="L274">
        <v>68094.28</v>
      </c>
      <c r="M274">
        <v>64250.42</v>
      </c>
      <c r="N274">
        <v>8.6649999999999991</v>
      </c>
      <c r="O274">
        <v>7.0279999999999995E-2</v>
      </c>
      <c r="P274">
        <v>2.7490000000000001</v>
      </c>
      <c r="Q274">
        <v>119.74</v>
      </c>
      <c r="R274">
        <v>20.94</v>
      </c>
      <c r="S274">
        <v>117.45</v>
      </c>
    </row>
    <row r="275" spans="1:19" x14ac:dyDescent="0.25">
      <c r="A275" s="6">
        <v>44306</v>
      </c>
      <c r="B275">
        <v>48.63</v>
      </c>
      <c r="C275">
        <v>65.73</v>
      </c>
      <c r="D275">
        <v>82.91</v>
      </c>
      <c r="E275">
        <v>89.92</v>
      </c>
      <c r="F275">
        <v>78.66</v>
      </c>
      <c r="G275">
        <v>62.44</v>
      </c>
      <c r="H275">
        <v>66.569999999999993</v>
      </c>
      <c r="I275">
        <v>63.23</v>
      </c>
      <c r="J275">
        <v>55.29</v>
      </c>
      <c r="K275">
        <v>16.46</v>
      </c>
      <c r="L275">
        <v>66835.520000000004</v>
      </c>
      <c r="M275">
        <v>63774.84</v>
      </c>
      <c r="N275">
        <v>8.65</v>
      </c>
      <c r="O275">
        <v>6.9849999999999995E-2</v>
      </c>
      <c r="P275">
        <v>2.7269999999999999</v>
      </c>
      <c r="Q275">
        <v>119.76</v>
      </c>
      <c r="R275">
        <v>21.065000000000001</v>
      </c>
      <c r="S275">
        <v>117.6</v>
      </c>
    </row>
    <row r="276" spans="1:19" x14ac:dyDescent="0.25">
      <c r="A276" s="6">
        <v>44307</v>
      </c>
      <c r="B276">
        <v>48.63</v>
      </c>
      <c r="C276">
        <v>65.73</v>
      </c>
      <c r="D276">
        <v>82.91</v>
      </c>
      <c r="E276">
        <v>89.92</v>
      </c>
      <c r="F276">
        <v>78.66</v>
      </c>
      <c r="G276">
        <v>61.35</v>
      </c>
      <c r="H276">
        <v>65.319999999999993</v>
      </c>
      <c r="I276">
        <v>62.71</v>
      </c>
      <c r="J276">
        <v>56</v>
      </c>
      <c r="K276">
        <v>16.36</v>
      </c>
      <c r="L276">
        <v>67145.75</v>
      </c>
      <c r="M276">
        <v>65801.34</v>
      </c>
      <c r="N276">
        <v>8.5500000000000007</v>
      </c>
      <c r="O276">
        <v>7.0150000000000004E-2</v>
      </c>
      <c r="P276">
        <v>2.6920000000000002</v>
      </c>
      <c r="Q276">
        <v>119.53</v>
      </c>
      <c r="R276">
        <v>21.11</v>
      </c>
      <c r="S276">
        <v>119.98</v>
      </c>
    </row>
    <row r="277" spans="1:19" x14ac:dyDescent="0.25">
      <c r="A277" s="6">
        <v>44308</v>
      </c>
      <c r="B277">
        <v>48.63</v>
      </c>
      <c r="C277">
        <v>65.73</v>
      </c>
      <c r="D277">
        <v>82.91</v>
      </c>
      <c r="E277">
        <v>89.92</v>
      </c>
      <c r="F277">
        <v>78.66</v>
      </c>
      <c r="G277">
        <v>61.43</v>
      </c>
      <c r="H277">
        <v>65.400000000000006</v>
      </c>
      <c r="I277">
        <v>62.68</v>
      </c>
      <c r="J277">
        <v>55.27</v>
      </c>
      <c r="K277">
        <v>16.559999999999999</v>
      </c>
      <c r="L277">
        <v>66971.59</v>
      </c>
      <c r="M277">
        <v>64550.22</v>
      </c>
      <c r="N277">
        <v>8.5500000000000007</v>
      </c>
      <c r="O277">
        <v>6.9870000000000002E-2</v>
      </c>
      <c r="P277">
        <v>2.7490000000000001</v>
      </c>
      <c r="Q277">
        <v>119.84</v>
      </c>
      <c r="R277">
        <v>21.37</v>
      </c>
      <c r="S277">
        <v>119.98</v>
      </c>
    </row>
    <row r="278" spans="1:19" x14ac:dyDescent="0.25">
      <c r="A278" s="6">
        <v>44309</v>
      </c>
      <c r="B278">
        <v>48.78</v>
      </c>
      <c r="C278">
        <v>65.599999999999994</v>
      </c>
      <c r="D278">
        <v>81.430000000000007</v>
      </c>
      <c r="E278">
        <v>90.72</v>
      </c>
      <c r="F278">
        <v>82.38</v>
      </c>
      <c r="G278">
        <v>62.14</v>
      </c>
      <c r="H278">
        <v>66.11</v>
      </c>
      <c r="I278">
        <v>62.8</v>
      </c>
      <c r="J278">
        <v>55.57</v>
      </c>
      <c r="K278">
        <v>16.54</v>
      </c>
      <c r="L278">
        <v>67295.740000000005</v>
      </c>
      <c r="M278">
        <v>64272.27</v>
      </c>
      <c r="N278">
        <v>8.1999999999999993</v>
      </c>
      <c r="O278">
        <v>6.9959999999999994E-2</v>
      </c>
      <c r="P278">
        <v>2.73</v>
      </c>
      <c r="Q278">
        <v>121.27</v>
      </c>
      <c r="R278">
        <v>20.045000000000002</v>
      </c>
      <c r="S278">
        <v>119.23</v>
      </c>
    </row>
    <row r="279" spans="1:19" x14ac:dyDescent="0.25">
      <c r="A279" s="6">
        <v>44312</v>
      </c>
      <c r="B279">
        <v>48.78</v>
      </c>
      <c r="C279">
        <v>65.599999999999994</v>
      </c>
      <c r="D279">
        <v>81.430000000000007</v>
      </c>
      <c r="E279">
        <v>90.72</v>
      </c>
      <c r="F279">
        <v>82.38</v>
      </c>
      <c r="G279">
        <v>61.91</v>
      </c>
      <c r="H279">
        <v>65.650000000000006</v>
      </c>
      <c r="I279">
        <v>62.62</v>
      </c>
      <c r="J279">
        <v>55.68</v>
      </c>
      <c r="K279">
        <v>16.2</v>
      </c>
      <c r="L279">
        <v>67572.58</v>
      </c>
      <c r="M279">
        <v>63681.25</v>
      </c>
      <c r="N279">
        <v>8.25</v>
      </c>
      <c r="O279">
        <v>6.9989999999999997E-2</v>
      </c>
      <c r="P279">
        <v>2.79</v>
      </c>
      <c r="Q279">
        <v>120.86</v>
      </c>
      <c r="R279">
        <v>20</v>
      </c>
      <c r="S279">
        <v>125.33</v>
      </c>
    </row>
    <row r="280" spans="1:19" x14ac:dyDescent="0.25">
      <c r="A280" s="6">
        <v>44313</v>
      </c>
      <c r="B280">
        <v>48.78</v>
      </c>
      <c r="C280">
        <v>65.599999999999994</v>
      </c>
      <c r="D280">
        <v>81.430000000000007</v>
      </c>
      <c r="E280">
        <v>90.72</v>
      </c>
      <c r="F280">
        <v>82.38</v>
      </c>
      <c r="G280">
        <v>62.94</v>
      </c>
      <c r="H280">
        <v>66.42</v>
      </c>
      <c r="I280">
        <v>62.75</v>
      </c>
      <c r="J280">
        <v>56.41</v>
      </c>
      <c r="K280">
        <v>16.12</v>
      </c>
      <c r="L280">
        <v>67286.680486486526</v>
      </c>
      <c r="M280">
        <v>63933.172594594769</v>
      </c>
      <c r="N280">
        <v>8.6</v>
      </c>
      <c r="O280">
        <v>6.9650000000000004E-2</v>
      </c>
      <c r="P280">
        <v>2.8730000000000002</v>
      </c>
      <c r="Q280">
        <v>121.23</v>
      </c>
      <c r="R280">
        <v>21.405000000000001</v>
      </c>
      <c r="S280">
        <v>125.47</v>
      </c>
    </row>
    <row r="281" spans="1:19" x14ac:dyDescent="0.25">
      <c r="A281" s="6">
        <v>44314</v>
      </c>
      <c r="B281">
        <v>48.78</v>
      </c>
      <c r="C281">
        <v>65.599999999999994</v>
      </c>
      <c r="D281">
        <v>81.430000000000007</v>
      </c>
      <c r="E281">
        <v>90.72</v>
      </c>
      <c r="F281">
        <v>82.38</v>
      </c>
      <c r="G281">
        <v>63.86</v>
      </c>
      <c r="H281">
        <v>67.27</v>
      </c>
      <c r="I281">
        <v>62.81</v>
      </c>
      <c r="J281">
        <v>58.11</v>
      </c>
      <c r="K281">
        <v>16.2</v>
      </c>
      <c r="L281">
        <v>67740.11</v>
      </c>
      <c r="M281">
        <v>62994.3</v>
      </c>
      <c r="N281">
        <v>8.6</v>
      </c>
      <c r="O281">
        <v>7.0209999999999995E-2</v>
      </c>
      <c r="P281">
        <v>2.9249999999999998</v>
      </c>
      <c r="Q281">
        <v>119.07</v>
      </c>
      <c r="R281">
        <v>21.555</v>
      </c>
      <c r="S281">
        <v>123.37</v>
      </c>
    </row>
    <row r="282" spans="1:19" x14ac:dyDescent="0.25">
      <c r="A282" s="6">
        <v>44315</v>
      </c>
      <c r="B282">
        <v>48.78</v>
      </c>
      <c r="C282">
        <v>65.599999999999994</v>
      </c>
      <c r="D282">
        <v>81.430000000000007</v>
      </c>
      <c r="E282">
        <v>90.72</v>
      </c>
      <c r="F282">
        <v>82.38</v>
      </c>
      <c r="G282">
        <v>65.010000000000005</v>
      </c>
      <c r="H282">
        <v>68.56</v>
      </c>
      <c r="I282">
        <v>62.9</v>
      </c>
      <c r="J282">
        <v>58.94</v>
      </c>
      <c r="K282">
        <v>16.579999999999998</v>
      </c>
      <c r="L282">
        <v>67392.73</v>
      </c>
      <c r="M282">
        <v>62207.06</v>
      </c>
      <c r="N282">
        <v>8.8000000000000007</v>
      </c>
      <c r="O282">
        <v>6.9849999999999995E-2</v>
      </c>
      <c r="P282">
        <v>2.911</v>
      </c>
      <c r="Q282">
        <v>117.68</v>
      </c>
      <c r="R282">
        <v>22.5</v>
      </c>
      <c r="S282">
        <v>125.18</v>
      </c>
    </row>
    <row r="283" spans="1:19" x14ac:dyDescent="0.25">
      <c r="A283" s="6">
        <v>44316</v>
      </c>
      <c r="B283">
        <v>47.25</v>
      </c>
      <c r="C283">
        <v>66.38</v>
      </c>
      <c r="D283">
        <v>81.81</v>
      </c>
      <c r="E283">
        <v>93.14</v>
      </c>
      <c r="F283">
        <v>81.03</v>
      </c>
      <c r="G283">
        <v>63.58</v>
      </c>
      <c r="H283">
        <v>67.25</v>
      </c>
      <c r="I283">
        <v>62.89</v>
      </c>
      <c r="J283">
        <v>57.24</v>
      </c>
      <c r="K283">
        <v>16.2</v>
      </c>
      <c r="L283">
        <v>66937</v>
      </c>
      <c r="M283">
        <v>61780.68</v>
      </c>
      <c r="N283">
        <v>8.8949999999999996</v>
      </c>
      <c r="O283">
        <v>6.8919999999999995E-2</v>
      </c>
      <c r="P283">
        <v>2.931</v>
      </c>
      <c r="Q283">
        <v>117.71</v>
      </c>
      <c r="R283">
        <v>23.285</v>
      </c>
      <c r="S283">
        <v>123.45</v>
      </c>
    </row>
    <row r="284" spans="1:19" x14ac:dyDescent="0.25">
      <c r="A284" s="6">
        <v>44319</v>
      </c>
      <c r="B284">
        <v>47.25</v>
      </c>
      <c r="C284">
        <v>66.38</v>
      </c>
      <c r="D284">
        <v>81.81</v>
      </c>
      <c r="E284">
        <v>93.14</v>
      </c>
      <c r="F284">
        <v>81.03</v>
      </c>
      <c r="G284">
        <v>64.489999999999995</v>
      </c>
      <c r="H284">
        <v>67.56</v>
      </c>
      <c r="I284">
        <v>65.03</v>
      </c>
      <c r="J284">
        <v>58.82</v>
      </c>
      <c r="K284">
        <v>16.2</v>
      </c>
      <c r="L284">
        <v>66586.240000000005</v>
      </c>
      <c r="M284">
        <v>62537.93</v>
      </c>
      <c r="N284">
        <v>8.9049999999999994</v>
      </c>
      <c r="O284">
        <v>6.9409999999999999E-2</v>
      </c>
      <c r="P284">
        <v>2.9660000000000002</v>
      </c>
      <c r="Q284">
        <v>115.46</v>
      </c>
      <c r="R284">
        <v>23.815000000000001</v>
      </c>
      <c r="S284">
        <v>126.35</v>
      </c>
    </row>
    <row r="285" spans="1:19" x14ac:dyDescent="0.25">
      <c r="A285" s="6">
        <v>44320</v>
      </c>
      <c r="B285">
        <v>47.25</v>
      </c>
      <c r="C285">
        <v>66.38</v>
      </c>
      <c r="D285">
        <v>81.81</v>
      </c>
      <c r="E285">
        <v>93.14</v>
      </c>
      <c r="F285">
        <v>81.03</v>
      </c>
      <c r="G285">
        <v>65.69</v>
      </c>
      <c r="H285">
        <v>68.88</v>
      </c>
      <c r="I285">
        <v>66.349999999999994</v>
      </c>
      <c r="J285">
        <v>59.19</v>
      </c>
      <c r="K285">
        <v>16.36</v>
      </c>
      <c r="L285">
        <v>66173.97</v>
      </c>
      <c r="M285">
        <v>61597.89</v>
      </c>
      <c r="N285">
        <v>9.0050000000000008</v>
      </c>
      <c r="O285">
        <v>6.9089999999999999E-2</v>
      </c>
      <c r="P285">
        <v>2.9670000000000001</v>
      </c>
      <c r="Q285">
        <v>114.54</v>
      </c>
      <c r="R285">
        <v>23.05</v>
      </c>
      <c r="S285">
        <v>127.35</v>
      </c>
    </row>
    <row r="286" spans="1:19" x14ac:dyDescent="0.25">
      <c r="A286" s="6">
        <v>44321</v>
      </c>
      <c r="B286">
        <v>47.25</v>
      </c>
      <c r="C286">
        <v>66.38</v>
      </c>
      <c r="D286">
        <v>81.81</v>
      </c>
      <c r="E286">
        <v>93.14</v>
      </c>
      <c r="F286">
        <v>81.03</v>
      </c>
      <c r="G286">
        <v>65.63</v>
      </c>
      <c r="H286">
        <v>68.959999999999994</v>
      </c>
      <c r="I286">
        <v>66.650000000000006</v>
      </c>
      <c r="J286">
        <v>60.97</v>
      </c>
      <c r="K286">
        <v>16.48</v>
      </c>
      <c r="L286">
        <v>67346.19</v>
      </c>
      <c r="M286">
        <v>61306.62</v>
      </c>
      <c r="N286">
        <v>8.9700000000000006</v>
      </c>
      <c r="O286">
        <v>6.9559999999999997E-2</v>
      </c>
      <c r="P286">
        <v>2.9380000000000002</v>
      </c>
      <c r="Q286">
        <v>114.72</v>
      </c>
      <c r="R286">
        <v>23.96</v>
      </c>
      <c r="S286">
        <v>128.80000000000001</v>
      </c>
    </row>
    <row r="287" spans="1:19" x14ac:dyDescent="0.25">
      <c r="A287" s="6">
        <v>44322</v>
      </c>
      <c r="B287">
        <v>47.25</v>
      </c>
      <c r="C287">
        <v>66.38</v>
      </c>
      <c r="D287">
        <v>81.81</v>
      </c>
      <c r="E287">
        <v>93.14</v>
      </c>
      <c r="F287">
        <v>81.03</v>
      </c>
      <c r="G287">
        <v>64.709999999999994</v>
      </c>
      <c r="H287">
        <v>68.09</v>
      </c>
      <c r="I287">
        <v>66.010000000000005</v>
      </c>
      <c r="J287">
        <v>61.55</v>
      </c>
      <c r="K287">
        <v>16.98</v>
      </c>
      <c r="L287">
        <v>67608.89</v>
      </c>
      <c r="M287">
        <v>61501.06</v>
      </c>
      <c r="N287">
        <v>9.06</v>
      </c>
      <c r="O287">
        <v>7.0309999999999997E-2</v>
      </c>
      <c r="P287">
        <v>2.9279999999999999</v>
      </c>
      <c r="Q287">
        <v>113.62</v>
      </c>
      <c r="R287">
        <v>24.33</v>
      </c>
      <c r="S287">
        <v>131.66999999999999</v>
      </c>
    </row>
    <row r="288" spans="1:19" x14ac:dyDescent="0.25">
      <c r="A288" s="6">
        <v>44323</v>
      </c>
      <c r="B288">
        <v>52.56</v>
      </c>
      <c r="C288">
        <v>70.27</v>
      </c>
      <c r="D288">
        <v>86.39</v>
      </c>
      <c r="E288">
        <v>100.49</v>
      </c>
      <c r="F288">
        <v>84.03</v>
      </c>
      <c r="G288">
        <v>64.900000000000006</v>
      </c>
      <c r="H288">
        <v>68.28</v>
      </c>
      <c r="I288">
        <v>66.150000000000006</v>
      </c>
      <c r="J288">
        <v>62.43</v>
      </c>
      <c r="K288">
        <v>17.2</v>
      </c>
      <c r="L288">
        <v>68519.53</v>
      </c>
      <c r="M288">
        <v>62717.07</v>
      </c>
      <c r="N288">
        <v>9.0449999999999999</v>
      </c>
      <c r="O288">
        <v>7.1099999999999997E-2</v>
      </c>
      <c r="P288">
        <v>2.9580000000000002</v>
      </c>
      <c r="Q288">
        <v>114.81</v>
      </c>
      <c r="R288">
        <v>23.94</v>
      </c>
      <c r="S288">
        <v>129.87</v>
      </c>
    </row>
    <row r="289" spans="1:19" x14ac:dyDescent="0.25">
      <c r="A289" s="6">
        <v>44326</v>
      </c>
      <c r="B289">
        <v>52.56</v>
      </c>
      <c r="C289">
        <v>70.27</v>
      </c>
      <c r="D289">
        <v>86.39</v>
      </c>
      <c r="E289">
        <v>100.49</v>
      </c>
      <c r="F289">
        <v>84.03</v>
      </c>
      <c r="G289">
        <v>64.92</v>
      </c>
      <c r="H289">
        <v>68.319999999999993</v>
      </c>
      <c r="I289">
        <v>66.2</v>
      </c>
      <c r="J289">
        <v>62.58</v>
      </c>
      <c r="K289">
        <v>18.16</v>
      </c>
      <c r="L289">
        <v>68377.23</v>
      </c>
      <c r="M289">
        <v>62540.13</v>
      </c>
      <c r="N289">
        <v>9.1199999999999992</v>
      </c>
      <c r="O289">
        <v>7.1150000000000005E-2</v>
      </c>
      <c r="P289">
        <v>2.9319999999999999</v>
      </c>
      <c r="Q289">
        <v>114.28</v>
      </c>
      <c r="R289">
        <v>25.19</v>
      </c>
      <c r="S289">
        <v>129.80000000000001</v>
      </c>
    </row>
    <row r="290" spans="1:19" x14ac:dyDescent="0.25">
      <c r="A290" s="6">
        <v>44327</v>
      </c>
      <c r="B290">
        <v>52.56</v>
      </c>
      <c r="C290">
        <v>70.27</v>
      </c>
      <c r="D290">
        <v>86.39</v>
      </c>
      <c r="E290">
        <v>100.49</v>
      </c>
      <c r="F290">
        <v>84.03</v>
      </c>
      <c r="G290">
        <v>65.28</v>
      </c>
      <c r="H290">
        <v>68.55</v>
      </c>
      <c r="I290">
        <v>66.319999999999993</v>
      </c>
      <c r="J290">
        <v>60.59</v>
      </c>
      <c r="K290">
        <v>17.8</v>
      </c>
      <c r="L290">
        <v>67241.2</v>
      </c>
      <c r="M290">
        <v>60938.02</v>
      </c>
      <c r="N290">
        <v>9.1150000000000002</v>
      </c>
      <c r="O290">
        <v>7.1379999999999999E-2</v>
      </c>
      <c r="P290">
        <v>2.9550000000000001</v>
      </c>
      <c r="Q290">
        <v>113.07</v>
      </c>
      <c r="R290">
        <v>25.805</v>
      </c>
      <c r="S290">
        <v>133.85</v>
      </c>
    </row>
    <row r="291" spans="1:19" x14ac:dyDescent="0.25">
      <c r="A291" s="6">
        <v>44328</v>
      </c>
      <c r="B291">
        <v>52.56</v>
      </c>
      <c r="C291">
        <v>70.27</v>
      </c>
      <c r="D291">
        <v>86.39</v>
      </c>
      <c r="E291">
        <v>100.49</v>
      </c>
      <c r="F291">
        <v>84.03</v>
      </c>
      <c r="G291">
        <v>66.08</v>
      </c>
      <c r="H291">
        <v>69.319999999999993</v>
      </c>
      <c r="I291">
        <v>66.77</v>
      </c>
      <c r="J291">
        <v>60.04</v>
      </c>
      <c r="K291">
        <v>18.079999999999998</v>
      </c>
      <c r="L291">
        <v>67424.27</v>
      </c>
      <c r="M291">
        <v>61297.23</v>
      </c>
      <c r="N291">
        <v>9.125</v>
      </c>
      <c r="O291">
        <v>7.0749999999999993E-2</v>
      </c>
      <c r="P291">
        <v>2.9689999999999999</v>
      </c>
      <c r="Q291">
        <v>111.46</v>
      </c>
      <c r="R291">
        <v>26.42</v>
      </c>
      <c r="S291">
        <v>132.63</v>
      </c>
    </row>
    <row r="292" spans="1:19" x14ac:dyDescent="0.25">
      <c r="A292" s="6">
        <v>44329</v>
      </c>
      <c r="B292">
        <v>52.56</v>
      </c>
      <c r="C292">
        <v>70.27</v>
      </c>
      <c r="D292">
        <v>86.39</v>
      </c>
      <c r="E292">
        <v>100.49</v>
      </c>
      <c r="F292">
        <v>84.03</v>
      </c>
      <c r="G292">
        <v>63.82</v>
      </c>
      <c r="H292">
        <v>67.05</v>
      </c>
      <c r="I292">
        <v>65.42</v>
      </c>
      <c r="J292">
        <v>59.3</v>
      </c>
      <c r="K292">
        <v>17.239999999999998</v>
      </c>
      <c r="L292">
        <v>66168.649999999994</v>
      </c>
      <c r="M292">
        <v>60187.040000000001</v>
      </c>
      <c r="N292">
        <v>9.125</v>
      </c>
      <c r="O292">
        <v>7.0809999999999998E-2</v>
      </c>
      <c r="P292">
        <v>2.9729999999999999</v>
      </c>
      <c r="Q292">
        <v>112.17</v>
      </c>
      <c r="R292">
        <v>26.25</v>
      </c>
      <c r="S292">
        <v>124.45</v>
      </c>
    </row>
    <row r="293" spans="1:19" x14ac:dyDescent="0.25">
      <c r="A293" s="6">
        <v>44330</v>
      </c>
      <c r="B293">
        <v>55.17</v>
      </c>
      <c r="C293">
        <v>74.66</v>
      </c>
      <c r="D293">
        <v>93.04</v>
      </c>
      <c r="E293">
        <v>103.85</v>
      </c>
      <c r="F293">
        <v>87.32</v>
      </c>
      <c r="G293">
        <v>65.37</v>
      </c>
      <c r="H293">
        <v>68.709999999999994</v>
      </c>
      <c r="I293">
        <v>66.33</v>
      </c>
      <c r="J293">
        <v>60.77</v>
      </c>
      <c r="K293">
        <v>17.22</v>
      </c>
      <c r="L293">
        <v>66598.13</v>
      </c>
      <c r="M293">
        <v>61294.89</v>
      </c>
      <c r="N293">
        <v>9.1480472103004331</v>
      </c>
      <c r="O293">
        <v>7.0790000000000006E-2</v>
      </c>
      <c r="P293">
        <v>2.9609999999999999</v>
      </c>
      <c r="Q293">
        <v>113.26</v>
      </c>
      <c r="R293">
        <v>26.83</v>
      </c>
      <c r="S293">
        <v>124.45</v>
      </c>
    </row>
    <row r="294" spans="1:19" x14ac:dyDescent="0.25">
      <c r="A294" s="6">
        <v>44333</v>
      </c>
      <c r="B294">
        <v>55.17</v>
      </c>
      <c r="C294">
        <v>74.66</v>
      </c>
      <c r="D294">
        <v>93.04</v>
      </c>
      <c r="E294">
        <v>103.85</v>
      </c>
      <c r="F294">
        <v>87.32</v>
      </c>
      <c r="G294">
        <v>66.27</v>
      </c>
      <c r="H294">
        <v>69.459999999999994</v>
      </c>
      <c r="I294">
        <v>66.819999999999993</v>
      </c>
      <c r="J294">
        <v>62.19</v>
      </c>
      <c r="K294">
        <v>17.32</v>
      </c>
      <c r="L294">
        <v>67217.11</v>
      </c>
      <c r="M294">
        <v>63487.77</v>
      </c>
      <c r="N294">
        <v>10.33</v>
      </c>
      <c r="O294">
        <v>7.0809999999999998E-2</v>
      </c>
      <c r="P294">
        <v>3.109</v>
      </c>
      <c r="Q294">
        <v>112.47</v>
      </c>
      <c r="R294">
        <v>26.31</v>
      </c>
      <c r="S294">
        <v>123.77</v>
      </c>
    </row>
    <row r="295" spans="1:19" x14ac:dyDescent="0.25">
      <c r="A295" s="6">
        <v>44334</v>
      </c>
      <c r="B295">
        <v>55.17</v>
      </c>
      <c r="C295">
        <v>74.66</v>
      </c>
      <c r="D295">
        <v>93.04</v>
      </c>
      <c r="E295">
        <v>103.85</v>
      </c>
      <c r="F295">
        <v>87.32</v>
      </c>
      <c r="G295">
        <v>65.489999999999995</v>
      </c>
      <c r="H295">
        <v>68.709999999999994</v>
      </c>
      <c r="I295">
        <v>66.64</v>
      </c>
      <c r="J295">
        <v>60.43</v>
      </c>
      <c r="K295">
        <v>17.7</v>
      </c>
      <c r="L295">
        <v>67254.92</v>
      </c>
      <c r="M295">
        <v>64163.040000000001</v>
      </c>
      <c r="N295">
        <v>9.99</v>
      </c>
      <c r="O295">
        <v>7.1419999999999997E-2</v>
      </c>
      <c r="P295">
        <v>3.012</v>
      </c>
      <c r="Q295">
        <v>110.76</v>
      </c>
      <c r="R295">
        <v>24.81</v>
      </c>
      <c r="S295">
        <v>125.62</v>
      </c>
    </row>
    <row r="296" spans="1:19" x14ac:dyDescent="0.25">
      <c r="A296" s="6">
        <v>44335</v>
      </c>
      <c r="B296">
        <v>55.17</v>
      </c>
      <c r="C296">
        <v>74.66</v>
      </c>
      <c r="D296">
        <v>93.04</v>
      </c>
      <c r="E296">
        <v>103.85</v>
      </c>
      <c r="F296">
        <v>87.32</v>
      </c>
      <c r="G296">
        <v>63.36</v>
      </c>
      <c r="H296">
        <v>66.66</v>
      </c>
      <c r="I296">
        <v>65.92</v>
      </c>
      <c r="J296">
        <v>58.98</v>
      </c>
      <c r="K296">
        <v>17.360858369098423</v>
      </c>
      <c r="L296">
        <v>65855.81</v>
      </c>
      <c r="M296">
        <v>62509.45</v>
      </c>
      <c r="N296">
        <v>9.4700000000000006</v>
      </c>
      <c r="O296">
        <v>7.084E-2</v>
      </c>
      <c r="P296">
        <v>2.964</v>
      </c>
      <c r="Q296">
        <v>110.74</v>
      </c>
      <c r="R296">
        <v>22.664999999999999</v>
      </c>
      <c r="S296">
        <v>127.27</v>
      </c>
    </row>
    <row r="297" spans="1:19" x14ac:dyDescent="0.25">
      <c r="A297" s="6">
        <v>44336</v>
      </c>
      <c r="B297">
        <v>55.17</v>
      </c>
      <c r="C297">
        <v>74.66</v>
      </c>
      <c r="D297">
        <v>93.04</v>
      </c>
      <c r="E297">
        <v>103.85</v>
      </c>
      <c r="F297">
        <v>87.32</v>
      </c>
      <c r="G297">
        <v>62.05</v>
      </c>
      <c r="H297">
        <v>65.11</v>
      </c>
      <c r="I297">
        <v>65.39</v>
      </c>
      <c r="J297">
        <v>58.84</v>
      </c>
      <c r="K297">
        <v>16.84</v>
      </c>
      <c r="L297">
        <v>66124.44</v>
      </c>
      <c r="M297">
        <v>62653.04</v>
      </c>
      <c r="N297">
        <v>10.050000000000001</v>
      </c>
      <c r="O297">
        <v>7.1510000000000004E-2</v>
      </c>
      <c r="P297">
        <v>2.9249999999999998</v>
      </c>
      <c r="Q297">
        <v>111.96</v>
      </c>
      <c r="R297">
        <v>24.684999999999999</v>
      </c>
      <c r="S297">
        <v>120.38</v>
      </c>
    </row>
    <row r="298" spans="1:19" x14ac:dyDescent="0.25">
      <c r="A298" s="6">
        <v>44337</v>
      </c>
      <c r="B298">
        <v>57.22</v>
      </c>
      <c r="C298">
        <v>76.72</v>
      </c>
      <c r="D298">
        <v>91.69</v>
      </c>
      <c r="E298">
        <v>105.4</v>
      </c>
      <c r="F298">
        <v>88.39</v>
      </c>
      <c r="G298">
        <v>63.58</v>
      </c>
      <c r="H298">
        <v>66.44</v>
      </c>
      <c r="I298">
        <v>65.73</v>
      </c>
      <c r="J298">
        <v>58.92</v>
      </c>
      <c r="K298">
        <v>17.059999999999999</v>
      </c>
      <c r="L298">
        <v>66238.929999999993</v>
      </c>
      <c r="M298">
        <v>61719.83</v>
      </c>
      <c r="N298">
        <v>9.98</v>
      </c>
      <c r="O298">
        <v>7.1580000000000005E-2</v>
      </c>
      <c r="P298">
        <v>2.9060000000000001</v>
      </c>
      <c r="Q298">
        <v>113.16</v>
      </c>
      <c r="R298">
        <v>24.795000000000002</v>
      </c>
      <c r="S298">
        <v>124.07</v>
      </c>
    </row>
    <row r="299" spans="1:19" x14ac:dyDescent="0.25">
      <c r="A299" s="6">
        <v>44340</v>
      </c>
      <c r="B299">
        <v>57.22</v>
      </c>
      <c r="C299">
        <v>76.72</v>
      </c>
      <c r="D299">
        <v>91.69</v>
      </c>
      <c r="E299">
        <v>105.4</v>
      </c>
      <c r="F299">
        <v>88.39</v>
      </c>
      <c r="G299">
        <v>66.05</v>
      </c>
      <c r="H299">
        <v>68.459999999999994</v>
      </c>
      <c r="I299">
        <v>66.260000000000005</v>
      </c>
      <c r="J299">
        <v>59.61</v>
      </c>
      <c r="K299">
        <v>16.940000000000001</v>
      </c>
      <c r="L299">
        <v>66054.92</v>
      </c>
      <c r="M299">
        <v>60580.76</v>
      </c>
      <c r="N299">
        <v>10.074999999999999</v>
      </c>
      <c r="O299">
        <v>7.177E-2</v>
      </c>
      <c r="P299">
        <v>2.8860000000000001</v>
      </c>
      <c r="Q299">
        <v>112.97</v>
      </c>
      <c r="R299">
        <v>24.76</v>
      </c>
      <c r="S299">
        <v>122.4</v>
      </c>
    </row>
    <row r="300" spans="1:19" x14ac:dyDescent="0.25">
      <c r="A300" s="6">
        <v>44341</v>
      </c>
      <c r="B300">
        <v>57.22</v>
      </c>
      <c r="C300">
        <v>76.72</v>
      </c>
      <c r="D300">
        <v>91.69</v>
      </c>
      <c r="E300">
        <v>105.4</v>
      </c>
      <c r="F300">
        <v>88.39</v>
      </c>
      <c r="G300">
        <v>66.069999999999993</v>
      </c>
      <c r="H300">
        <v>68.650000000000006</v>
      </c>
      <c r="I300">
        <v>66.3</v>
      </c>
      <c r="J300">
        <v>58.26</v>
      </c>
      <c r="K300">
        <v>17.2</v>
      </c>
      <c r="L300">
        <v>66076.679999999993</v>
      </c>
      <c r="M300">
        <v>60346.74</v>
      </c>
      <c r="N300">
        <v>10.6</v>
      </c>
      <c r="O300">
        <v>7.2099999999999997E-2</v>
      </c>
      <c r="P300">
        <v>2.9129999999999998</v>
      </c>
      <c r="Q300">
        <v>112.38</v>
      </c>
      <c r="R300">
        <v>26.19</v>
      </c>
      <c r="S300">
        <v>120.02</v>
      </c>
    </row>
    <row r="301" spans="1:19" x14ac:dyDescent="0.25">
      <c r="A301" s="6">
        <v>44342</v>
      </c>
      <c r="B301">
        <v>57.22</v>
      </c>
      <c r="C301">
        <v>76.72</v>
      </c>
      <c r="D301">
        <v>91.69</v>
      </c>
      <c r="E301">
        <v>105.4</v>
      </c>
      <c r="F301">
        <v>88.39</v>
      </c>
      <c r="G301">
        <v>66.209999999999994</v>
      </c>
      <c r="H301">
        <v>68.87</v>
      </c>
      <c r="I301">
        <v>66.33</v>
      </c>
      <c r="J301">
        <v>58.94</v>
      </c>
      <c r="K301">
        <v>17</v>
      </c>
      <c r="L301">
        <v>66108.23</v>
      </c>
      <c r="M301">
        <v>59503.5</v>
      </c>
      <c r="N301">
        <v>10.625</v>
      </c>
      <c r="O301">
        <v>7.2569999999999996E-2</v>
      </c>
      <c r="P301">
        <v>2.984</v>
      </c>
      <c r="Q301">
        <v>112.37</v>
      </c>
      <c r="R301">
        <v>26.425000000000001</v>
      </c>
      <c r="S301">
        <v>118.82</v>
      </c>
    </row>
    <row r="302" spans="1:19" x14ac:dyDescent="0.25">
      <c r="A302" s="6">
        <v>44343</v>
      </c>
      <c r="B302">
        <v>57.22</v>
      </c>
      <c r="C302">
        <v>76.72</v>
      </c>
      <c r="D302">
        <v>91.69</v>
      </c>
      <c r="E302">
        <v>105.4</v>
      </c>
      <c r="F302">
        <v>88.39</v>
      </c>
      <c r="G302">
        <v>66.849999999999994</v>
      </c>
      <c r="H302">
        <v>69.459999999999994</v>
      </c>
      <c r="I302">
        <v>66.319999999999993</v>
      </c>
      <c r="J302">
        <v>58.56</v>
      </c>
      <c r="K302">
        <v>16.98</v>
      </c>
      <c r="L302">
        <v>66940.25</v>
      </c>
      <c r="M302">
        <v>60623.040000000001</v>
      </c>
      <c r="N302">
        <v>10.375</v>
      </c>
      <c r="O302">
        <v>7.2639999999999996E-2</v>
      </c>
      <c r="P302">
        <v>2.9580000000000002</v>
      </c>
      <c r="Q302">
        <v>112.02</v>
      </c>
      <c r="R302">
        <v>25.2</v>
      </c>
      <c r="S302">
        <v>117.55</v>
      </c>
    </row>
    <row r="303" spans="1:19" x14ac:dyDescent="0.25">
      <c r="A303" s="6">
        <v>44344</v>
      </c>
      <c r="B303">
        <v>59.18</v>
      </c>
      <c r="C303">
        <v>78.599999999999994</v>
      </c>
      <c r="D303">
        <v>94.65</v>
      </c>
      <c r="E303">
        <v>112.1</v>
      </c>
      <c r="F303">
        <v>92.26</v>
      </c>
      <c r="G303">
        <v>66.319999999999993</v>
      </c>
      <c r="H303">
        <v>69.63</v>
      </c>
      <c r="I303">
        <v>66.28</v>
      </c>
      <c r="J303">
        <v>58.37</v>
      </c>
      <c r="K303">
        <v>17.14</v>
      </c>
      <c r="L303">
        <v>67554.86</v>
      </c>
      <c r="M303">
        <v>60174.42</v>
      </c>
      <c r="N303">
        <v>10.4</v>
      </c>
      <c r="O303">
        <v>7.2609999999999994E-2</v>
      </c>
      <c r="P303">
        <v>2.9860000000000002</v>
      </c>
      <c r="Q303">
        <v>112.88</v>
      </c>
      <c r="R303">
        <v>24.93</v>
      </c>
      <c r="S303">
        <v>120.42</v>
      </c>
    </row>
    <row r="304" spans="1:19" x14ac:dyDescent="0.25">
      <c r="A304" s="6">
        <v>44347</v>
      </c>
      <c r="B304">
        <v>59.18</v>
      </c>
      <c r="C304">
        <v>78.599999999999994</v>
      </c>
      <c r="D304">
        <v>94.65</v>
      </c>
      <c r="E304">
        <v>112.1</v>
      </c>
      <c r="F304">
        <v>92.26</v>
      </c>
      <c r="G304">
        <v>66.959999999999994</v>
      </c>
      <c r="H304">
        <v>69.319999999999993</v>
      </c>
      <c r="I304">
        <v>67.384999999999991</v>
      </c>
      <c r="J304">
        <v>59.414999999999999</v>
      </c>
      <c r="K304">
        <v>17.579999999999998</v>
      </c>
      <c r="L304">
        <v>67964.039999999994</v>
      </c>
      <c r="M304">
        <v>62728.46</v>
      </c>
      <c r="N304">
        <v>10.765810810811217</v>
      </c>
      <c r="O304">
        <v>7.2770000000000001E-2</v>
      </c>
      <c r="P304">
        <v>3.0550000000000002</v>
      </c>
      <c r="Q304">
        <v>111.345</v>
      </c>
      <c r="R304">
        <v>25.452500000000001</v>
      </c>
      <c r="S304">
        <v>119.15</v>
      </c>
    </row>
    <row r="305" spans="1:19" x14ac:dyDescent="0.25">
      <c r="A305" s="6">
        <v>44348</v>
      </c>
      <c r="B305">
        <v>59.18</v>
      </c>
      <c r="C305">
        <v>78.599999999999994</v>
      </c>
      <c r="D305">
        <v>94.65</v>
      </c>
      <c r="E305">
        <v>112.1</v>
      </c>
      <c r="F305">
        <v>92.26</v>
      </c>
      <c r="G305">
        <v>67.72</v>
      </c>
      <c r="H305">
        <v>70.25</v>
      </c>
      <c r="I305">
        <v>68.489999999999995</v>
      </c>
      <c r="J305">
        <v>60.46</v>
      </c>
      <c r="K305">
        <v>17.48</v>
      </c>
      <c r="L305">
        <v>68922.86</v>
      </c>
      <c r="M305">
        <v>62087.76</v>
      </c>
      <c r="N305">
        <v>10.65</v>
      </c>
      <c r="O305">
        <v>7.2669999999999998E-2</v>
      </c>
      <c r="P305">
        <v>3.1040000000000001</v>
      </c>
      <c r="Q305">
        <v>109.81</v>
      </c>
      <c r="R305">
        <v>25.975000000000001</v>
      </c>
      <c r="S305">
        <v>117.27</v>
      </c>
    </row>
    <row r="306" spans="1:19" x14ac:dyDescent="0.25">
      <c r="A306" s="6">
        <v>44349</v>
      </c>
      <c r="B306">
        <v>59.18</v>
      </c>
      <c r="C306">
        <v>78.599999999999994</v>
      </c>
      <c r="D306">
        <v>94.65</v>
      </c>
      <c r="E306">
        <v>112.1</v>
      </c>
      <c r="F306">
        <v>92.26</v>
      </c>
      <c r="G306">
        <v>68.83</v>
      </c>
      <c r="H306">
        <v>71.349999999999994</v>
      </c>
      <c r="I306">
        <v>69.5</v>
      </c>
      <c r="J306">
        <v>60.94</v>
      </c>
      <c r="K306">
        <v>17.48</v>
      </c>
      <c r="L306">
        <v>69049.039999999994</v>
      </c>
      <c r="M306">
        <v>61908.14</v>
      </c>
      <c r="N306">
        <v>10.625</v>
      </c>
      <c r="O306">
        <v>7.3929999999999996E-2</v>
      </c>
      <c r="P306">
        <v>3.0750000000000002</v>
      </c>
      <c r="Q306">
        <v>111.75</v>
      </c>
      <c r="R306">
        <v>25.725000000000001</v>
      </c>
      <c r="S306">
        <v>118.23</v>
      </c>
    </row>
    <row r="307" spans="1:19" x14ac:dyDescent="0.25">
      <c r="A307" s="6">
        <v>44350</v>
      </c>
      <c r="B307">
        <v>59.18</v>
      </c>
      <c r="C307">
        <v>78.599999999999994</v>
      </c>
      <c r="D307">
        <v>94.65</v>
      </c>
      <c r="E307">
        <v>112.1</v>
      </c>
      <c r="F307">
        <v>92.26</v>
      </c>
      <c r="G307">
        <v>68.81</v>
      </c>
      <c r="H307">
        <v>71.31</v>
      </c>
      <c r="I307">
        <v>69.47</v>
      </c>
      <c r="J307">
        <v>61.18</v>
      </c>
      <c r="K307">
        <v>17.559999999999999</v>
      </c>
      <c r="L307">
        <v>67791.38</v>
      </c>
      <c r="M307">
        <v>60169.48</v>
      </c>
      <c r="N307">
        <v>10.625</v>
      </c>
      <c r="O307">
        <v>7.3289999999999994E-2</v>
      </c>
      <c r="P307">
        <v>3.0409999999999999</v>
      </c>
      <c r="Q307">
        <v>111.6</v>
      </c>
      <c r="R307">
        <v>25.704999999999998</v>
      </c>
      <c r="S307">
        <v>119</v>
      </c>
    </row>
    <row r="308" spans="1:19" x14ac:dyDescent="0.25">
      <c r="A308" s="6">
        <v>44351</v>
      </c>
      <c r="B308">
        <v>61.73</v>
      </c>
      <c r="C308">
        <v>82.33</v>
      </c>
      <c r="D308">
        <v>98.66</v>
      </c>
      <c r="E308">
        <v>112.6</v>
      </c>
      <c r="F308">
        <v>96.44</v>
      </c>
      <c r="G308">
        <v>69.62</v>
      </c>
      <c r="H308">
        <v>71.89</v>
      </c>
      <c r="I308">
        <v>70.03</v>
      </c>
      <c r="J308">
        <v>61.45</v>
      </c>
      <c r="K308">
        <v>17.399999999999999</v>
      </c>
      <c r="L308">
        <v>67825.02</v>
      </c>
      <c r="M308">
        <v>60181.36</v>
      </c>
      <c r="N308">
        <v>10.605</v>
      </c>
      <c r="O308">
        <v>7.4349999999999999E-2</v>
      </c>
      <c r="P308">
        <v>3.097</v>
      </c>
      <c r="Q308">
        <v>112.18</v>
      </c>
      <c r="R308">
        <v>25.795000000000002</v>
      </c>
      <c r="S308">
        <v>118.33</v>
      </c>
    </row>
    <row r="309" spans="1:19" x14ac:dyDescent="0.25">
      <c r="A309" s="6">
        <v>44354</v>
      </c>
      <c r="B309">
        <v>61.73</v>
      </c>
      <c r="C309">
        <v>82.33</v>
      </c>
      <c r="D309">
        <v>98.66</v>
      </c>
      <c r="E309">
        <v>112.6</v>
      </c>
      <c r="F309">
        <v>96.44</v>
      </c>
      <c r="G309">
        <v>69.23</v>
      </c>
      <c r="H309">
        <v>71.489999999999995</v>
      </c>
      <c r="I309">
        <v>69.84</v>
      </c>
      <c r="J309">
        <v>61.05</v>
      </c>
      <c r="K309">
        <v>17.46</v>
      </c>
      <c r="L309">
        <v>67575.42</v>
      </c>
      <c r="M309">
        <v>59406.03</v>
      </c>
      <c r="N309">
        <v>10.675000000000001</v>
      </c>
      <c r="O309">
        <v>7.4050000000000005E-2</v>
      </c>
      <c r="P309">
        <v>3.07</v>
      </c>
      <c r="Q309">
        <v>110.4</v>
      </c>
      <c r="R309">
        <v>26.49</v>
      </c>
      <c r="S309">
        <v>121.73</v>
      </c>
    </row>
    <row r="310" spans="1:19" x14ac:dyDescent="0.25">
      <c r="A310" s="6">
        <v>44355</v>
      </c>
      <c r="B310">
        <v>61.73</v>
      </c>
      <c r="C310">
        <v>82.33</v>
      </c>
      <c r="D310">
        <v>98.66</v>
      </c>
      <c r="E310">
        <v>112.6</v>
      </c>
      <c r="F310">
        <v>96.44</v>
      </c>
      <c r="G310">
        <v>70.05</v>
      </c>
      <c r="H310">
        <v>72.22</v>
      </c>
      <c r="I310">
        <v>70.36</v>
      </c>
      <c r="J310">
        <v>62.13</v>
      </c>
      <c r="K310">
        <v>17.32</v>
      </c>
      <c r="L310">
        <v>67644.84</v>
      </c>
      <c r="M310">
        <v>58555.01</v>
      </c>
      <c r="N310">
        <v>10.85</v>
      </c>
      <c r="O310">
        <v>7.3630000000000001E-2</v>
      </c>
      <c r="P310">
        <v>3.1280000000000001</v>
      </c>
      <c r="Q310">
        <v>111.08</v>
      </c>
      <c r="R310">
        <v>27.8</v>
      </c>
      <c r="S310">
        <v>123.62</v>
      </c>
    </row>
    <row r="311" spans="1:19" x14ac:dyDescent="0.25">
      <c r="A311" s="6">
        <v>44356</v>
      </c>
      <c r="B311">
        <v>61.73</v>
      </c>
      <c r="C311">
        <v>82.33</v>
      </c>
      <c r="D311">
        <v>98.66</v>
      </c>
      <c r="E311">
        <v>112.6</v>
      </c>
      <c r="F311">
        <v>96.44</v>
      </c>
      <c r="G311">
        <v>69.959999999999994</v>
      </c>
      <c r="H311">
        <v>72.22</v>
      </c>
      <c r="I311">
        <v>70.34</v>
      </c>
      <c r="J311">
        <v>62.65</v>
      </c>
      <c r="K311">
        <v>17.52</v>
      </c>
      <c r="L311">
        <v>67681.47</v>
      </c>
      <c r="M311">
        <v>58519.58</v>
      </c>
      <c r="N311">
        <v>10.9</v>
      </c>
      <c r="O311">
        <v>7.2639999999999996E-2</v>
      </c>
      <c r="P311">
        <v>3.129</v>
      </c>
      <c r="Q311">
        <v>110.85</v>
      </c>
      <c r="R311">
        <v>28.3</v>
      </c>
      <c r="S311">
        <v>119.82</v>
      </c>
    </row>
    <row r="312" spans="1:19" x14ac:dyDescent="0.25">
      <c r="A312" s="6">
        <v>44357</v>
      </c>
      <c r="B312">
        <v>61.73</v>
      </c>
      <c r="C312">
        <v>82.33</v>
      </c>
      <c r="D312">
        <v>98.66</v>
      </c>
      <c r="E312">
        <v>112.6</v>
      </c>
      <c r="F312">
        <v>96.44</v>
      </c>
      <c r="G312">
        <v>70.290000000000006</v>
      </c>
      <c r="H312">
        <v>72.52</v>
      </c>
      <c r="I312">
        <v>70.52</v>
      </c>
      <c r="J312">
        <v>62.75</v>
      </c>
      <c r="K312">
        <v>17.48</v>
      </c>
      <c r="L312">
        <v>67542.84</v>
      </c>
      <c r="M312">
        <v>58148.22</v>
      </c>
      <c r="N312">
        <v>10.925000000000001</v>
      </c>
      <c r="O312">
        <v>7.3480000000000004E-2</v>
      </c>
      <c r="P312">
        <v>3.149</v>
      </c>
      <c r="Q312">
        <v>111.72</v>
      </c>
      <c r="R312">
        <v>28.684999999999999</v>
      </c>
      <c r="S312">
        <v>121.05</v>
      </c>
    </row>
    <row r="313" spans="1:19" x14ac:dyDescent="0.25">
      <c r="A313" s="6">
        <v>44358</v>
      </c>
      <c r="B313">
        <v>66.44</v>
      </c>
      <c r="C313">
        <v>86.03</v>
      </c>
      <c r="D313">
        <v>101.82</v>
      </c>
      <c r="E313">
        <v>117.59</v>
      </c>
      <c r="F313">
        <v>99.19</v>
      </c>
      <c r="G313">
        <v>70.91</v>
      </c>
      <c r="H313">
        <v>72.69</v>
      </c>
      <c r="I313">
        <v>70.61</v>
      </c>
      <c r="J313">
        <v>62.17</v>
      </c>
      <c r="K313">
        <v>17.66</v>
      </c>
      <c r="L313">
        <v>67723.91</v>
      </c>
      <c r="M313">
        <v>57991.43</v>
      </c>
      <c r="N313">
        <v>10.92</v>
      </c>
      <c r="O313">
        <v>7.3039999999999994E-2</v>
      </c>
      <c r="P313">
        <v>3.2959999999999998</v>
      </c>
      <c r="Q313">
        <v>112.67</v>
      </c>
      <c r="R313">
        <v>27.844999999999999</v>
      </c>
      <c r="S313">
        <v>121.58</v>
      </c>
    </row>
    <row r="314" spans="1:19" x14ac:dyDescent="0.25">
      <c r="A314" s="6">
        <v>44361</v>
      </c>
      <c r="B314">
        <v>66.44</v>
      </c>
      <c r="C314">
        <v>86.03</v>
      </c>
      <c r="D314">
        <v>101.82</v>
      </c>
      <c r="E314">
        <v>117.59</v>
      </c>
      <c r="F314">
        <v>99.19</v>
      </c>
      <c r="G314">
        <v>70.88</v>
      </c>
      <c r="H314">
        <v>72.86</v>
      </c>
      <c r="I314">
        <v>70.78</v>
      </c>
      <c r="J314">
        <v>62.07</v>
      </c>
      <c r="K314">
        <v>17.648648648648759</v>
      </c>
      <c r="L314">
        <v>67941.48</v>
      </c>
      <c r="M314">
        <v>57314.66</v>
      </c>
      <c r="N314">
        <v>10.92</v>
      </c>
      <c r="O314">
        <v>7.2569999999999996E-2</v>
      </c>
      <c r="P314">
        <v>3.3519999999999999</v>
      </c>
      <c r="Q314">
        <v>113.84</v>
      </c>
      <c r="R314">
        <v>28.81</v>
      </c>
      <c r="S314">
        <v>122</v>
      </c>
    </row>
    <row r="315" spans="1:19" x14ac:dyDescent="0.25">
      <c r="A315" s="6">
        <v>44362</v>
      </c>
      <c r="B315">
        <v>66.44</v>
      </c>
      <c r="C315">
        <v>86.03</v>
      </c>
      <c r="D315">
        <v>101.82</v>
      </c>
      <c r="E315">
        <v>117.59</v>
      </c>
      <c r="F315">
        <v>99.19</v>
      </c>
      <c r="G315">
        <v>72.12</v>
      </c>
      <c r="H315">
        <v>73.989999999999995</v>
      </c>
      <c r="I315">
        <v>71.39</v>
      </c>
      <c r="J315">
        <v>64.33</v>
      </c>
      <c r="K315">
        <v>17.54</v>
      </c>
      <c r="L315">
        <v>67310.570000000007</v>
      </c>
      <c r="M315">
        <v>56313.69</v>
      </c>
      <c r="N315">
        <v>10.923999999999999</v>
      </c>
      <c r="O315">
        <v>7.2569999999999996E-2</v>
      </c>
      <c r="P315">
        <v>3.24</v>
      </c>
      <c r="Q315">
        <v>114.04</v>
      </c>
      <c r="R315">
        <v>28.135000000000002</v>
      </c>
      <c r="S315">
        <v>125.12</v>
      </c>
    </row>
    <row r="316" spans="1:19" x14ac:dyDescent="0.25">
      <c r="A316" s="6">
        <v>44363</v>
      </c>
      <c r="B316">
        <v>66.44</v>
      </c>
      <c r="C316">
        <v>86.03</v>
      </c>
      <c r="D316">
        <v>101.82</v>
      </c>
      <c r="E316">
        <v>117.59</v>
      </c>
      <c r="F316">
        <v>99.19</v>
      </c>
      <c r="G316">
        <v>72.150000000000006</v>
      </c>
      <c r="H316">
        <v>74.39</v>
      </c>
      <c r="I316">
        <v>71.56</v>
      </c>
      <c r="J316">
        <v>64.099999999999994</v>
      </c>
      <c r="K316">
        <v>17.54</v>
      </c>
      <c r="L316">
        <v>67589.27004291839</v>
      </c>
      <c r="M316">
        <v>56380.650772530586</v>
      </c>
      <c r="N316">
        <v>11.63</v>
      </c>
      <c r="O316">
        <v>7.1309999999999998E-2</v>
      </c>
      <c r="P316">
        <v>3.2509999999999999</v>
      </c>
      <c r="Q316">
        <v>113.84</v>
      </c>
      <c r="R316">
        <v>28.03</v>
      </c>
      <c r="S316">
        <v>124.88</v>
      </c>
    </row>
    <row r="317" spans="1:19" x14ac:dyDescent="0.25">
      <c r="A317" s="6">
        <v>44364</v>
      </c>
      <c r="B317">
        <v>66.44</v>
      </c>
      <c r="C317">
        <v>86.03</v>
      </c>
      <c r="D317">
        <v>101.82</v>
      </c>
      <c r="E317">
        <v>117.59</v>
      </c>
      <c r="F317">
        <v>99.19</v>
      </c>
      <c r="G317">
        <v>71.040000000000006</v>
      </c>
      <c r="H317">
        <v>73.08</v>
      </c>
      <c r="I317">
        <v>70.94</v>
      </c>
      <c r="J317">
        <v>61.99</v>
      </c>
      <c r="K317">
        <v>17.5</v>
      </c>
      <c r="L317">
        <v>66585.48</v>
      </c>
      <c r="M317">
        <v>53467.97</v>
      </c>
      <c r="N317">
        <v>11.595000000000001</v>
      </c>
      <c r="O317">
        <v>7.0989999999999998E-2</v>
      </c>
      <c r="P317">
        <v>3.2530000000000001</v>
      </c>
      <c r="Q317">
        <v>114.02</v>
      </c>
      <c r="R317">
        <v>28.31</v>
      </c>
      <c r="S317">
        <v>124.37</v>
      </c>
    </row>
    <row r="318" spans="1:19" x14ac:dyDescent="0.25">
      <c r="A318" s="6">
        <v>44365</v>
      </c>
      <c r="B318">
        <v>65.540000000000006</v>
      </c>
      <c r="C318">
        <v>86.48</v>
      </c>
      <c r="D318">
        <v>103.31</v>
      </c>
      <c r="E318">
        <v>116.28</v>
      </c>
      <c r="F318">
        <v>102.04</v>
      </c>
      <c r="G318">
        <v>71.64</v>
      </c>
      <c r="H318">
        <v>73.510000000000005</v>
      </c>
      <c r="I318">
        <v>71.069999999999993</v>
      </c>
      <c r="J318">
        <v>60.4</v>
      </c>
      <c r="K318">
        <v>16.940000000000001</v>
      </c>
      <c r="L318">
        <v>65635.23</v>
      </c>
      <c r="M318">
        <v>53988.66</v>
      </c>
      <c r="N318">
        <v>11.87</v>
      </c>
      <c r="O318">
        <v>6.9470000000000004E-2</v>
      </c>
      <c r="P318">
        <v>3.2149999999999999</v>
      </c>
      <c r="Q318">
        <v>112.76</v>
      </c>
      <c r="R318">
        <v>29.405000000000001</v>
      </c>
      <c r="S318">
        <v>126.08</v>
      </c>
    </row>
    <row r="319" spans="1:19" x14ac:dyDescent="0.25">
      <c r="A319" s="6">
        <v>44368</v>
      </c>
      <c r="B319">
        <v>65.540000000000006</v>
      </c>
      <c r="C319">
        <v>86.48</v>
      </c>
      <c r="D319">
        <v>103.31</v>
      </c>
      <c r="E319">
        <v>116.28</v>
      </c>
      <c r="F319">
        <v>102.04</v>
      </c>
      <c r="G319">
        <v>73.66</v>
      </c>
      <c r="H319">
        <v>74.900000000000006</v>
      </c>
      <c r="I319">
        <v>71.48</v>
      </c>
      <c r="J319">
        <v>62.59</v>
      </c>
      <c r="K319">
        <v>16.88</v>
      </c>
      <c r="L319">
        <v>65563.48</v>
      </c>
      <c r="M319">
        <v>53504.33</v>
      </c>
      <c r="N319">
        <v>11.95</v>
      </c>
      <c r="O319">
        <v>7.0220000000000005E-2</v>
      </c>
      <c r="P319">
        <v>3.1909999999999998</v>
      </c>
      <c r="Q319">
        <v>113.7</v>
      </c>
      <c r="R319">
        <v>29.614999999999998</v>
      </c>
      <c r="S319">
        <v>125.17</v>
      </c>
    </row>
    <row r="320" spans="1:19" x14ac:dyDescent="0.25">
      <c r="A320" s="6">
        <v>44369</v>
      </c>
      <c r="B320">
        <v>65.540000000000006</v>
      </c>
      <c r="C320">
        <v>86.48</v>
      </c>
      <c r="D320">
        <v>103.31</v>
      </c>
      <c r="E320">
        <v>116.28</v>
      </c>
      <c r="F320">
        <v>102.04</v>
      </c>
      <c r="G320">
        <v>73.06</v>
      </c>
      <c r="H320">
        <v>74.81</v>
      </c>
      <c r="I320">
        <v>71.41</v>
      </c>
      <c r="J320">
        <v>63.79</v>
      </c>
      <c r="K320">
        <v>16.940000000000001</v>
      </c>
      <c r="L320">
        <v>65551.73</v>
      </c>
      <c r="M320">
        <v>53340.08</v>
      </c>
      <c r="N320">
        <v>12.4</v>
      </c>
      <c r="O320">
        <v>7.0040000000000005E-2</v>
      </c>
      <c r="P320">
        <v>3.258</v>
      </c>
      <c r="Q320">
        <v>114.45</v>
      </c>
      <c r="R320">
        <v>30.734999999999999</v>
      </c>
      <c r="S320">
        <v>123.12</v>
      </c>
    </row>
    <row r="321" spans="1:19" x14ac:dyDescent="0.25">
      <c r="A321" s="6">
        <v>44370</v>
      </c>
      <c r="B321">
        <v>65.540000000000006</v>
      </c>
      <c r="C321">
        <v>86.48</v>
      </c>
      <c r="D321">
        <v>103.31</v>
      </c>
      <c r="E321">
        <v>116.28</v>
      </c>
      <c r="F321">
        <v>102.04</v>
      </c>
      <c r="G321">
        <v>73.08</v>
      </c>
      <c r="H321">
        <v>75.19</v>
      </c>
      <c r="I321">
        <v>71.52</v>
      </c>
      <c r="J321">
        <v>64.260000000000005</v>
      </c>
      <c r="K321">
        <v>17.36</v>
      </c>
      <c r="L321">
        <v>65819.63</v>
      </c>
      <c r="M321">
        <v>54982.21</v>
      </c>
      <c r="N321">
        <v>12.605</v>
      </c>
      <c r="O321">
        <v>7.0309999999999997E-2</v>
      </c>
      <c r="P321">
        <v>3.3330000000000002</v>
      </c>
      <c r="Q321">
        <v>116.64</v>
      </c>
      <c r="R321">
        <v>31.545000000000002</v>
      </c>
      <c r="S321">
        <v>123.73</v>
      </c>
    </row>
    <row r="322" spans="1:19" x14ac:dyDescent="0.25">
      <c r="A322" s="6">
        <v>44371</v>
      </c>
      <c r="B322">
        <v>65.540000000000006</v>
      </c>
      <c r="C322">
        <v>86.48</v>
      </c>
      <c r="D322">
        <v>103.31</v>
      </c>
      <c r="E322">
        <v>116.28</v>
      </c>
      <c r="F322">
        <v>102.04</v>
      </c>
      <c r="G322">
        <v>73.3</v>
      </c>
      <c r="H322">
        <v>75.56</v>
      </c>
      <c r="I322">
        <v>71.599999999999994</v>
      </c>
      <c r="J322">
        <v>64.52</v>
      </c>
      <c r="K322">
        <v>17.52</v>
      </c>
      <c r="L322">
        <v>66263.490000000005</v>
      </c>
      <c r="M322">
        <v>55247.91</v>
      </c>
      <c r="N322">
        <v>12.625</v>
      </c>
      <c r="O322">
        <v>7.0389999999999994E-2</v>
      </c>
      <c r="P322">
        <v>3.4180000000000001</v>
      </c>
      <c r="Q322">
        <v>118.09</v>
      </c>
      <c r="R322">
        <v>32.015000000000001</v>
      </c>
      <c r="S322">
        <v>124.83</v>
      </c>
    </row>
    <row r="323" spans="1:19" x14ac:dyDescent="0.25">
      <c r="A323" s="6">
        <v>44372</v>
      </c>
      <c r="B323">
        <v>68.08</v>
      </c>
      <c r="C323">
        <v>87.79</v>
      </c>
      <c r="D323">
        <v>105.41</v>
      </c>
      <c r="E323">
        <v>115.27</v>
      </c>
      <c r="F323">
        <v>103.28</v>
      </c>
      <c r="G323">
        <v>74.05</v>
      </c>
      <c r="H323">
        <v>76.180000000000007</v>
      </c>
      <c r="I323">
        <v>71.650000000000006</v>
      </c>
      <c r="J323">
        <v>64.66</v>
      </c>
      <c r="K323">
        <v>17.88</v>
      </c>
      <c r="L323">
        <v>66215.47</v>
      </c>
      <c r="M323">
        <v>54614.12</v>
      </c>
      <c r="N323">
        <v>12.755000000000001</v>
      </c>
      <c r="O323">
        <v>7.0639999999999994E-2</v>
      </c>
      <c r="P323">
        <v>3.496</v>
      </c>
      <c r="Q323">
        <v>119.32</v>
      </c>
      <c r="R323">
        <v>32.384999999999998</v>
      </c>
      <c r="S323">
        <v>125.27</v>
      </c>
    </row>
    <row r="324" spans="1:19" x14ac:dyDescent="0.25">
      <c r="A324" s="6">
        <v>44375</v>
      </c>
      <c r="B324">
        <v>68.08</v>
      </c>
      <c r="C324">
        <v>87.79</v>
      </c>
      <c r="D324">
        <v>105.41</v>
      </c>
      <c r="E324">
        <v>115.27</v>
      </c>
      <c r="F324">
        <v>103.28</v>
      </c>
      <c r="G324">
        <v>72.91</v>
      </c>
      <c r="H324">
        <v>74.680000000000007</v>
      </c>
      <c r="I324">
        <v>71.540000000000006</v>
      </c>
      <c r="J324">
        <v>63.01</v>
      </c>
      <c r="K324">
        <v>17.3</v>
      </c>
      <c r="L324">
        <v>65809.350000000006</v>
      </c>
      <c r="M324">
        <v>54455.98</v>
      </c>
      <c r="N324">
        <v>12.7</v>
      </c>
      <c r="O324">
        <v>7.0180000000000006E-2</v>
      </c>
      <c r="P324">
        <v>3.617</v>
      </c>
      <c r="Q324">
        <v>118.79</v>
      </c>
      <c r="R324">
        <v>32.29</v>
      </c>
      <c r="S324">
        <v>128.1</v>
      </c>
    </row>
    <row r="325" spans="1:19" x14ac:dyDescent="0.25">
      <c r="A325" s="6">
        <v>44376</v>
      </c>
      <c r="B325">
        <v>68.08</v>
      </c>
      <c r="C325">
        <v>87.79</v>
      </c>
      <c r="D325">
        <v>105.41</v>
      </c>
      <c r="E325">
        <v>115.27</v>
      </c>
      <c r="F325">
        <v>103.28</v>
      </c>
      <c r="G325">
        <v>72.98</v>
      </c>
      <c r="H325">
        <v>74.760000000000005</v>
      </c>
      <c r="I325">
        <v>71.569999999999993</v>
      </c>
      <c r="J325">
        <v>62.62</v>
      </c>
      <c r="K325">
        <v>17.12</v>
      </c>
      <c r="L325">
        <v>66548.710000000006</v>
      </c>
      <c r="M325">
        <v>54050.95</v>
      </c>
      <c r="N325">
        <v>12.975</v>
      </c>
      <c r="O325">
        <v>6.9629999999999997E-2</v>
      </c>
      <c r="P325">
        <v>3.63</v>
      </c>
      <c r="Q325">
        <v>118.76</v>
      </c>
      <c r="R325">
        <v>33.485999999999997</v>
      </c>
      <c r="S325">
        <v>126.35</v>
      </c>
    </row>
    <row r="326" spans="1:19" x14ac:dyDescent="0.25">
      <c r="A326" s="6">
        <v>44377</v>
      </c>
      <c r="B326">
        <v>68.08</v>
      </c>
      <c r="C326">
        <v>87.79</v>
      </c>
      <c r="D326">
        <v>105.41</v>
      </c>
      <c r="E326">
        <v>115.27</v>
      </c>
      <c r="F326">
        <v>103.28</v>
      </c>
      <c r="G326">
        <v>73.47</v>
      </c>
      <c r="H326">
        <v>75.13</v>
      </c>
      <c r="I326">
        <v>71.569999999999993</v>
      </c>
      <c r="J326">
        <v>63.08</v>
      </c>
      <c r="K326">
        <v>15.22</v>
      </c>
      <c r="L326">
        <v>66248.740000000005</v>
      </c>
      <c r="M326">
        <v>54184.77</v>
      </c>
      <c r="N326">
        <v>13.11</v>
      </c>
      <c r="O326">
        <v>7.0019999999999999E-2</v>
      </c>
      <c r="P326">
        <v>3.65</v>
      </c>
      <c r="Q326">
        <v>118.7</v>
      </c>
      <c r="R326">
        <v>34.619999999999997</v>
      </c>
      <c r="S326">
        <v>125.05</v>
      </c>
    </row>
    <row r="327" spans="1:19" x14ac:dyDescent="0.25">
      <c r="A327" s="6">
        <v>44378</v>
      </c>
      <c r="B327">
        <v>68.08</v>
      </c>
      <c r="C327">
        <v>87.79</v>
      </c>
      <c r="D327">
        <v>105.41</v>
      </c>
      <c r="E327">
        <v>115.27</v>
      </c>
      <c r="F327">
        <v>103.28</v>
      </c>
      <c r="G327">
        <v>75.23</v>
      </c>
      <c r="H327">
        <v>75.84</v>
      </c>
      <c r="I327">
        <v>73.88</v>
      </c>
      <c r="J327">
        <v>63.26</v>
      </c>
      <c r="K327">
        <v>16.051726907631746</v>
      </c>
      <c r="L327">
        <v>66555.78</v>
      </c>
      <c r="M327">
        <v>55790.74</v>
      </c>
      <c r="N327">
        <v>13.23</v>
      </c>
      <c r="O327">
        <v>6.9309999999999997E-2</v>
      </c>
      <c r="P327">
        <v>3.661</v>
      </c>
      <c r="Q327">
        <v>118.84</v>
      </c>
      <c r="R327">
        <v>36.145000000000003</v>
      </c>
      <c r="S327">
        <v>126.8</v>
      </c>
    </row>
    <row r="328" spans="1:19" x14ac:dyDescent="0.25">
      <c r="A328" s="6">
        <v>44379</v>
      </c>
      <c r="B328">
        <v>69</v>
      </c>
      <c r="C328">
        <v>89.18</v>
      </c>
      <c r="D328">
        <v>107.39</v>
      </c>
      <c r="E328">
        <v>115.27</v>
      </c>
      <c r="F328">
        <v>105.45</v>
      </c>
      <c r="G328">
        <v>75.16</v>
      </c>
      <c r="H328">
        <v>76.17</v>
      </c>
      <c r="I328">
        <v>74.23</v>
      </c>
      <c r="J328">
        <v>63.17</v>
      </c>
      <c r="K328">
        <v>14.94</v>
      </c>
      <c r="L328">
        <v>66323.759999999995</v>
      </c>
      <c r="M328">
        <v>55241.68</v>
      </c>
      <c r="N328">
        <v>13.115</v>
      </c>
      <c r="O328">
        <v>7.0139999999999994E-2</v>
      </c>
      <c r="P328">
        <v>3.7</v>
      </c>
      <c r="Q328">
        <v>118.83</v>
      </c>
      <c r="R328">
        <v>35.826999999999998</v>
      </c>
      <c r="S328">
        <v>127.33</v>
      </c>
    </row>
    <row r="329" spans="1:19" x14ac:dyDescent="0.25">
      <c r="A329" s="6">
        <v>44382</v>
      </c>
      <c r="B329">
        <v>69</v>
      </c>
      <c r="C329">
        <v>89.18</v>
      </c>
      <c r="D329">
        <v>107.39</v>
      </c>
      <c r="E329">
        <v>115.27</v>
      </c>
      <c r="F329">
        <v>105.45</v>
      </c>
      <c r="G329">
        <v>76.25</v>
      </c>
      <c r="H329">
        <v>77.16</v>
      </c>
      <c r="I329">
        <v>73.580000000000013</v>
      </c>
      <c r="J329">
        <v>62.269999999999996</v>
      </c>
      <c r="K329">
        <v>15.42</v>
      </c>
      <c r="L329">
        <v>66166.86</v>
      </c>
      <c r="M329">
        <v>56127.839999999997</v>
      </c>
      <c r="N329">
        <v>13.399729729730097</v>
      </c>
      <c r="O329">
        <v>7.0069999999999993E-2</v>
      </c>
      <c r="P329">
        <v>3.79</v>
      </c>
      <c r="Q329">
        <v>118.405</v>
      </c>
      <c r="R329">
        <v>34.965999999999994</v>
      </c>
      <c r="S329">
        <v>130.18</v>
      </c>
    </row>
    <row r="330" spans="1:19" x14ac:dyDescent="0.25">
      <c r="A330" s="6">
        <v>44383</v>
      </c>
      <c r="B330">
        <v>69</v>
      </c>
      <c r="C330">
        <v>89.18</v>
      </c>
      <c r="D330">
        <v>107.39</v>
      </c>
      <c r="E330">
        <v>115.27</v>
      </c>
      <c r="F330">
        <v>105.45</v>
      </c>
      <c r="G330">
        <v>73.37</v>
      </c>
      <c r="H330">
        <v>74.53</v>
      </c>
      <c r="I330">
        <v>72.930000000000007</v>
      </c>
      <c r="J330">
        <v>61.37</v>
      </c>
      <c r="K330">
        <v>15.24</v>
      </c>
      <c r="L330">
        <v>65849.75</v>
      </c>
      <c r="M330">
        <v>56301.8</v>
      </c>
      <c r="N330">
        <v>12.885</v>
      </c>
      <c r="O330">
        <v>6.9470000000000004E-2</v>
      </c>
      <c r="P330">
        <v>3.637</v>
      </c>
      <c r="Q330">
        <v>117.98</v>
      </c>
      <c r="R330">
        <v>34.104999999999997</v>
      </c>
      <c r="S330">
        <v>130.97</v>
      </c>
    </row>
    <row r="331" spans="1:19" x14ac:dyDescent="0.25">
      <c r="A331" s="6">
        <v>44384</v>
      </c>
      <c r="B331">
        <v>69</v>
      </c>
      <c r="C331">
        <v>89.18</v>
      </c>
      <c r="D331">
        <v>107.39</v>
      </c>
      <c r="E331">
        <v>115.27</v>
      </c>
      <c r="F331">
        <v>105.45</v>
      </c>
      <c r="G331">
        <v>72.2</v>
      </c>
      <c r="H331">
        <v>73.430000000000007</v>
      </c>
      <c r="I331">
        <v>72.08</v>
      </c>
      <c r="J331">
        <v>60.41</v>
      </c>
      <c r="K331">
        <v>15.32</v>
      </c>
      <c r="L331">
        <v>66806.36</v>
      </c>
      <c r="M331">
        <v>57533.98</v>
      </c>
      <c r="N331">
        <v>12.685</v>
      </c>
      <c r="O331">
        <v>6.9830000000000003E-2</v>
      </c>
      <c r="P331">
        <v>3.5960000000000001</v>
      </c>
      <c r="Q331">
        <v>118</v>
      </c>
      <c r="R331">
        <v>32.340000000000003</v>
      </c>
      <c r="S331">
        <v>132.02000000000001</v>
      </c>
    </row>
    <row r="332" spans="1:19" x14ac:dyDescent="0.25">
      <c r="A332" s="6">
        <v>44385</v>
      </c>
      <c r="B332">
        <v>69</v>
      </c>
      <c r="C332">
        <v>89.18</v>
      </c>
      <c r="D332">
        <v>107.39</v>
      </c>
      <c r="E332">
        <v>115.27</v>
      </c>
      <c r="F332">
        <v>105.45</v>
      </c>
      <c r="G332">
        <v>72.94</v>
      </c>
      <c r="H332">
        <v>74.12</v>
      </c>
      <c r="I332">
        <v>72.58</v>
      </c>
      <c r="J332">
        <v>60.14</v>
      </c>
      <c r="K332">
        <v>14.92</v>
      </c>
      <c r="L332">
        <v>65243.5</v>
      </c>
      <c r="M332">
        <v>54565.49</v>
      </c>
      <c r="N332">
        <v>12.935</v>
      </c>
      <c r="O332">
        <v>6.9699999999999998E-2</v>
      </c>
      <c r="P332">
        <v>3.6880000000000002</v>
      </c>
      <c r="Q332">
        <v>118.06</v>
      </c>
      <c r="R332">
        <v>33.31</v>
      </c>
      <c r="S332">
        <v>131.78</v>
      </c>
    </row>
    <row r="333" spans="1:19" x14ac:dyDescent="0.25">
      <c r="A333" s="6">
        <v>44386</v>
      </c>
      <c r="B333">
        <v>69.59</v>
      </c>
      <c r="C333">
        <v>91.35</v>
      </c>
      <c r="D333">
        <v>108.93</v>
      </c>
      <c r="E333">
        <v>116.79</v>
      </c>
      <c r="F333">
        <v>106.27</v>
      </c>
      <c r="G333">
        <v>74.56</v>
      </c>
      <c r="H333">
        <v>75.55</v>
      </c>
      <c r="I333">
        <v>73.72</v>
      </c>
      <c r="J333">
        <v>61.23</v>
      </c>
      <c r="K333">
        <v>14.92</v>
      </c>
      <c r="L333">
        <v>66385.570000000007</v>
      </c>
      <c r="M333">
        <v>54759.6</v>
      </c>
      <c r="N333">
        <v>13</v>
      </c>
      <c r="O333">
        <v>7.0499999999999993E-2</v>
      </c>
      <c r="P333">
        <v>3.6739999999999999</v>
      </c>
      <c r="Q333">
        <v>118.97</v>
      </c>
      <c r="R333">
        <v>36.631999999999998</v>
      </c>
      <c r="S333">
        <v>132.30000000000001</v>
      </c>
    </row>
    <row r="334" spans="1:19" x14ac:dyDescent="0.25">
      <c r="A334" s="6">
        <v>44389</v>
      </c>
      <c r="B334">
        <v>69.59</v>
      </c>
      <c r="C334">
        <v>91.35</v>
      </c>
      <c r="D334">
        <v>108.93</v>
      </c>
      <c r="E334">
        <v>116.79</v>
      </c>
      <c r="F334">
        <v>106.27</v>
      </c>
      <c r="G334">
        <v>74.099999999999994</v>
      </c>
      <c r="H334">
        <v>75.16</v>
      </c>
      <c r="I334">
        <v>73.540000000000006</v>
      </c>
      <c r="J334">
        <v>61.17</v>
      </c>
      <c r="K334">
        <v>14.74</v>
      </c>
      <c r="L334">
        <v>67293.33</v>
      </c>
      <c r="M334">
        <v>55988.75</v>
      </c>
      <c r="N334">
        <v>13.01</v>
      </c>
      <c r="O334">
        <v>6.9339999999999999E-2</v>
      </c>
      <c r="P334">
        <v>3.7490000000000001</v>
      </c>
      <c r="Q334">
        <v>119.06</v>
      </c>
      <c r="R334">
        <v>34.65</v>
      </c>
      <c r="S334">
        <v>131.6</v>
      </c>
    </row>
    <row r="335" spans="1:19" x14ac:dyDescent="0.25">
      <c r="A335" s="6">
        <v>44390</v>
      </c>
      <c r="B335">
        <v>69.59</v>
      </c>
      <c r="C335">
        <v>91.35</v>
      </c>
      <c r="D335">
        <v>108.93</v>
      </c>
      <c r="E335">
        <v>116.79</v>
      </c>
      <c r="F335">
        <v>106.27</v>
      </c>
      <c r="G335">
        <v>75.25</v>
      </c>
      <c r="H335">
        <v>76.489999999999995</v>
      </c>
      <c r="I335">
        <v>74.36</v>
      </c>
      <c r="J335">
        <v>60.88</v>
      </c>
      <c r="K335">
        <v>15</v>
      </c>
      <c r="L335">
        <v>67088.27</v>
      </c>
      <c r="M335">
        <v>57405.69</v>
      </c>
      <c r="N335">
        <v>12.97</v>
      </c>
      <c r="O335">
        <v>6.7839999999999998E-2</v>
      </c>
      <c r="P335">
        <v>3.6960000000000002</v>
      </c>
      <c r="Q335">
        <v>118.69</v>
      </c>
      <c r="R335">
        <v>35.465000000000003</v>
      </c>
      <c r="S335">
        <v>136.37</v>
      </c>
    </row>
    <row r="336" spans="1:19" x14ac:dyDescent="0.25">
      <c r="A336" s="6">
        <v>44391</v>
      </c>
      <c r="B336">
        <v>69.59</v>
      </c>
      <c r="C336">
        <v>91.35</v>
      </c>
      <c r="D336">
        <v>108.93</v>
      </c>
      <c r="E336">
        <v>116.79</v>
      </c>
      <c r="F336">
        <v>106.27</v>
      </c>
      <c r="G336">
        <v>73.13</v>
      </c>
      <c r="H336">
        <v>74.760000000000005</v>
      </c>
      <c r="I336">
        <v>73.48</v>
      </c>
      <c r="J336">
        <v>59.53</v>
      </c>
      <c r="K336">
        <v>15.2</v>
      </c>
      <c r="L336">
        <v>67897.600000000006</v>
      </c>
      <c r="M336">
        <v>58500.84</v>
      </c>
      <c r="N336">
        <v>12.975</v>
      </c>
      <c r="O336">
        <v>6.9029999999999994E-2</v>
      </c>
      <c r="P336">
        <v>3.66</v>
      </c>
      <c r="Q336">
        <v>118.18</v>
      </c>
      <c r="R336">
        <v>34.774999999999999</v>
      </c>
      <c r="S336">
        <v>138.02000000000001</v>
      </c>
    </row>
    <row r="337" spans="1:19" x14ac:dyDescent="0.25">
      <c r="A337" s="6">
        <v>44392</v>
      </c>
      <c r="B337">
        <v>69.59</v>
      </c>
      <c r="C337">
        <v>91.35</v>
      </c>
      <c r="D337">
        <v>108.93</v>
      </c>
      <c r="E337">
        <v>116.79</v>
      </c>
      <c r="F337">
        <v>106.27</v>
      </c>
      <c r="G337">
        <v>71.650000000000006</v>
      </c>
      <c r="H337">
        <v>73.47</v>
      </c>
      <c r="I337">
        <v>72.83</v>
      </c>
      <c r="J337">
        <v>58.95</v>
      </c>
      <c r="K337">
        <v>15.22</v>
      </c>
      <c r="L337">
        <v>67538.61</v>
      </c>
      <c r="M337">
        <v>57985.18</v>
      </c>
      <c r="N337">
        <v>12.973000000000001</v>
      </c>
      <c r="O337">
        <v>6.862E-2</v>
      </c>
      <c r="P337">
        <v>3.6139999999999999</v>
      </c>
      <c r="Q337">
        <v>117.99</v>
      </c>
      <c r="R337">
        <v>33.795000000000002</v>
      </c>
      <c r="S337">
        <v>136.47</v>
      </c>
    </row>
    <row r="338" spans="1:19" x14ac:dyDescent="0.25">
      <c r="A338" s="6">
        <v>44393</v>
      </c>
      <c r="B338">
        <v>76.650000000000006</v>
      </c>
      <c r="C338">
        <v>98.11</v>
      </c>
      <c r="D338">
        <v>117.78</v>
      </c>
      <c r="E338">
        <v>121.27</v>
      </c>
      <c r="F338">
        <v>111.27</v>
      </c>
      <c r="G338">
        <v>71.81</v>
      </c>
      <c r="H338">
        <v>73.59</v>
      </c>
      <c r="I338">
        <v>72.92</v>
      </c>
      <c r="J338">
        <v>57.32</v>
      </c>
      <c r="K338">
        <v>15.24</v>
      </c>
      <c r="L338">
        <v>66529.53</v>
      </c>
      <c r="M338">
        <v>56143.62</v>
      </c>
      <c r="N338">
        <v>13.96</v>
      </c>
      <c r="O338">
        <v>6.9099999999999995E-2</v>
      </c>
      <c r="P338">
        <v>3.6739999999999999</v>
      </c>
      <c r="Q338">
        <v>118.06</v>
      </c>
      <c r="R338">
        <v>34.840000000000003</v>
      </c>
      <c r="S338">
        <v>137.44999999999999</v>
      </c>
    </row>
    <row r="339" spans="1:19" x14ac:dyDescent="0.25">
      <c r="A339" s="6">
        <v>44396</v>
      </c>
      <c r="B339">
        <v>76.650000000000006</v>
      </c>
      <c r="C339">
        <v>98.11</v>
      </c>
      <c r="D339">
        <v>117.78</v>
      </c>
      <c r="E339">
        <v>121.27</v>
      </c>
      <c r="F339">
        <v>111.27</v>
      </c>
      <c r="G339">
        <v>66.42</v>
      </c>
      <c r="H339">
        <v>68.62</v>
      </c>
      <c r="I339">
        <v>71.010000000000005</v>
      </c>
      <c r="J339">
        <v>55.35</v>
      </c>
      <c r="K339">
        <v>15.24</v>
      </c>
      <c r="L339">
        <v>64804.74</v>
      </c>
      <c r="M339">
        <v>53836.9</v>
      </c>
      <c r="N339">
        <v>14.19</v>
      </c>
      <c r="O339">
        <v>6.8589999999999998E-2</v>
      </c>
      <c r="P339">
        <v>3.7789999999999999</v>
      </c>
      <c r="Q339">
        <v>117.36</v>
      </c>
      <c r="R339">
        <v>35.65</v>
      </c>
      <c r="S339">
        <v>145.32</v>
      </c>
    </row>
    <row r="340" spans="1:19" x14ac:dyDescent="0.25">
      <c r="A340" s="6">
        <v>44397</v>
      </c>
      <c r="B340">
        <v>76.650000000000006</v>
      </c>
      <c r="C340">
        <v>98.11</v>
      </c>
      <c r="D340">
        <v>117.78</v>
      </c>
      <c r="E340">
        <v>121.27</v>
      </c>
      <c r="F340">
        <v>111.27</v>
      </c>
      <c r="G340">
        <v>67.42</v>
      </c>
      <c r="H340">
        <v>69.349999999999994</v>
      </c>
      <c r="I340">
        <v>71.28</v>
      </c>
      <c r="J340">
        <v>55.96</v>
      </c>
      <c r="K340">
        <v>15.02</v>
      </c>
      <c r="L340">
        <v>65724.679999999993</v>
      </c>
      <c r="M340">
        <v>54913.13</v>
      </c>
      <c r="N340">
        <v>14.035</v>
      </c>
      <c r="O340">
        <v>6.8419999999999995E-2</v>
      </c>
      <c r="P340">
        <v>3.8759999999999999</v>
      </c>
      <c r="Q340">
        <v>119.14</v>
      </c>
      <c r="R340">
        <v>35.164999999999999</v>
      </c>
      <c r="S340">
        <v>142.37</v>
      </c>
    </row>
    <row r="341" spans="1:19" x14ac:dyDescent="0.25">
      <c r="A341" s="6">
        <v>44398</v>
      </c>
      <c r="B341">
        <v>76.650000000000006</v>
      </c>
      <c r="C341">
        <v>98.11</v>
      </c>
      <c r="D341">
        <v>117.78</v>
      </c>
      <c r="E341">
        <v>121.27</v>
      </c>
      <c r="F341">
        <v>111.27</v>
      </c>
      <c r="G341">
        <v>70.3</v>
      </c>
      <c r="H341">
        <v>72.23</v>
      </c>
      <c r="I341">
        <v>72.28</v>
      </c>
      <c r="J341">
        <v>57.76</v>
      </c>
      <c r="K341">
        <v>14.82</v>
      </c>
      <c r="L341">
        <v>66558.460000000006</v>
      </c>
      <c r="M341">
        <v>55004.68</v>
      </c>
      <c r="N341">
        <v>14.31</v>
      </c>
      <c r="O341">
        <v>6.8440000000000001E-2</v>
      </c>
      <c r="P341">
        <v>3.9590000000000001</v>
      </c>
      <c r="Q341">
        <v>120.23</v>
      </c>
      <c r="R341">
        <v>35.950000000000003</v>
      </c>
      <c r="S341">
        <v>148.57</v>
      </c>
    </row>
    <row r="342" spans="1:19" x14ac:dyDescent="0.25">
      <c r="A342" s="6">
        <v>44399</v>
      </c>
      <c r="B342">
        <v>76.650000000000006</v>
      </c>
      <c r="C342">
        <v>98.11</v>
      </c>
      <c r="D342">
        <v>117.78</v>
      </c>
      <c r="E342">
        <v>121.27</v>
      </c>
      <c r="F342">
        <v>111.27</v>
      </c>
      <c r="G342">
        <v>71.91</v>
      </c>
      <c r="H342">
        <v>73.790000000000006</v>
      </c>
      <c r="I342">
        <v>72.81</v>
      </c>
      <c r="J342">
        <v>57.11</v>
      </c>
      <c r="K342">
        <v>15.02</v>
      </c>
      <c r="L342">
        <v>67404.27</v>
      </c>
      <c r="M342">
        <v>55816.69</v>
      </c>
      <c r="N342">
        <v>14.275</v>
      </c>
      <c r="O342">
        <v>6.8040000000000003E-2</v>
      </c>
      <c r="P342">
        <v>4.0030000000000001</v>
      </c>
      <c r="Q342">
        <v>120.37</v>
      </c>
      <c r="R342">
        <v>36.130000000000003</v>
      </c>
      <c r="S342">
        <v>148.57</v>
      </c>
    </row>
    <row r="343" spans="1:19" x14ac:dyDescent="0.25">
      <c r="A343" s="6">
        <v>44400</v>
      </c>
      <c r="B343">
        <v>81.12</v>
      </c>
      <c r="C343">
        <v>102.56</v>
      </c>
      <c r="D343">
        <v>123.15</v>
      </c>
      <c r="E343">
        <v>129.15</v>
      </c>
      <c r="F343">
        <v>116.25</v>
      </c>
      <c r="G343">
        <v>72.069999999999993</v>
      </c>
      <c r="H343">
        <v>74.099999999999994</v>
      </c>
      <c r="I343">
        <v>72.87</v>
      </c>
      <c r="J343">
        <v>57.04</v>
      </c>
      <c r="K343">
        <v>15.14</v>
      </c>
      <c r="L343">
        <v>68063.7</v>
      </c>
      <c r="M343">
        <v>55876.03</v>
      </c>
      <c r="N343">
        <v>14.18</v>
      </c>
      <c r="O343">
        <v>6.7280000000000006E-2</v>
      </c>
      <c r="P343">
        <v>4.0599999999999996</v>
      </c>
      <c r="Q343">
        <v>121.36</v>
      </c>
      <c r="R343">
        <v>35.524999999999999</v>
      </c>
      <c r="S343">
        <v>147.87</v>
      </c>
    </row>
    <row r="344" spans="1:19" x14ac:dyDescent="0.25">
      <c r="A344" s="6">
        <v>44403</v>
      </c>
      <c r="B344">
        <v>81.12</v>
      </c>
      <c r="C344">
        <v>102.56</v>
      </c>
      <c r="D344">
        <v>123.15</v>
      </c>
      <c r="E344">
        <v>129.15</v>
      </c>
      <c r="F344">
        <v>116.25</v>
      </c>
      <c r="G344">
        <v>71.91</v>
      </c>
      <c r="H344">
        <v>74.5</v>
      </c>
      <c r="I344">
        <v>72.83</v>
      </c>
      <c r="J344">
        <v>58.48</v>
      </c>
      <c r="K344">
        <v>14.82</v>
      </c>
      <c r="L344">
        <v>68051.05</v>
      </c>
      <c r="M344">
        <v>58073.2</v>
      </c>
      <c r="N344">
        <v>14.59</v>
      </c>
      <c r="O344">
        <v>6.7580000000000001E-2</v>
      </c>
      <c r="P344">
        <v>4.1020000000000003</v>
      </c>
      <c r="Q344">
        <v>120.43</v>
      </c>
      <c r="R344">
        <v>36.914999999999999</v>
      </c>
      <c r="S344">
        <v>146.58000000000001</v>
      </c>
    </row>
    <row r="345" spans="1:19" x14ac:dyDescent="0.25">
      <c r="A345" s="6">
        <v>44404</v>
      </c>
      <c r="B345">
        <v>81.12</v>
      </c>
      <c r="C345">
        <v>102.56</v>
      </c>
      <c r="D345">
        <v>123.15</v>
      </c>
      <c r="E345">
        <v>129.15</v>
      </c>
      <c r="F345">
        <v>116.25</v>
      </c>
      <c r="G345">
        <v>71.650000000000006</v>
      </c>
      <c r="H345">
        <v>74.48</v>
      </c>
      <c r="I345">
        <v>72.81</v>
      </c>
      <c r="J345">
        <v>57.83</v>
      </c>
      <c r="K345">
        <v>14.54</v>
      </c>
      <c r="L345">
        <v>67340.72</v>
      </c>
      <c r="M345">
        <v>57682.1</v>
      </c>
      <c r="N345">
        <v>14.805</v>
      </c>
      <c r="O345">
        <v>6.7589999999999997E-2</v>
      </c>
      <c r="P345">
        <v>3.9710000000000001</v>
      </c>
      <c r="Q345">
        <v>121.05</v>
      </c>
      <c r="R345">
        <v>37.590000000000003</v>
      </c>
      <c r="S345">
        <v>143.05000000000001</v>
      </c>
    </row>
    <row r="346" spans="1:19" x14ac:dyDescent="0.25">
      <c r="A346" s="6">
        <v>44405</v>
      </c>
      <c r="B346">
        <v>81.12</v>
      </c>
      <c r="C346">
        <v>102.56</v>
      </c>
      <c r="D346">
        <v>123.15</v>
      </c>
      <c r="E346">
        <v>129.15</v>
      </c>
      <c r="F346">
        <v>116.25</v>
      </c>
      <c r="G346">
        <v>72.39</v>
      </c>
      <c r="H346">
        <v>74.739999999999995</v>
      </c>
      <c r="I346">
        <v>72.81</v>
      </c>
      <c r="J346">
        <v>58.22</v>
      </c>
      <c r="K346">
        <v>14.54</v>
      </c>
      <c r="L346">
        <v>68525.539999999994</v>
      </c>
      <c r="M346">
        <v>58940.06</v>
      </c>
      <c r="N346">
        <v>15.085000000000001</v>
      </c>
      <c r="O346">
        <v>6.7739999999999995E-2</v>
      </c>
      <c r="P346">
        <v>4.0439999999999996</v>
      </c>
      <c r="Q346">
        <v>121.32</v>
      </c>
      <c r="R346">
        <v>39.700000000000003</v>
      </c>
      <c r="S346">
        <v>139.63</v>
      </c>
    </row>
    <row r="347" spans="1:19" x14ac:dyDescent="0.25">
      <c r="A347" s="6">
        <v>44406</v>
      </c>
      <c r="B347">
        <v>81.12</v>
      </c>
      <c r="C347">
        <v>102.56</v>
      </c>
      <c r="D347">
        <v>123.15</v>
      </c>
      <c r="E347">
        <v>129.15</v>
      </c>
      <c r="F347">
        <v>116.25</v>
      </c>
      <c r="G347">
        <v>73.62</v>
      </c>
      <c r="H347">
        <v>76.05</v>
      </c>
      <c r="I347">
        <v>72.89</v>
      </c>
      <c r="J347">
        <v>58.93</v>
      </c>
      <c r="K347">
        <v>14.72</v>
      </c>
      <c r="L347">
        <v>69565.23</v>
      </c>
      <c r="M347">
        <v>60624.91</v>
      </c>
      <c r="N347">
        <v>15.25</v>
      </c>
      <c r="O347">
        <v>6.8659999999999999E-2</v>
      </c>
      <c r="P347">
        <v>4.0590000000000002</v>
      </c>
      <c r="Q347">
        <v>120.82</v>
      </c>
      <c r="R347">
        <v>41.154000000000003</v>
      </c>
      <c r="S347">
        <v>144.62</v>
      </c>
    </row>
    <row r="348" spans="1:19" x14ac:dyDescent="0.25">
      <c r="A348" s="6">
        <v>44407</v>
      </c>
      <c r="B348">
        <v>82</v>
      </c>
      <c r="C348">
        <v>104.57</v>
      </c>
      <c r="D348">
        <v>125.64</v>
      </c>
      <c r="E348">
        <v>130.15</v>
      </c>
      <c r="F348">
        <v>117.69</v>
      </c>
      <c r="G348">
        <v>73.95</v>
      </c>
      <c r="H348">
        <v>76.33</v>
      </c>
      <c r="I348">
        <v>72.900000000000006</v>
      </c>
      <c r="J348">
        <v>57.57</v>
      </c>
      <c r="K348">
        <v>14.7</v>
      </c>
      <c r="L348">
        <v>68970.78</v>
      </c>
      <c r="M348">
        <v>59964.91</v>
      </c>
      <c r="N348">
        <v>14.755000000000001</v>
      </c>
      <c r="O348">
        <v>6.8599999999999994E-2</v>
      </c>
      <c r="P348">
        <v>3.9140000000000001</v>
      </c>
      <c r="Q348">
        <v>119.83</v>
      </c>
      <c r="R348">
        <v>40.755000000000003</v>
      </c>
      <c r="S348">
        <v>143.66999999999999</v>
      </c>
    </row>
    <row r="349" spans="1:19" x14ac:dyDescent="0.25">
      <c r="A349" s="6">
        <v>44410</v>
      </c>
      <c r="B349">
        <v>82</v>
      </c>
      <c r="C349">
        <v>104.57</v>
      </c>
      <c r="D349">
        <v>125.64</v>
      </c>
      <c r="E349">
        <v>130.15</v>
      </c>
      <c r="F349">
        <v>117.69</v>
      </c>
      <c r="G349">
        <v>71.260000000000005</v>
      </c>
      <c r="H349">
        <v>72.89</v>
      </c>
      <c r="I349">
        <v>71.37</v>
      </c>
      <c r="J349">
        <v>57.58</v>
      </c>
      <c r="K349">
        <v>14.9</v>
      </c>
      <c r="L349">
        <v>68822.75</v>
      </c>
      <c r="M349">
        <v>59268.9</v>
      </c>
      <c r="N349">
        <v>15.465</v>
      </c>
      <c r="O349">
        <v>6.9110000000000005E-2</v>
      </c>
      <c r="P349">
        <v>3.9350000000000001</v>
      </c>
      <c r="Q349">
        <v>119.43</v>
      </c>
      <c r="R349">
        <v>42.155000000000001</v>
      </c>
      <c r="S349">
        <v>144.19999999999999</v>
      </c>
    </row>
    <row r="350" spans="1:19" x14ac:dyDescent="0.25">
      <c r="A350" s="6">
        <v>44411</v>
      </c>
      <c r="B350">
        <v>82</v>
      </c>
      <c r="C350">
        <v>104.57</v>
      </c>
      <c r="D350">
        <v>125.64</v>
      </c>
      <c r="E350">
        <v>130.15</v>
      </c>
      <c r="F350">
        <v>117.69</v>
      </c>
      <c r="G350">
        <v>70.56</v>
      </c>
      <c r="H350">
        <v>72.41</v>
      </c>
      <c r="I350">
        <v>70.95</v>
      </c>
      <c r="J350">
        <v>58.2</v>
      </c>
      <c r="K350">
        <v>14.86</v>
      </c>
      <c r="L350">
        <v>68705.73</v>
      </c>
      <c r="M350">
        <v>59640.92</v>
      </c>
      <c r="N350">
        <v>15.34</v>
      </c>
      <c r="O350">
        <v>6.9809999999999997E-2</v>
      </c>
      <c r="P350">
        <v>4.0270000000000001</v>
      </c>
      <c r="Q350">
        <v>119.12</v>
      </c>
      <c r="R350">
        <v>41.244999999999997</v>
      </c>
      <c r="S350">
        <v>142.97999999999999</v>
      </c>
    </row>
    <row r="351" spans="1:19" x14ac:dyDescent="0.25">
      <c r="A351" s="6">
        <v>44412</v>
      </c>
      <c r="B351">
        <v>82</v>
      </c>
      <c r="C351">
        <v>104.57</v>
      </c>
      <c r="D351">
        <v>125.64</v>
      </c>
      <c r="E351">
        <v>130.15</v>
      </c>
      <c r="F351">
        <v>117.69</v>
      </c>
      <c r="G351">
        <v>68.150000000000006</v>
      </c>
      <c r="H351">
        <v>70.38</v>
      </c>
      <c r="I351">
        <v>69.39</v>
      </c>
      <c r="J351">
        <v>56.84</v>
      </c>
      <c r="K351">
        <v>15</v>
      </c>
      <c r="L351">
        <v>68898.039999999994</v>
      </c>
      <c r="M351">
        <v>59996.95</v>
      </c>
      <c r="N351">
        <v>15.324999999999999</v>
      </c>
      <c r="O351">
        <v>6.9540000000000005E-2</v>
      </c>
      <c r="P351">
        <v>4.1580000000000004</v>
      </c>
      <c r="Q351">
        <v>119.53</v>
      </c>
      <c r="R351">
        <v>42.255000000000003</v>
      </c>
      <c r="S351">
        <v>140.62</v>
      </c>
    </row>
    <row r="352" spans="1:19" x14ac:dyDescent="0.25">
      <c r="A352" s="6">
        <v>44413</v>
      </c>
      <c r="B352">
        <v>82</v>
      </c>
      <c r="C352">
        <v>104.57</v>
      </c>
      <c r="D352">
        <v>125.64</v>
      </c>
      <c r="E352">
        <v>130.15</v>
      </c>
      <c r="F352">
        <v>117.69</v>
      </c>
      <c r="G352">
        <v>69.09</v>
      </c>
      <c r="H352">
        <v>71.290000000000006</v>
      </c>
      <c r="I352">
        <v>70.22</v>
      </c>
      <c r="J352">
        <v>57.2</v>
      </c>
      <c r="K352">
        <v>15</v>
      </c>
      <c r="L352">
        <v>68371.23</v>
      </c>
      <c r="M352">
        <v>57841.68</v>
      </c>
      <c r="N352">
        <v>15.4</v>
      </c>
      <c r="O352">
        <v>6.8879999999999997E-2</v>
      </c>
      <c r="P352">
        <v>4.1399999999999997</v>
      </c>
      <c r="Q352">
        <v>119.42</v>
      </c>
      <c r="R352">
        <v>42.9</v>
      </c>
      <c r="S352">
        <v>139.6</v>
      </c>
    </row>
    <row r="353" spans="1:19" x14ac:dyDescent="0.25">
      <c r="A353" s="6">
        <v>44414</v>
      </c>
      <c r="B353">
        <v>82.66</v>
      </c>
      <c r="C353">
        <v>104.82</v>
      </c>
      <c r="D353">
        <v>125.73</v>
      </c>
      <c r="E353">
        <v>133.49</v>
      </c>
      <c r="F353">
        <v>120.14</v>
      </c>
      <c r="G353">
        <v>68.28</v>
      </c>
      <c r="H353">
        <v>70.7</v>
      </c>
      <c r="I353">
        <v>69.739999999999995</v>
      </c>
      <c r="J353">
        <v>57.86</v>
      </c>
      <c r="K353">
        <v>15.06</v>
      </c>
      <c r="L353">
        <v>68673.95</v>
      </c>
      <c r="M353">
        <v>55672.480000000003</v>
      </c>
      <c r="N353">
        <v>15.7</v>
      </c>
      <c r="O353">
        <v>6.8459999999999993E-2</v>
      </c>
      <c r="P353">
        <v>4.1399999999999997</v>
      </c>
      <c r="Q353">
        <v>120</v>
      </c>
      <c r="R353">
        <v>43.12</v>
      </c>
      <c r="S353">
        <v>139.87</v>
      </c>
    </row>
    <row r="354" spans="1:19" x14ac:dyDescent="0.25">
      <c r="A354" s="6">
        <v>44417</v>
      </c>
      <c r="B354">
        <v>82.66</v>
      </c>
      <c r="C354">
        <v>104.82</v>
      </c>
      <c r="D354">
        <v>125.73</v>
      </c>
      <c r="E354">
        <v>133.49</v>
      </c>
      <c r="F354">
        <v>120.14</v>
      </c>
      <c r="G354">
        <v>66.48</v>
      </c>
      <c r="H354">
        <v>69.040000000000006</v>
      </c>
      <c r="I354">
        <v>68.489999999999995</v>
      </c>
      <c r="J354">
        <v>57.2</v>
      </c>
      <c r="K354">
        <v>15.18</v>
      </c>
      <c r="L354">
        <v>68402.912432432175</v>
      </c>
      <c r="M354">
        <v>55862.531621620059</v>
      </c>
      <c r="N354">
        <v>15.76</v>
      </c>
      <c r="O354">
        <v>6.7610000000000003E-2</v>
      </c>
      <c r="P354">
        <v>4.0599999999999996</v>
      </c>
      <c r="Q354">
        <v>119.97</v>
      </c>
      <c r="R354">
        <v>42.784999999999997</v>
      </c>
      <c r="S354">
        <v>138.68</v>
      </c>
    </row>
    <row r="355" spans="1:19" x14ac:dyDescent="0.25">
      <c r="A355" s="6">
        <v>44418</v>
      </c>
      <c r="B355">
        <v>82.66</v>
      </c>
      <c r="C355">
        <v>104.82</v>
      </c>
      <c r="D355">
        <v>125.73</v>
      </c>
      <c r="E355">
        <v>133.49</v>
      </c>
      <c r="F355">
        <v>120.14</v>
      </c>
      <c r="G355">
        <v>68.290000000000006</v>
      </c>
      <c r="H355">
        <v>70.63</v>
      </c>
      <c r="I355">
        <v>69.709999999999994</v>
      </c>
      <c r="J355">
        <v>58.18</v>
      </c>
      <c r="K355">
        <v>15.26</v>
      </c>
      <c r="L355">
        <v>69602.039999999994</v>
      </c>
      <c r="M355">
        <v>53518.02</v>
      </c>
      <c r="N355">
        <v>15.8</v>
      </c>
      <c r="O355">
        <v>6.7540000000000003E-2</v>
      </c>
      <c r="P355">
        <v>4.0890000000000004</v>
      </c>
      <c r="Q355">
        <v>119.59</v>
      </c>
      <c r="R355">
        <v>44.655000000000001</v>
      </c>
      <c r="S355">
        <v>136.1</v>
      </c>
    </row>
    <row r="356" spans="1:19" x14ac:dyDescent="0.25">
      <c r="A356" s="6">
        <v>44419</v>
      </c>
      <c r="B356">
        <v>82.66</v>
      </c>
      <c r="C356">
        <v>104.82</v>
      </c>
      <c r="D356">
        <v>125.73</v>
      </c>
      <c r="E356">
        <v>133.49</v>
      </c>
      <c r="F356">
        <v>120.14</v>
      </c>
      <c r="G356">
        <v>69.25</v>
      </c>
      <c r="H356">
        <v>71.44</v>
      </c>
      <c r="I356">
        <v>70.42</v>
      </c>
      <c r="J356">
        <v>58.35</v>
      </c>
      <c r="K356">
        <v>15.4</v>
      </c>
      <c r="L356">
        <v>69617.16</v>
      </c>
      <c r="M356">
        <v>55275.23</v>
      </c>
      <c r="N356">
        <v>15.65</v>
      </c>
      <c r="O356">
        <v>6.8140000000000006E-2</v>
      </c>
      <c r="P356">
        <v>4.0590000000000002</v>
      </c>
      <c r="Q356">
        <v>118.72</v>
      </c>
      <c r="R356">
        <v>45.984999999999999</v>
      </c>
      <c r="S356">
        <v>132.82</v>
      </c>
    </row>
    <row r="357" spans="1:19" x14ac:dyDescent="0.25">
      <c r="A357" s="6">
        <v>44420</v>
      </c>
      <c r="B357">
        <v>82.66</v>
      </c>
      <c r="C357">
        <v>104.82</v>
      </c>
      <c r="D357">
        <v>125.73</v>
      </c>
      <c r="E357">
        <v>133.49</v>
      </c>
      <c r="F357">
        <v>120.14</v>
      </c>
      <c r="G357">
        <v>69.09</v>
      </c>
      <c r="H357">
        <v>71.31</v>
      </c>
      <c r="I357">
        <v>70.44</v>
      </c>
      <c r="J357">
        <v>57.35</v>
      </c>
      <c r="K357">
        <v>15.48</v>
      </c>
      <c r="L357">
        <v>69401.95</v>
      </c>
      <c r="M357">
        <v>53965.82</v>
      </c>
      <c r="N357">
        <v>15.664999999999999</v>
      </c>
      <c r="O357">
        <v>6.7589999999999997E-2</v>
      </c>
      <c r="P357">
        <v>3.9329999999999998</v>
      </c>
      <c r="Q357">
        <v>118.04</v>
      </c>
      <c r="R357">
        <v>45.87</v>
      </c>
      <c r="S357">
        <v>135.18</v>
      </c>
    </row>
    <row r="358" spans="1:19" x14ac:dyDescent="0.25">
      <c r="A358" s="6">
        <v>44421</v>
      </c>
      <c r="B358">
        <v>87.6</v>
      </c>
      <c r="C358">
        <v>108.79</v>
      </c>
      <c r="D358">
        <v>132.07</v>
      </c>
      <c r="E358">
        <v>137.06</v>
      </c>
      <c r="F358">
        <v>120.16</v>
      </c>
      <c r="G358">
        <v>68.44</v>
      </c>
      <c r="H358">
        <v>70.59</v>
      </c>
      <c r="I358">
        <v>70.05</v>
      </c>
      <c r="J358">
        <v>56.77</v>
      </c>
      <c r="K358">
        <v>15.44</v>
      </c>
      <c r="L358">
        <v>69384.759999999995</v>
      </c>
      <c r="M358">
        <v>54569.77</v>
      </c>
      <c r="N358">
        <v>15.654999999999999</v>
      </c>
      <c r="O358">
        <v>6.7849999999999994E-2</v>
      </c>
      <c r="P358">
        <v>3.8610000000000002</v>
      </c>
      <c r="Q358">
        <v>116.88</v>
      </c>
      <c r="R358">
        <v>44.63</v>
      </c>
      <c r="S358">
        <v>136.47999999999999</v>
      </c>
    </row>
    <row r="359" spans="1:19" x14ac:dyDescent="0.25">
      <c r="A359" s="6">
        <v>44424</v>
      </c>
      <c r="B359">
        <v>87.6</v>
      </c>
      <c r="C359">
        <v>108.79</v>
      </c>
      <c r="D359">
        <v>132.07</v>
      </c>
      <c r="E359">
        <v>137.06</v>
      </c>
      <c r="F359">
        <v>120.16</v>
      </c>
      <c r="G359">
        <v>67.290000000000006</v>
      </c>
      <c r="H359">
        <v>69.510000000000005</v>
      </c>
      <c r="I359">
        <v>69.53</v>
      </c>
      <c r="J359">
        <v>55.94</v>
      </c>
      <c r="K359">
        <v>15.68</v>
      </c>
      <c r="L359">
        <v>68824.7</v>
      </c>
      <c r="M359">
        <v>54863.08</v>
      </c>
      <c r="N359">
        <v>17.989999999999998</v>
      </c>
      <c r="O359">
        <v>6.7349999999999993E-2</v>
      </c>
      <c r="P359">
        <v>3.9460000000000002</v>
      </c>
      <c r="Q359">
        <v>118.04</v>
      </c>
      <c r="R359">
        <v>47.99</v>
      </c>
      <c r="S359">
        <v>135.62</v>
      </c>
    </row>
    <row r="360" spans="1:19" x14ac:dyDescent="0.25">
      <c r="A360" s="6">
        <v>44425</v>
      </c>
      <c r="B360">
        <v>87.6</v>
      </c>
      <c r="C360">
        <v>108.79</v>
      </c>
      <c r="D360">
        <v>132.07</v>
      </c>
      <c r="E360">
        <v>137.06</v>
      </c>
      <c r="F360">
        <v>120.16</v>
      </c>
      <c r="G360">
        <v>66.59</v>
      </c>
      <c r="H360">
        <v>69.03</v>
      </c>
      <c r="I360">
        <v>69.33</v>
      </c>
      <c r="J360">
        <v>55.56</v>
      </c>
      <c r="K360">
        <v>15.38</v>
      </c>
      <c r="L360">
        <v>68939.839999999997</v>
      </c>
      <c r="M360">
        <v>56189.04</v>
      </c>
      <c r="N360">
        <v>17.48</v>
      </c>
      <c r="O360">
        <v>6.7049999999999998E-2</v>
      </c>
      <c r="P360">
        <v>3.8370000000000002</v>
      </c>
      <c r="Q360">
        <v>117.61</v>
      </c>
      <c r="R360">
        <v>46.95</v>
      </c>
      <c r="S360">
        <v>135.52000000000001</v>
      </c>
    </row>
    <row r="361" spans="1:19" x14ac:dyDescent="0.25">
      <c r="A361" s="6">
        <v>44426</v>
      </c>
      <c r="B361">
        <v>87.6</v>
      </c>
      <c r="C361">
        <v>108.79</v>
      </c>
      <c r="D361">
        <v>132.07</v>
      </c>
      <c r="E361">
        <v>137.06</v>
      </c>
      <c r="F361">
        <v>120.16</v>
      </c>
      <c r="G361">
        <v>65.459999999999994</v>
      </c>
      <c r="H361">
        <v>68.23</v>
      </c>
      <c r="I361">
        <v>68.95</v>
      </c>
      <c r="J361">
        <v>54.39</v>
      </c>
      <c r="K361">
        <v>15.32</v>
      </c>
      <c r="L361">
        <v>67905.679999999993</v>
      </c>
      <c r="M361">
        <v>54511.48</v>
      </c>
      <c r="N361">
        <v>16.77</v>
      </c>
      <c r="O361">
        <v>6.6869999999999999E-2</v>
      </c>
      <c r="P361">
        <v>3.8519999999999999</v>
      </c>
      <c r="Q361">
        <v>115.39</v>
      </c>
      <c r="R361">
        <v>45.384999999999998</v>
      </c>
      <c r="S361">
        <v>134.66999999999999</v>
      </c>
    </row>
    <row r="362" spans="1:19" x14ac:dyDescent="0.25">
      <c r="A362" s="6">
        <v>44427</v>
      </c>
      <c r="B362">
        <v>87.6</v>
      </c>
      <c r="C362">
        <v>108.79</v>
      </c>
      <c r="D362">
        <v>132.07</v>
      </c>
      <c r="E362">
        <v>137.06</v>
      </c>
      <c r="F362">
        <v>120.16</v>
      </c>
      <c r="G362">
        <v>63.69</v>
      </c>
      <c r="H362">
        <v>66.45</v>
      </c>
      <c r="I362">
        <v>68.03</v>
      </c>
      <c r="J362">
        <v>52.73</v>
      </c>
      <c r="K362">
        <v>15.12</v>
      </c>
      <c r="L362">
        <v>66113.48</v>
      </c>
      <c r="M362">
        <v>52479.040000000001</v>
      </c>
      <c r="N362">
        <v>15.18</v>
      </c>
      <c r="O362">
        <v>6.5720000000000001E-2</v>
      </c>
      <c r="P362">
        <v>3.83</v>
      </c>
      <c r="Q362">
        <v>116.38</v>
      </c>
      <c r="R362">
        <v>40.395000000000003</v>
      </c>
      <c r="S362">
        <v>133.82</v>
      </c>
    </row>
    <row r="363" spans="1:19" x14ac:dyDescent="0.25">
      <c r="A363" s="6">
        <v>44428</v>
      </c>
      <c r="B363">
        <v>88.46</v>
      </c>
      <c r="C363">
        <v>110.86</v>
      </c>
      <c r="D363">
        <v>133.05000000000001</v>
      </c>
      <c r="E363">
        <v>139.82</v>
      </c>
      <c r="F363">
        <v>125.12</v>
      </c>
      <c r="G363">
        <v>62.32</v>
      </c>
      <c r="H363">
        <v>65.180000000000007</v>
      </c>
      <c r="I363">
        <v>67.599999999999994</v>
      </c>
      <c r="J363">
        <v>52.74</v>
      </c>
      <c r="K363">
        <v>14.82</v>
      </c>
      <c r="L363">
        <v>66011.06</v>
      </c>
      <c r="M363">
        <v>51063.34</v>
      </c>
      <c r="N363">
        <v>15.574999999999999</v>
      </c>
      <c r="O363">
        <v>6.5320000000000003E-2</v>
      </c>
      <c r="P363">
        <v>3.851</v>
      </c>
      <c r="Q363">
        <v>117.15</v>
      </c>
      <c r="R363">
        <v>41.944000000000003</v>
      </c>
      <c r="S363">
        <v>133.82</v>
      </c>
    </row>
    <row r="364" spans="1:19" x14ac:dyDescent="0.25">
      <c r="A364" s="6">
        <v>44431</v>
      </c>
      <c r="B364">
        <v>88.46</v>
      </c>
      <c r="C364">
        <v>110.86</v>
      </c>
      <c r="D364">
        <v>133.05000000000001</v>
      </c>
      <c r="E364">
        <v>139.82</v>
      </c>
      <c r="F364">
        <v>125.12</v>
      </c>
      <c r="G364">
        <v>65.64</v>
      </c>
      <c r="H364">
        <v>68.75</v>
      </c>
      <c r="I364">
        <v>68.760000000000005</v>
      </c>
      <c r="J364">
        <v>54.91</v>
      </c>
      <c r="K364">
        <v>15.44</v>
      </c>
      <c r="L364">
        <v>66829.210000000006</v>
      </c>
      <c r="M364">
        <v>53412.66</v>
      </c>
      <c r="N364">
        <v>16.34</v>
      </c>
      <c r="O364">
        <v>6.6089999999999996E-2</v>
      </c>
      <c r="P364">
        <v>3.9449999999999998</v>
      </c>
      <c r="Q364">
        <v>118.07</v>
      </c>
      <c r="R364">
        <v>41.68</v>
      </c>
      <c r="S364">
        <v>138.83000000000001</v>
      </c>
    </row>
    <row r="365" spans="1:19" x14ac:dyDescent="0.25">
      <c r="A365" s="6">
        <v>44432</v>
      </c>
      <c r="B365">
        <v>88.46</v>
      </c>
      <c r="C365">
        <v>110.86</v>
      </c>
      <c r="D365">
        <v>133.05000000000001</v>
      </c>
      <c r="E365">
        <v>139.82</v>
      </c>
      <c r="F365">
        <v>125.12</v>
      </c>
      <c r="G365">
        <v>67.540000000000006</v>
      </c>
      <c r="H365">
        <v>71.05</v>
      </c>
      <c r="I365">
        <v>69.31</v>
      </c>
      <c r="J365">
        <v>55.36</v>
      </c>
      <c r="K365">
        <v>15.54</v>
      </c>
      <c r="L365">
        <v>67451.539999999994</v>
      </c>
      <c r="M365">
        <v>53767.5</v>
      </c>
      <c r="N365">
        <v>16.850000000000001</v>
      </c>
      <c r="O365">
        <v>6.6589999999999996E-2</v>
      </c>
      <c r="P365">
        <v>3.8959999999999999</v>
      </c>
      <c r="Q365">
        <v>117.4</v>
      </c>
      <c r="R365">
        <v>44.87</v>
      </c>
      <c r="S365">
        <v>143.57</v>
      </c>
    </row>
    <row r="366" spans="1:19" x14ac:dyDescent="0.25">
      <c r="A366" s="6">
        <v>44433</v>
      </c>
      <c r="B366">
        <v>88.46</v>
      </c>
      <c r="C366">
        <v>110.86</v>
      </c>
      <c r="D366">
        <v>133.05000000000001</v>
      </c>
      <c r="E366">
        <v>139.82</v>
      </c>
      <c r="F366">
        <v>125.12</v>
      </c>
      <c r="G366">
        <v>68.36</v>
      </c>
      <c r="H366">
        <v>72.25</v>
      </c>
      <c r="I366">
        <v>69.45</v>
      </c>
      <c r="J366">
        <v>55.46</v>
      </c>
      <c r="K366">
        <v>15.94</v>
      </c>
      <c r="L366">
        <v>67452.86</v>
      </c>
      <c r="M366">
        <v>52141.54</v>
      </c>
      <c r="N366">
        <v>17.03</v>
      </c>
      <c r="O366">
        <v>6.6860000000000003E-2</v>
      </c>
      <c r="P366">
        <v>3.8969999999999998</v>
      </c>
      <c r="Q366">
        <v>117.3</v>
      </c>
      <c r="R366">
        <v>45.284999999999997</v>
      </c>
      <c r="S366">
        <v>143.05000000000001</v>
      </c>
    </row>
    <row r="367" spans="1:19" x14ac:dyDescent="0.25">
      <c r="A367" s="6">
        <v>44434</v>
      </c>
      <c r="B367">
        <v>88.46</v>
      </c>
      <c r="C367">
        <v>110.86</v>
      </c>
      <c r="D367">
        <v>133.05000000000001</v>
      </c>
      <c r="E367">
        <v>139.82</v>
      </c>
      <c r="F367">
        <v>125.12</v>
      </c>
      <c r="G367">
        <v>67.42</v>
      </c>
      <c r="H367">
        <v>71.069999999999993</v>
      </c>
      <c r="I367">
        <v>69.239999999999995</v>
      </c>
      <c r="J367">
        <v>54.71</v>
      </c>
      <c r="K367">
        <v>15.94</v>
      </c>
      <c r="L367">
        <v>67068.740000000005</v>
      </c>
      <c r="M367">
        <v>52390.3</v>
      </c>
      <c r="N367">
        <v>17.245000000000001</v>
      </c>
      <c r="O367">
        <v>6.6879999999999995E-2</v>
      </c>
      <c r="P367">
        <v>4.1840000000000002</v>
      </c>
      <c r="Q367">
        <v>117.55</v>
      </c>
      <c r="R367">
        <v>45.79</v>
      </c>
      <c r="S367">
        <v>146.91999999999999</v>
      </c>
    </row>
    <row r="368" spans="1:19" x14ac:dyDescent="0.25">
      <c r="A368" s="6">
        <v>44435</v>
      </c>
      <c r="B368">
        <v>89.14</v>
      </c>
      <c r="C368">
        <v>113.48</v>
      </c>
      <c r="D368">
        <v>135.76</v>
      </c>
      <c r="E368">
        <v>142.09</v>
      </c>
      <c r="F368">
        <v>126.11</v>
      </c>
      <c r="G368">
        <v>68.739999999999995</v>
      </c>
      <c r="H368">
        <v>72.7</v>
      </c>
      <c r="I368">
        <v>69.44</v>
      </c>
      <c r="J368">
        <v>55.77</v>
      </c>
      <c r="K368">
        <v>16.100000000000001</v>
      </c>
      <c r="L368">
        <v>67646.080000000002</v>
      </c>
      <c r="M368">
        <v>53967.46</v>
      </c>
      <c r="N368">
        <v>17.7</v>
      </c>
      <c r="O368">
        <v>6.7830000000000001E-2</v>
      </c>
      <c r="P368">
        <v>4.37</v>
      </c>
      <c r="Q368">
        <v>118.41</v>
      </c>
      <c r="R368">
        <v>47.805999999999997</v>
      </c>
      <c r="S368">
        <v>144.62</v>
      </c>
    </row>
    <row r="369" spans="1:19" x14ac:dyDescent="0.25">
      <c r="A369" s="6">
        <v>44438</v>
      </c>
      <c r="B369">
        <v>89.14</v>
      </c>
      <c r="C369">
        <v>113.48</v>
      </c>
      <c r="D369">
        <v>135.76</v>
      </c>
      <c r="E369">
        <v>142.09</v>
      </c>
      <c r="F369">
        <v>126.11</v>
      </c>
      <c r="G369">
        <v>69.209999999999994</v>
      </c>
      <c r="H369">
        <v>73.41</v>
      </c>
      <c r="I369">
        <v>69.459999999999994</v>
      </c>
      <c r="J369">
        <v>55.16</v>
      </c>
      <c r="K369">
        <v>16.38</v>
      </c>
      <c r="L369">
        <v>67064.69</v>
      </c>
      <c r="M369">
        <v>52905.08</v>
      </c>
      <c r="N369">
        <v>17.72</v>
      </c>
      <c r="O369">
        <v>6.8129999999999996E-2</v>
      </c>
      <c r="P369">
        <v>4.3049999999999997</v>
      </c>
      <c r="Q369">
        <v>119.36</v>
      </c>
      <c r="R369">
        <v>49.68</v>
      </c>
      <c r="S369">
        <v>160.02000000000001</v>
      </c>
    </row>
    <row r="370" spans="1:19" x14ac:dyDescent="0.25">
      <c r="A370" s="6">
        <v>44439</v>
      </c>
      <c r="B370">
        <v>89.14</v>
      </c>
      <c r="C370">
        <v>113.48</v>
      </c>
      <c r="D370">
        <v>135.76</v>
      </c>
      <c r="E370">
        <v>142.09</v>
      </c>
      <c r="F370">
        <v>126.11</v>
      </c>
      <c r="G370">
        <v>68.5</v>
      </c>
      <c r="H370">
        <v>72.989999999999995</v>
      </c>
      <c r="I370">
        <v>69.489999999999995</v>
      </c>
      <c r="J370">
        <v>54.52</v>
      </c>
      <c r="K370">
        <v>17.22</v>
      </c>
      <c r="L370">
        <v>67427.929999999993</v>
      </c>
      <c r="M370">
        <v>53105.97</v>
      </c>
      <c r="N370">
        <v>18.22</v>
      </c>
      <c r="O370">
        <v>6.8839999999999998E-2</v>
      </c>
      <c r="P370">
        <v>4.3769999999999998</v>
      </c>
      <c r="Q370">
        <v>119.53</v>
      </c>
      <c r="R370">
        <v>50.34</v>
      </c>
      <c r="S370">
        <v>168.28</v>
      </c>
    </row>
    <row r="371" spans="1:19" x14ac:dyDescent="0.25">
      <c r="A371" s="6">
        <v>44440</v>
      </c>
      <c r="B371">
        <v>89.14</v>
      </c>
      <c r="C371">
        <v>113.48</v>
      </c>
      <c r="D371">
        <v>135.76</v>
      </c>
      <c r="E371">
        <v>142.09</v>
      </c>
      <c r="F371">
        <v>126.11</v>
      </c>
      <c r="G371">
        <v>68.59</v>
      </c>
      <c r="H371">
        <v>71.59</v>
      </c>
      <c r="I371">
        <v>69.92</v>
      </c>
      <c r="J371">
        <v>53.77</v>
      </c>
      <c r="K371">
        <v>16.8</v>
      </c>
      <c r="L371">
        <v>66976.05</v>
      </c>
      <c r="M371">
        <v>52385.68</v>
      </c>
      <c r="N371">
        <v>18.02</v>
      </c>
      <c r="O371">
        <v>6.9330000000000003E-2</v>
      </c>
      <c r="P371">
        <v>4.6150000000000002</v>
      </c>
      <c r="Q371">
        <v>120.62</v>
      </c>
      <c r="R371">
        <v>50.23</v>
      </c>
      <c r="S371">
        <v>186.77</v>
      </c>
    </row>
    <row r="372" spans="1:19" x14ac:dyDescent="0.25">
      <c r="A372" s="6">
        <v>44441</v>
      </c>
      <c r="B372">
        <v>89.14</v>
      </c>
      <c r="C372">
        <v>113.48</v>
      </c>
      <c r="D372">
        <v>135.76</v>
      </c>
      <c r="E372">
        <v>142.09</v>
      </c>
      <c r="F372">
        <v>126.11</v>
      </c>
      <c r="G372">
        <v>69.989999999999995</v>
      </c>
      <c r="H372">
        <v>73.03</v>
      </c>
      <c r="I372">
        <v>71.22</v>
      </c>
      <c r="J372">
        <v>55.08</v>
      </c>
      <c r="K372">
        <v>16.98</v>
      </c>
      <c r="L372">
        <v>66654.240000000005</v>
      </c>
      <c r="M372">
        <v>49981.79</v>
      </c>
      <c r="N372">
        <v>18.46</v>
      </c>
      <c r="O372">
        <v>6.9120000000000001E-2</v>
      </c>
      <c r="P372">
        <v>4.641</v>
      </c>
      <c r="Q372">
        <v>120.73</v>
      </c>
      <c r="R372">
        <v>51.914999999999999</v>
      </c>
      <c r="S372">
        <v>188.87</v>
      </c>
    </row>
    <row r="373" spans="1:19" x14ac:dyDescent="0.25">
      <c r="A373" s="6">
        <v>44442</v>
      </c>
      <c r="B373">
        <v>95.79</v>
      </c>
      <c r="C373">
        <v>120.49</v>
      </c>
      <c r="D373">
        <v>144.6</v>
      </c>
      <c r="E373">
        <v>148.85</v>
      </c>
      <c r="F373">
        <v>130.82</v>
      </c>
      <c r="G373">
        <v>69.290000000000006</v>
      </c>
      <c r="H373">
        <v>72.61</v>
      </c>
      <c r="I373">
        <v>70.64</v>
      </c>
      <c r="J373">
        <v>54.87</v>
      </c>
      <c r="K373">
        <v>17.239999999999998</v>
      </c>
      <c r="L373">
        <v>66371.850000000006</v>
      </c>
      <c r="M373">
        <v>51120.68</v>
      </c>
      <c r="N373">
        <v>18.46</v>
      </c>
      <c r="O373">
        <v>6.9769999999999999E-2</v>
      </c>
      <c r="P373">
        <v>4.7119999999999997</v>
      </c>
      <c r="Q373">
        <v>121.13</v>
      </c>
      <c r="R373">
        <v>51.505000000000003</v>
      </c>
      <c r="S373">
        <v>179.75</v>
      </c>
    </row>
    <row r="374" spans="1:19" x14ac:dyDescent="0.25">
      <c r="A374" s="6">
        <v>44445</v>
      </c>
      <c r="B374">
        <v>95.79</v>
      </c>
      <c r="C374">
        <v>120.49</v>
      </c>
      <c r="D374">
        <v>144.6</v>
      </c>
      <c r="E374">
        <v>148.85</v>
      </c>
      <c r="F374">
        <v>130.82</v>
      </c>
      <c r="G374">
        <v>68.8</v>
      </c>
      <c r="H374">
        <v>72.22</v>
      </c>
      <c r="I374">
        <v>70.174999999999997</v>
      </c>
      <c r="J374">
        <v>54.709999999999994</v>
      </c>
      <c r="K374">
        <v>17.78</v>
      </c>
      <c r="L374">
        <v>66253.8</v>
      </c>
      <c r="M374">
        <v>49296.09</v>
      </c>
      <c r="N374">
        <v>18.797297297297519</v>
      </c>
      <c r="O374">
        <v>7.0220000000000005E-2</v>
      </c>
      <c r="P374">
        <v>4.6929999999999996</v>
      </c>
      <c r="Q374">
        <v>119.935</v>
      </c>
      <c r="R374">
        <v>52.707499999999996</v>
      </c>
      <c r="S374">
        <v>187.05</v>
      </c>
    </row>
    <row r="375" spans="1:19" x14ac:dyDescent="0.25">
      <c r="A375" s="6">
        <v>44446</v>
      </c>
      <c r="B375">
        <v>95.79</v>
      </c>
      <c r="C375">
        <v>120.49</v>
      </c>
      <c r="D375">
        <v>144.6</v>
      </c>
      <c r="E375">
        <v>148.85</v>
      </c>
      <c r="F375">
        <v>130.82</v>
      </c>
      <c r="G375">
        <v>68.349999999999994</v>
      </c>
      <c r="H375">
        <v>71.69</v>
      </c>
      <c r="I375">
        <v>69.709999999999994</v>
      </c>
      <c r="J375">
        <v>54.55</v>
      </c>
      <c r="K375">
        <v>18.100000000000001</v>
      </c>
      <c r="L375">
        <v>66514.91</v>
      </c>
      <c r="M375">
        <v>49111.81</v>
      </c>
      <c r="N375">
        <v>18.684999999999999</v>
      </c>
      <c r="O375">
        <v>6.9830000000000003E-2</v>
      </c>
      <c r="P375">
        <v>4.5679999999999996</v>
      </c>
      <c r="Q375">
        <v>118.74</v>
      </c>
      <c r="R375">
        <v>53.91</v>
      </c>
      <c r="S375">
        <v>190.33</v>
      </c>
    </row>
    <row r="376" spans="1:19" x14ac:dyDescent="0.25">
      <c r="A376" s="6">
        <v>44447</v>
      </c>
      <c r="B376">
        <v>95.79</v>
      </c>
      <c r="C376">
        <v>120.49</v>
      </c>
      <c r="D376">
        <v>144.6</v>
      </c>
      <c r="E376">
        <v>148.85</v>
      </c>
      <c r="F376">
        <v>130.82</v>
      </c>
      <c r="G376">
        <v>69.3</v>
      </c>
      <c r="H376">
        <v>72.599999999999994</v>
      </c>
      <c r="I376">
        <v>70.38</v>
      </c>
      <c r="J376">
        <v>54.05</v>
      </c>
      <c r="K376">
        <v>18</v>
      </c>
      <c r="L376">
        <v>65525.35</v>
      </c>
      <c r="M376">
        <v>47572.97</v>
      </c>
      <c r="N376">
        <v>18.649999999999999</v>
      </c>
      <c r="O376">
        <v>7.0440000000000003E-2</v>
      </c>
      <c r="P376">
        <v>4.9139999999999997</v>
      </c>
      <c r="Q376">
        <v>119.74</v>
      </c>
      <c r="R376">
        <v>55.29</v>
      </c>
      <c r="S376">
        <v>197</v>
      </c>
    </row>
    <row r="377" spans="1:19" x14ac:dyDescent="0.25">
      <c r="A377" s="6">
        <v>44448</v>
      </c>
      <c r="B377">
        <v>95.79</v>
      </c>
      <c r="C377">
        <v>120.49</v>
      </c>
      <c r="D377">
        <v>144.6</v>
      </c>
      <c r="E377">
        <v>148.85</v>
      </c>
      <c r="F377">
        <v>130.82</v>
      </c>
      <c r="G377">
        <v>68.14</v>
      </c>
      <c r="H377">
        <v>71.45</v>
      </c>
      <c r="I377">
        <v>69.63</v>
      </c>
      <c r="J377">
        <v>54.09</v>
      </c>
      <c r="K377">
        <v>18.46</v>
      </c>
      <c r="L377">
        <v>64176.53</v>
      </c>
      <c r="M377">
        <v>45804.4</v>
      </c>
      <c r="N377">
        <v>18.625</v>
      </c>
      <c r="O377">
        <v>7.0319999999999994E-2</v>
      </c>
      <c r="P377">
        <v>5.0309999999999997</v>
      </c>
      <c r="Q377">
        <v>119.45</v>
      </c>
      <c r="R377">
        <v>56.58</v>
      </c>
      <c r="S377">
        <v>199.62</v>
      </c>
    </row>
    <row r="378" spans="1:19" x14ac:dyDescent="0.25">
      <c r="A378" s="6">
        <v>44449</v>
      </c>
      <c r="B378">
        <v>98.9</v>
      </c>
      <c r="C378">
        <v>124.34</v>
      </c>
      <c r="D378">
        <v>148.35</v>
      </c>
      <c r="E378">
        <v>153.77000000000001</v>
      </c>
      <c r="F378">
        <v>135.88</v>
      </c>
      <c r="G378">
        <v>69.72</v>
      </c>
      <c r="H378">
        <v>72.92</v>
      </c>
      <c r="I378">
        <v>70.7</v>
      </c>
      <c r="J378">
        <v>53.98</v>
      </c>
      <c r="K378">
        <v>18.38</v>
      </c>
      <c r="L378">
        <v>64296.06</v>
      </c>
      <c r="M378">
        <v>45226.87</v>
      </c>
      <c r="N378">
        <v>18.649999999999999</v>
      </c>
      <c r="O378">
        <v>7.0319999999999994E-2</v>
      </c>
      <c r="P378">
        <v>4.9379999999999997</v>
      </c>
      <c r="Q378">
        <v>118.84</v>
      </c>
      <c r="R378">
        <v>57.915999999999997</v>
      </c>
      <c r="S378">
        <v>197.58</v>
      </c>
    </row>
    <row r="379" spans="1:19" x14ac:dyDescent="0.25">
      <c r="A379" s="6">
        <v>44452</v>
      </c>
      <c r="B379">
        <v>98.9</v>
      </c>
      <c r="C379">
        <v>124.34</v>
      </c>
      <c r="D379">
        <v>148.35</v>
      </c>
      <c r="E379">
        <v>153.77000000000001</v>
      </c>
      <c r="F379">
        <v>135.88</v>
      </c>
      <c r="G379">
        <v>70.45</v>
      </c>
      <c r="H379">
        <v>73.510000000000005</v>
      </c>
      <c r="I379">
        <v>71.11</v>
      </c>
      <c r="J379">
        <v>55.37</v>
      </c>
      <c r="K379">
        <v>19.079999999999998</v>
      </c>
      <c r="L379">
        <v>64652.32</v>
      </c>
      <c r="M379">
        <v>46596.46</v>
      </c>
      <c r="N379">
        <v>18.82</v>
      </c>
      <c r="O379">
        <v>7.0650000000000004E-2</v>
      </c>
      <c r="P379">
        <v>5.2309999999999999</v>
      </c>
      <c r="Q379">
        <v>118.55</v>
      </c>
      <c r="R379">
        <v>61.28</v>
      </c>
      <c r="S379">
        <v>197.58</v>
      </c>
    </row>
    <row r="380" spans="1:19" x14ac:dyDescent="0.25">
      <c r="A380" s="6">
        <v>44453</v>
      </c>
      <c r="B380">
        <v>98.9</v>
      </c>
      <c r="C380">
        <v>124.34</v>
      </c>
      <c r="D380">
        <v>148.35</v>
      </c>
      <c r="E380">
        <v>153.77000000000001</v>
      </c>
      <c r="F380">
        <v>135.88</v>
      </c>
      <c r="G380">
        <v>70.459999999999994</v>
      </c>
      <c r="H380">
        <v>73.599999999999994</v>
      </c>
      <c r="I380">
        <v>71.19</v>
      </c>
      <c r="J380">
        <v>54.58</v>
      </c>
      <c r="K380">
        <v>18.579999999999998</v>
      </c>
      <c r="L380">
        <v>64300.46</v>
      </c>
      <c r="M380">
        <v>45878.78</v>
      </c>
      <c r="N380">
        <v>18.934999999999999</v>
      </c>
      <c r="O380">
        <v>6.9760000000000003E-2</v>
      </c>
      <c r="P380">
        <v>5.26</v>
      </c>
      <c r="Q380">
        <v>119.26</v>
      </c>
      <c r="R380">
        <v>65.765000000000001</v>
      </c>
      <c r="S380">
        <v>195.43</v>
      </c>
    </row>
    <row r="381" spans="1:19" x14ac:dyDescent="0.25">
      <c r="A381" s="6">
        <v>44454</v>
      </c>
      <c r="B381">
        <v>98.9</v>
      </c>
      <c r="C381">
        <v>124.34</v>
      </c>
      <c r="D381">
        <v>148.35</v>
      </c>
      <c r="E381">
        <v>153.77000000000001</v>
      </c>
      <c r="F381">
        <v>135.88</v>
      </c>
      <c r="G381">
        <v>72.61</v>
      </c>
      <c r="H381">
        <v>75.459999999999994</v>
      </c>
      <c r="I381">
        <v>72.09</v>
      </c>
      <c r="J381">
        <v>56.42</v>
      </c>
      <c r="K381">
        <v>18.52</v>
      </c>
      <c r="L381">
        <v>64385.13</v>
      </c>
      <c r="M381">
        <v>46059.41</v>
      </c>
      <c r="N381">
        <v>19.018999999999998</v>
      </c>
      <c r="O381">
        <v>6.9339999999999999E-2</v>
      </c>
      <c r="P381">
        <v>5.46</v>
      </c>
      <c r="Q381">
        <v>118.76</v>
      </c>
      <c r="R381">
        <v>70.704999999999998</v>
      </c>
      <c r="S381">
        <v>199.73</v>
      </c>
    </row>
    <row r="382" spans="1:19" x14ac:dyDescent="0.25">
      <c r="A382" s="6">
        <v>44455</v>
      </c>
      <c r="B382">
        <v>98.9</v>
      </c>
      <c r="C382">
        <v>124.34</v>
      </c>
      <c r="D382">
        <v>148.35</v>
      </c>
      <c r="E382">
        <v>153.77000000000001</v>
      </c>
      <c r="F382">
        <v>135.88</v>
      </c>
      <c r="G382">
        <v>72.61</v>
      </c>
      <c r="H382">
        <v>75.67</v>
      </c>
      <c r="I382">
        <v>72.069999999999993</v>
      </c>
      <c r="J382">
        <v>55.82</v>
      </c>
      <c r="K382">
        <v>18.18</v>
      </c>
      <c r="L382">
        <v>63313.75</v>
      </c>
      <c r="M382">
        <v>43901.36</v>
      </c>
      <c r="N382">
        <v>23.42</v>
      </c>
      <c r="O382">
        <v>6.8459999999999993E-2</v>
      </c>
      <c r="P382">
        <v>5.335</v>
      </c>
      <c r="Q382">
        <v>118.93</v>
      </c>
      <c r="R382">
        <v>63.25</v>
      </c>
      <c r="S382">
        <v>203.05</v>
      </c>
    </row>
    <row r="383" spans="1:19" x14ac:dyDescent="0.25">
      <c r="A383" s="6">
        <v>44456</v>
      </c>
      <c r="B383">
        <v>100.79</v>
      </c>
      <c r="C383">
        <v>126.75</v>
      </c>
      <c r="D383">
        <v>149.79</v>
      </c>
      <c r="E383">
        <v>158.69999999999999</v>
      </c>
      <c r="F383">
        <v>138.5</v>
      </c>
      <c r="G383">
        <v>71.97</v>
      </c>
      <c r="H383">
        <v>75.34</v>
      </c>
      <c r="I383">
        <v>71.92</v>
      </c>
      <c r="J383">
        <v>55.16</v>
      </c>
      <c r="K383">
        <v>17.579999999999998</v>
      </c>
      <c r="L383">
        <v>62863.64</v>
      </c>
      <c r="M383">
        <v>44201.63</v>
      </c>
      <c r="N383">
        <v>25</v>
      </c>
      <c r="O383">
        <v>6.8040000000000003E-2</v>
      </c>
      <c r="P383">
        <v>5.1050000000000004</v>
      </c>
      <c r="Q383">
        <v>117.7</v>
      </c>
      <c r="R383">
        <v>65.102999999999994</v>
      </c>
      <c r="S383">
        <v>199.58</v>
      </c>
    </row>
    <row r="384" spans="1:19" x14ac:dyDescent="0.25">
      <c r="A384" s="6">
        <v>44459</v>
      </c>
      <c r="B384">
        <v>100.79</v>
      </c>
      <c r="C384">
        <v>126.75</v>
      </c>
      <c r="D384">
        <v>149.79</v>
      </c>
      <c r="E384">
        <v>158.69999999999999</v>
      </c>
      <c r="F384">
        <v>138.5</v>
      </c>
      <c r="G384">
        <v>70.290000000000006</v>
      </c>
      <c r="H384">
        <v>73.92</v>
      </c>
      <c r="I384">
        <v>71.36</v>
      </c>
      <c r="J384">
        <v>53.69</v>
      </c>
      <c r="K384">
        <v>17.04</v>
      </c>
      <c r="L384">
        <v>61453.42</v>
      </c>
      <c r="M384">
        <v>44289.19</v>
      </c>
      <c r="N384">
        <v>27.184999999999999</v>
      </c>
      <c r="O384">
        <v>6.7570000000000005E-2</v>
      </c>
      <c r="P384">
        <v>4.9850000000000003</v>
      </c>
      <c r="Q384">
        <v>116.83</v>
      </c>
      <c r="R384">
        <v>75.314999999999998</v>
      </c>
      <c r="S384">
        <v>194.17</v>
      </c>
    </row>
    <row r="385" spans="1:19" x14ac:dyDescent="0.25">
      <c r="A385" s="6">
        <v>44460</v>
      </c>
      <c r="B385">
        <v>100.79</v>
      </c>
      <c r="C385">
        <v>126.75</v>
      </c>
      <c r="D385">
        <v>149.79</v>
      </c>
      <c r="E385">
        <v>158.69999999999999</v>
      </c>
      <c r="F385">
        <v>138.5</v>
      </c>
      <c r="G385">
        <v>70.56</v>
      </c>
      <c r="H385">
        <v>74.36</v>
      </c>
      <c r="I385">
        <v>71.569999999999993</v>
      </c>
      <c r="J385">
        <v>53.64</v>
      </c>
      <c r="K385">
        <v>17.239999999999998</v>
      </c>
      <c r="L385">
        <v>62362.18</v>
      </c>
      <c r="M385">
        <v>44560.22</v>
      </c>
      <c r="N385">
        <v>27.524999999999999</v>
      </c>
      <c r="O385">
        <v>6.7390000000000005E-2</v>
      </c>
      <c r="P385">
        <v>4.8049999999999997</v>
      </c>
      <c r="Q385">
        <v>116.74</v>
      </c>
      <c r="R385">
        <v>73.78</v>
      </c>
      <c r="S385">
        <v>194.58</v>
      </c>
    </row>
    <row r="386" spans="1:19" x14ac:dyDescent="0.25">
      <c r="A386" s="6">
        <v>44461</v>
      </c>
      <c r="B386">
        <v>100.79</v>
      </c>
      <c r="C386">
        <v>126.75</v>
      </c>
      <c r="D386">
        <v>149.79</v>
      </c>
      <c r="E386">
        <v>158.69999999999999</v>
      </c>
      <c r="F386">
        <v>138.5</v>
      </c>
      <c r="G386">
        <v>72.23</v>
      </c>
      <c r="H386">
        <v>76.19</v>
      </c>
      <c r="I386">
        <v>72.14</v>
      </c>
      <c r="J386">
        <v>55.21</v>
      </c>
      <c r="K386">
        <v>16.769270386264907</v>
      </c>
      <c r="L386">
        <v>63353.05</v>
      </c>
      <c r="M386">
        <v>45597.05</v>
      </c>
      <c r="N386">
        <v>26.975000000000001</v>
      </c>
      <c r="O386">
        <v>6.7540000000000003E-2</v>
      </c>
      <c r="P386">
        <v>4.8049999999999997</v>
      </c>
      <c r="Q386">
        <v>116.91</v>
      </c>
      <c r="R386">
        <v>71.69</v>
      </c>
      <c r="S386">
        <v>200.22</v>
      </c>
    </row>
    <row r="387" spans="1:19" x14ac:dyDescent="0.25">
      <c r="A387" s="6">
        <v>44462</v>
      </c>
      <c r="B387">
        <v>100.79</v>
      </c>
      <c r="C387">
        <v>126.75</v>
      </c>
      <c r="D387">
        <v>149.79</v>
      </c>
      <c r="E387">
        <v>158.69999999999999</v>
      </c>
      <c r="F387">
        <v>138.5</v>
      </c>
      <c r="G387">
        <v>73.3</v>
      </c>
      <c r="H387">
        <v>77.25</v>
      </c>
      <c r="I387">
        <v>72.349999999999994</v>
      </c>
      <c r="J387">
        <v>57.08</v>
      </c>
      <c r="K387">
        <v>17.68</v>
      </c>
      <c r="L387">
        <v>64049.05</v>
      </c>
      <c r="M387">
        <v>45246.01</v>
      </c>
      <c r="N387">
        <v>26.8</v>
      </c>
      <c r="O387">
        <v>6.7780000000000007E-2</v>
      </c>
      <c r="P387">
        <v>4.976</v>
      </c>
      <c r="Q387">
        <v>118.91</v>
      </c>
      <c r="R387">
        <v>69.685000000000002</v>
      </c>
      <c r="S387">
        <v>200.4</v>
      </c>
    </row>
    <row r="388" spans="1:19" x14ac:dyDescent="0.25">
      <c r="A388" s="6">
        <v>44463</v>
      </c>
      <c r="B388">
        <v>104.18</v>
      </c>
      <c r="C388">
        <v>130.63</v>
      </c>
      <c r="D388">
        <v>156.16999999999999</v>
      </c>
      <c r="E388">
        <v>162.24</v>
      </c>
      <c r="F388">
        <v>141.65</v>
      </c>
      <c r="G388">
        <v>73.98</v>
      </c>
      <c r="H388">
        <v>78.09</v>
      </c>
      <c r="I388">
        <v>72.45</v>
      </c>
      <c r="J388">
        <v>57.59</v>
      </c>
      <c r="K388">
        <v>16.760000000000002</v>
      </c>
      <c r="L388">
        <v>63142.603519313503</v>
      </c>
      <c r="M388">
        <v>45481.782317597419</v>
      </c>
      <c r="N388">
        <v>27.495000000000001</v>
      </c>
      <c r="O388">
        <v>6.6790000000000002E-2</v>
      </c>
      <c r="P388">
        <v>5.14</v>
      </c>
      <c r="Q388">
        <v>119.74</v>
      </c>
      <c r="R388">
        <v>70.239999999999995</v>
      </c>
      <c r="S388">
        <v>197.12</v>
      </c>
    </row>
    <row r="389" spans="1:19" x14ac:dyDescent="0.25">
      <c r="A389" s="6">
        <v>44466</v>
      </c>
      <c r="B389">
        <v>104.18</v>
      </c>
      <c r="C389">
        <v>130.63</v>
      </c>
      <c r="D389">
        <v>156.16999999999999</v>
      </c>
      <c r="E389">
        <v>162.24</v>
      </c>
      <c r="F389">
        <v>141.65</v>
      </c>
      <c r="G389">
        <v>75.45</v>
      </c>
      <c r="H389">
        <v>79.53</v>
      </c>
      <c r="I389">
        <v>72.61</v>
      </c>
      <c r="J389">
        <v>59.3</v>
      </c>
      <c r="K389">
        <v>16.84</v>
      </c>
      <c r="L389">
        <v>64197.36</v>
      </c>
      <c r="M389">
        <v>44391.71</v>
      </c>
      <c r="N389">
        <v>29.195</v>
      </c>
      <c r="O389">
        <v>6.6780000000000006E-2</v>
      </c>
      <c r="P389">
        <v>5.7060000000000004</v>
      </c>
      <c r="Q389">
        <v>118.64</v>
      </c>
      <c r="R389">
        <v>76.504999999999995</v>
      </c>
      <c r="S389">
        <v>196.33</v>
      </c>
    </row>
    <row r="390" spans="1:19" x14ac:dyDescent="0.25">
      <c r="A390" s="6">
        <v>44467</v>
      </c>
      <c r="B390">
        <v>104.18</v>
      </c>
      <c r="C390">
        <v>130.63</v>
      </c>
      <c r="D390">
        <v>156.16999999999999</v>
      </c>
      <c r="E390">
        <v>162.24</v>
      </c>
      <c r="F390">
        <v>141.65</v>
      </c>
      <c r="G390">
        <v>75.290000000000006</v>
      </c>
      <c r="H390">
        <v>79.09</v>
      </c>
      <c r="I390">
        <v>72.63</v>
      </c>
      <c r="J390">
        <v>59.92</v>
      </c>
      <c r="K390">
        <v>18.100000000000001</v>
      </c>
      <c r="L390">
        <v>63784.41</v>
      </c>
      <c r="M390">
        <v>43477.11</v>
      </c>
      <c r="N390">
        <v>29.35</v>
      </c>
      <c r="O390">
        <v>6.6189999999999999E-2</v>
      </c>
      <c r="P390">
        <v>5.8410000000000002</v>
      </c>
      <c r="Q390">
        <v>116.55</v>
      </c>
      <c r="R390">
        <v>78.564999999999998</v>
      </c>
      <c r="S390">
        <v>198.78</v>
      </c>
    </row>
    <row r="391" spans="1:19" x14ac:dyDescent="0.25">
      <c r="A391" s="6">
        <v>44468</v>
      </c>
      <c r="B391">
        <v>104.18</v>
      </c>
      <c r="C391">
        <v>130.63</v>
      </c>
      <c r="D391">
        <v>156.16999999999999</v>
      </c>
      <c r="E391">
        <v>162.24</v>
      </c>
      <c r="F391">
        <v>141.65</v>
      </c>
      <c r="G391">
        <v>74.83</v>
      </c>
      <c r="H391">
        <v>78.64</v>
      </c>
      <c r="I391">
        <v>72.569999999999993</v>
      </c>
      <c r="J391">
        <v>59.88</v>
      </c>
      <c r="K391">
        <v>17.559999999999999</v>
      </c>
      <c r="L391">
        <v>64363.66</v>
      </c>
      <c r="M391">
        <v>43281.18</v>
      </c>
      <c r="N391">
        <v>30.004999999999999</v>
      </c>
      <c r="O391">
        <v>6.583E-2</v>
      </c>
      <c r="P391">
        <v>5.4770000000000003</v>
      </c>
      <c r="Q391">
        <v>116.9</v>
      </c>
      <c r="R391">
        <v>86.608999999999995</v>
      </c>
      <c r="S391">
        <v>212.42</v>
      </c>
    </row>
    <row r="392" spans="1:19" x14ac:dyDescent="0.25">
      <c r="A392" s="6">
        <v>44469</v>
      </c>
      <c r="B392">
        <v>104.18</v>
      </c>
      <c r="C392">
        <v>130.63</v>
      </c>
      <c r="D392">
        <v>156.16999999999999</v>
      </c>
      <c r="E392">
        <v>162.24</v>
      </c>
      <c r="F392">
        <v>141.65</v>
      </c>
      <c r="G392">
        <v>75.03</v>
      </c>
      <c r="H392">
        <v>78.52</v>
      </c>
      <c r="I392">
        <v>72.61</v>
      </c>
      <c r="J392">
        <v>58.82</v>
      </c>
      <c r="K392">
        <v>18.22</v>
      </c>
      <c r="L392">
        <v>64281.77</v>
      </c>
      <c r="M392">
        <v>44663.839999999997</v>
      </c>
      <c r="N392">
        <v>31.094999999999999</v>
      </c>
      <c r="O392">
        <v>6.6210000000000005E-2</v>
      </c>
      <c r="P392">
        <v>5.867</v>
      </c>
      <c r="Q392">
        <v>114.82</v>
      </c>
      <c r="R392">
        <v>97.775000000000006</v>
      </c>
      <c r="S392">
        <v>215.32</v>
      </c>
    </row>
    <row r="393" spans="1:19" x14ac:dyDescent="0.25">
      <c r="A393" s="6">
        <v>44470</v>
      </c>
      <c r="B393">
        <v>126.17</v>
      </c>
      <c r="C393">
        <v>155.43</v>
      </c>
      <c r="D393">
        <v>183.7</v>
      </c>
      <c r="E393">
        <v>193.94</v>
      </c>
      <c r="F393">
        <v>160.76</v>
      </c>
      <c r="G393">
        <v>75.88</v>
      </c>
      <c r="H393">
        <v>79.28</v>
      </c>
      <c r="I393">
        <v>76.77</v>
      </c>
      <c r="J393">
        <v>60.93</v>
      </c>
      <c r="K393">
        <v>17.99948497853984</v>
      </c>
      <c r="L393">
        <v>63661.02</v>
      </c>
      <c r="M393">
        <v>44281.81</v>
      </c>
      <c r="N393">
        <v>31.07</v>
      </c>
      <c r="O393">
        <v>6.7140000000000005E-2</v>
      </c>
      <c r="P393">
        <v>5.6189999999999998</v>
      </c>
      <c r="Q393">
        <v>115.4</v>
      </c>
      <c r="R393">
        <v>93.625</v>
      </c>
      <c r="S393">
        <v>206.78</v>
      </c>
    </row>
    <row r="394" spans="1:19" x14ac:dyDescent="0.25">
      <c r="A394" s="6">
        <v>44473</v>
      </c>
      <c r="B394">
        <v>126.17</v>
      </c>
      <c r="C394">
        <v>155.43</v>
      </c>
      <c r="D394">
        <v>183.7</v>
      </c>
      <c r="E394">
        <v>193.94</v>
      </c>
      <c r="F394">
        <v>160.76</v>
      </c>
      <c r="G394">
        <v>77.62</v>
      </c>
      <c r="H394">
        <v>81.260000000000005</v>
      </c>
      <c r="I394">
        <v>78.52</v>
      </c>
      <c r="J394">
        <v>61.72</v>
      </c>
      <c r="K394">
        <v>18.38</v>
      </c>
      <c r="L394">
        <v>64129</v>
      </c>
      <c r="M394">
        <v>45901.56</v>
      </c>
      <c r="N394">
        <v>31.56</v>
      </c>
      <c r="O394">
        <v>6.6439999999999999E-2</v>
      </c>
      <c r="P394">
        <v>5.766</v>
      </c>
      <c r="Q394">
        <v>114.7</v>
      </c>
      <c r="R394">
        <v>96.65</v>
      </c>
      <c r="S394">
        <v>210.82</v>
      </c>
    </row>
    <row r="395" spans="1:19" x14ac:dyDescent="0.25">
      <c r="A395" s="6">
        <v>44474</v>
      </c>
      <c r="B395">
        <v>126.17</v>
      </c>
      <c r="C395">
        <v>155.43</v>
      </c>
      <c r="D395">
        <v>183.7</v>
      </c>
      <c r="E395">
        <v>193.94</v>
      </c>
      <c r="F395">
        <v>160.76</v>
      </c>
      <c r="G395">
        <v>78.930000000000007</v>
      </c>
      <c r="H395">
        <v>82.56</v>
      </c>
      <c r="I395">
        <v>79.709999999999994</v>
      </c>
      <c r="J395">
        <v>61.62</v>
      </c>
      <c r="K395">
        <v>18.82</v>
      </c>
      <c r="L395">
        <v>64542.87</v>
      </c>
      <c r="M395">
        <v>45198.94</v>
      </c>
      <c r="N395">
        <v>35.064999999999998</v>
      </c>
      <c r="O395">
        <v>6.6650000000000001E-2</v>
      </c>
      <c r="P395">
        <v>6.3120000000000003</v>
      </c>
      <c r="Q395">
        <v>118.08</v>
      </c>
      <c r="R395">
        <v>116.02</v>
      </c>
      <c r="S395">
        <v>210.85</v>
      </c>
    </row>
    <row r="396" spans="1:19" x14ac:dyDescent="0.25">
      <c r="A396" s="6">
        <v>44475</v>
      </c>
      <c r="B396">
        <v>126.17</v>
      </c>
      <c r="C396">
        <v>155.43</v>
      </c>
      <c r="D396">
        <v>183.7</v>
      </c>
      <c r="E396">
        <v>193.94</v>
      </c>
      <c r="F396">
        <v>160.76</v>
      </c>
      <c r="G396">
        <v>77.430000000000007</v>
      </c>
      <c r="H396">
        <v>81.08</v>
      </c>
      <c r="I396">
        <v>78.69</v>
      </c>
      <c r="J396">
        <v>60.49</v>
      </c>
      <c r="K396">
        <v>18.88</v>
      </c>
      <c r="L396">
        <v>63987.02</v>
      </c>
      <c r="M396">
        <v>45097.82</v>
      </c>
      <c r="N396">
        <v>34.049999999999997</v>
      </c>
      <c r="O396">
        <v>6.676E-2</v>
      </c>
      <c r="P396">
        <v>5.6749999999999998</v>
      </c>
      <c r="Q396">
        <v>122.62</v>
      </c>
      <c r="R396">
        <v>108.19</v>
      </c>
      <c r="S396">
        <v>209.18</v>
      </c>
    </row>
    <row r="397" spans="1:19" x14ac:dyDescent="0.25">
      <c r="A397" s="6">
        <v>44476</v>
      </c>
      <c r="B397">
        <v>126.17</v>
      </c>
      <c r="C397">
        <v>155.43</v>
      </c>
      <c r="D397">
        <v>183.7</v>
      </c>
      <c r="E397">
        <v>193.94</v>
      </c>
      <c r="F397">
        <v>160.76</v>
      </c>
      <c r="G397">
        <v>78.3</v>
      </c>
      <c r="H397">
        <v>81.95</v>
      </c>
      <c r="I397">
        <v>79.45</v>
      </c>
      <c r="J397">
        <v>60.66</v>
      </c>
      <c r="K397">
        <v>18.68</v>
      </c>
      <c r="L397">
        <v>65157.75</v>
      </c>
      <c r="M397">
        <v>47964.04</v>
      </c>
      <c r="N397">
        <v>33.08</v>
      </c>
      <c r="O397">
        <v>6.6909999999999997E-2</v>
      </c>
      <c r="P397">
        <v>5.6769999999999996</v>
      </c>
      <c r="Q397">
        <v>126.4</v>
      </c>
      <c r="R397">
        <v>96.584999999999994</v>
      </c>
      <c r="S397">
        <v>213.43</v>
      </c>
    </row>
    <row r="398" spans="1:19" x14ac:dyDescent="0.25">
      <c r="A398" s="6">
        <v>44477</v>
      </c>
      <c r="B398">
        <v>152.61000000000001</v>
      </c>
      <c r="C398">
        <v>185.6</v>
      </c>
      <c r="D398">
        <v>216.97</v>
      </c>
      <c r="E398">
        <v>229.89</v>
      </c>
      <c r="F398">
        <v>175.32</v>
      </c>
      <c r="G398">
        <v>79.349999999999994</v>
      </c>
      <c r="H398">
        <v>82.39</v>
      </c>
      <c r="I398">
        <v>79.760000000000005</v>
      </c>
      <c r="J398">
        <v>62.18</v>
      </c>
      <c r="K398">
        <v>17.46</v>
      </c>
      <c r="L398">
        <v>65242.61</v>
      </c>
      <c r="M398">
        <v>51050.33</v>
      </c>
      <c r="N398">
        <v>32.06</v>
      </c>
      <c r="O398">
        <v>6.6809999999999994E-2</v>
      </c>
      <c r="P398">
        <v>5.5650000000000004</v>
      </c>
      <c r="Q398">
        <v>128.1</v>
      </c>
      <c r="R398">
        <v>87.605000000000004</v>
      </c>
      <c r="S398">
        <v>231.97</v>
      </c>
    </row>
    <row r="399" spans="1:19" x14ac:dyDescent="0.25">
      <c r="A399" s="6">
        <v>44480</v>
      </c>
      <c r="B399">
        <v>152.61000000000001</v>
      </c>
      <c r="C399">
        <v>185.6</v>
      </c>
      <c r="D399">
        <v>216.97</v>
      </c>
      <c r="E399">
        <v>229.89</v>
      </c>
      <c r="F399">
        <v>175.32</v>
      </c>
      <c r="G399">
        <v>80.52</v>
      </c>
      <c r="H399">
        <v>83.65</v>
      </c>
      <c r="I399">
        <v>80.680000000000007</v>
      </c>
      <c r="J399">
        <v>61.56</v>
      </c>
      <c r="K399">
        <v>18.14</v>
      </c>
      <c r="L399">
        <v>66101.039999999994</v>
      </c>
      <c r="M399">
        <v>51714.73</v>
      </c>
      <c r="N399">
        <v>33.08</v>
      </c>
      <c r="O399">
        <v>6.6360000000000002E-2</v>
      </c>
      <c r="P399">
        <v>5.3449999999999998</v>
      </c>
      <c r="Q399">
        <v>127.57</v>
      </c>
      <c r="R399">
        <v>85.215000000000003</v>
      </c>
      <c r="S399">
        <v>260.3</v>
      </c>
    </row>
    <row r="400" spans="1:19" x14ac:dyDescent="0.25">
      <c r="A400" s="6">
        <v>44481</v>
      </c>
      <c r="B400">
        <v>152.61000000000001</v>
      </c>
      <c r="C400">
        <v>185.6</v>
      </c>
      <c r="D400">
        <v>216.97</v>
      </c>
      <c r="E400">
        <v>229.89</v>
      </c>
      <c r="F400">
        <v>175.32</v>
      </c>
      <c r="G400">
        <v>80.64</v>
      </c>
      <c r="H400">
        <v>83.42</v>
      </c>
      <c r="I400">
        <v>80.58</v>
      </c>
      <c r="J400">
        <v>61.24</v>
      </c>
      <c r="K400">
        <v>18.34</v>
      </c>
      <c r="L400">
        <v>65988.12</v>
      </c>
      <c r="M400">
        <v>52741.48</v>
      </c>
      <c r="N400">
        <v>32.9</v>
      </c>
      <c r="O400">
        <v>6.6710000000000005E-2</v>
      </c>
      <c r="P400">
        <v>5.5049999999999999</v>
      </c>
      <c r="Q400">
        <v>127.54</v>
      </c>
      <c r="R400">
        <v>85.7</v>
      </c>
      <c r="S400">
        <v>263.52</v>
      </c>
    </row>
    <row r="401" spans="1:19" x14ac:dyDescent="0.25">
      <c r="A401" s="6">
        <v>44482</v>
      </c>
      <c r="B401">
        <v>152.61000000000001</v>
      </c>
      <c r="C401">
        <v>185.6</v>
      </c>
      <c r="D401">
        <v>216.97</v>
      </c>
      <c r="E401">
        <v>229.89</v>
      </c>
      <c r="F401">
        <v>175.32</v>
      </c>
      <c r="G401">
        <v>80.44</v>
      </c>
      <c r="H401">
        <v>83.18</v>
      </c>
      <c r="I401">
        <v>80.45</v>
      </c>
      <c r="J401">
        <v>61.07</v>
      </c>
      <c r="K401">
        <v>17.950214592274733</v>
      </c>
      <c r="L401">
        <v>66012.78</v>
      </c>
      <c r="M401">
        <v>53722.68</v>
      </c>
      <c r="N401">
        <v>33.11</v>
      </c>
      <c r="O401">
        <v>6.7479999999999998E-2</v>
      </c>
      <c r="P401">
        <v>5.59</v>
      </c>
      <c r="Q401">
        <v>128.35</v>
      </c>
      <c r="R401">
        <v>93.614999999999995</v>
      </c>
      <c r="S401">
        <v>264.57</v>
      </c>
    </row>
    <row r="402" spans="1:19" x14ac:dyDescent="0.25">
      <c r="A402" s="6">
        <v>44483</v>
      </c>
      <c r="B402">
        <v>152.61000000000001</v>
      </c>
      <c r="C402">
        <v>185.6</v>
      </c>
      <c r="D402">
        <v>216.97</v>
      </c>
      <c r="E402">
        <v>229.89</v>
      </c>
      <c r="F402">
        <v>175.32</v>
      </c>
      <c r="G402">
        <v>81.31</v>
      </c>
      <c r="H402">
        <v>84</v>
      </c>
      <c r="I402">
        <v>80.95</v>
      </c>
      <c r="J402">
        <v>62</v>
      </c>
      <c r="K402">
        <v>17.907265801403355</v>
      </c>
      <c r="L402">
        <v>66846.17</v>
      </c>
      <c r="M402">
        <v>54540.56</v>
      </c>
      <c r="N402">
        <v>33.305</v>
      </c>
      <c r="O402">
        <v>6.7570000000000005E-2</v>
      </c>
      <c r="P402">
        <v>5.6870000000000003</v>
      </c>
      <c r="Q402">
        <v>128.75</v>
      </c>
      <c r="R402">
        <v>102.17</v>
      </c>
      <c r="S402">
        <v>264.37</v>
      </c>
    </row>
    <row r="403" spans="1:19" x14ac:dyDescent="0.25">
      <c r="A403" s="6">
        <v>44484</v>
      </c>
      <c r="B403">
        <v>158.44999999999999</v>
      </c>
      <c r="C403">
        <v>192.5</v>
      </c>
      <c r="D403">
        <v>224.43</v>
      </c>
      <c r="E403">
        <v>239.82</v>
      </c>
      <c r="F403">
        <v>217.15</v>
      </c>
      <c r="G403">
        <v>82.28</v>
      </c>
      <c r="H403">
        <v>84.86</v>
      </c>
      <c r="I403">
        <v>81.510000000000005</v>
      </c>
      <c r="J403">
        <v>62.59</v>
      </c>
      <c r="K403">
        <v>17.96</v>
      </c>
      <c r="L403">
        <v>67028.86</v>
      </c>
      <c r="M403">
        <v>54203.69</v>
      </c>
      <c r="N403">
        <v>33.253999999999998</v>
      </c>
      <c r="O403">
        <v>6.8409999999999999E-2</v>
      </c>
      <c r="P403">
        <v>5.41</v>
      </c>
      <c r="Q403">
        <v>129.38999999999999</v>
      </c>
      <c r="R403">
        <v>93.65</v>
      </c>
      <c r="S403">
        <v>265.63</v>
      </c>
    </row>
    <row r="404" spans="1:19" x14ac:dyDescent="0.25">
      <c r="A404" s="6">
        <v>44487</v>
      </c>
      <c r="B404">
        <v>158.44999999999999</v>
      </c>
      <c r="C404">
        <v>192.5</v>
      </c>
      <c r="D404">
        <v>224.43</v>
      </c>
      <c r="E404">
        <v>239.82</v>
      </c>
      <c r="F404">
        <v>217.15</v>
      </c>
      <c r="G404">
        <v>82.44</v>
      </c>
      <c r="H404">
        <v>84.33</v>
      </c>
      <c r="I404">
        <v>81.31</v>
      </c>
      <c r="J404">
        <v>62.56</v>
      </c>
      <c r="K404">
        <v>19.079999999999998</v>
      </c>
      <c r="L404">
        <v>66792.100000000006</v>
      </c>
      <c r="M404">
        <v>53787.59</v>
      </c>
      <c r="N404">
        <v>34.340000000000003</v>
      </c>
      <c r="O404">
        <v>6.8040000000000003E-2</v>
      </c>
      <c r="P404">
        <v>4.9889999999999999</v>
      </c>
      <c r="Q404">
        <v>130.30000000000001</v>
      </c>
      <c r="R404">
        <v>93.935000000000002</v>
      </c>
      <c r="S404">
        <v>265.63</v>
      </c>
    </row>
    <row r="405" spans="1:19" x14ac:dyDescent="0.25">
      <c r="A405" s="6">
        <v>44488</v>
      </c>
      <c r="B405">
        <v>158.44999999999999</v>
      </c>
      <c r="C405">
        <v>192.5</v>
      </c>
      <c r="D405">
        <v>224.43</v>
      </c>
      <c r="E405">
        <v>239.82</v>
      </c>
      <c r="F405">
        <v>217.15</v>
      </c>
      <c r="G405">
        <v>82.96</v>
      </c>
      <c r="H405">
        <v>85.08</v>
      </c>
      <c r="I405">
        <v>81.61</v>
      </c>
      <c r="J405">
        <v>63.5</v>
      </c>
      <c r="K405">
        <v>18.600000000000001</v>
      </c>
      <c r="L405">
        <v>66776.149999999994</v>
      </c>
      <c r="M405">
        <v>53644.81</v>
      </c>
      <c r="N405">
        <v>34.89</v>
      </c>
      <c r="O405">
        <v>6.8790000000000004E-2</v>
      </c>
      <c r="P405">
        <v>5.0880000000000001</v>
      </c>
      <c r="Q405">
        <v>130.91</v>
      </c>
      <c r="R405">
        <v>89.93</v>
      </c>
      <c r="S405">
        <v>281.77999999999997</v>
      </c>
    </row>
    <row r="406" spans="1:19" x14ac:dyDescent="0.25">
      <c r="A406" s="6">
        <v>44489</v>
      </c>
      <c r="B406">
        <v>158.44999999999999</v>
      </c>
      <c r="C406">
        <v>192.5</v>
      </c>
      <c r="D406">
        <v>224.43</v>
      </c>
      <c r="E406">
        <v>239.82</v>
      </c>
      <c r="F406">
        <v>217.15</v>
      </c>
      <c r="G406">
        <v>83.87</v>
      </c>
      <c r="H406">
        <v>85.82</v>
      </c>
      <c r="I406">
        <v>81.81</v>
      </c>
      <c r="J406">
        <v>63.85</v>
      </c>
      <c r="K406">
        <v>18.04</v>
      </c>
      <c r="L406">
        <v>66894.789999999994</v>
      </c>
      <c r="M406">
        <v>53876.08</v>
      </c>
      <c r="N406">
        <v>35.555</v>
      </c>
      <c r="O406">
        <v>6.9400000000000003E-2</v>
      </c>
      <c r="P406">
        <v>5.17</v>
      </c>
      <c r="Q406">
        <v>130.22</v>
      </c>
      <c r="R406">
        <v>93.45</v>
      </c>
      <c r="S406">
        <v>263.14999999999998</v>
      </c>
    </row>
    <row r="407" spans="1:19" x14ac:dyDescent="0.25">
      <c r="A407" s="6">
        <v>44490</v>
      </c>
      <c r="B407">
        <v>158.44999999999999</v>
      </c>
      <c r="C407">
        <v>192.5</v>
      </c>
      <c r="D407">
        <v>224.43</v>
      </c>
      <c r="E407">
        <v>239.82</v>
      </c>
      <c r="F407">
        <v>217.15</v>
      </c>
      <c r="G407">
        <v>82.5</v>
      </c>
      <c r="H407">
        <v>84.61</v>
      </c>
      <c r="I407">
        <v>81.44</v>
      </c>
      <c r="J407">
        <v>62.69</v>
      </c>
      <c r="K407">
        <v>18.62</v>
      </c>
      <c r="L407">
        <v>66057.58</v>
      </c>
      <c r="M407">
        <v>52522.51</v>
      </c>
      <c r="N407">
        <v>33.454999999999998</v>
      </c>
      <c r="O407">
        <v>6.8040000000000003E-2</v>
      </c>
      <c r="P407">
        <v>5.1150000000000002</v>
      </c>
      <c r="Q407">
        <v>129.61000000000001</v>
      </c>
      <c r="R407">
        <v>88.465000000000003</v>
      </c>
      <c r="S407">
        <v>252.65</v>
      </c>
    </row>
    <row r="408" spans="1:19" x14ac:dyDescent="0.25">
      <c r="A408" s="6">
        <v>44491</v>
      </c>
      <c r="B408">
        <v>132.88</v>
      </c>
      <c r="C408">
        <v>167.09</v>
      </c>
      <c r="D408">
        <v>191.93</v>
      </c>
      <c r="E408">
        <v>212.47</v>
      </c>
      <c r="F408">
        <v>196.52</v>
      </c>
      <c r="G408">
        <v>83.76</v>
      </c>
      <c r="H408">
        <v>85.53</v>
      </c>
      <c r="I408">
        <v>81.61</v>
      </c>
      <c r="J408">
        <v>63.12</v>
      </c>
      <c r="K408">
        <v>17.86</v>
      </c>
      <c r="L408">
        <v>67050.52</v>
      </c>
      <c r="M408">
        <v>54421.08</v>
      </c>
      <c r="N408">
        <v>33.255000000000003</v>
      </c>
      <c r="O408">
        <v>6.7419999999999994E-2</v>
      </c>
      <c r="P408">
        <v>5.28</v>
      </c>
      <c r="Q408">
        <v>131.6</v>
      </c>
      <c r="R408">
        <v>87.34</v>
      </c>
      <c r="S408">
        <v>254.87</v>
      </c>
    </row>
    <row r="409" spans="1:19" x14ac:dyDescent="0.25">
      <c r="A409" s="6">
        <v>44494</v>
      </c>
      <c r="B409">
        <v>132.88</v>
      </c>
      <c r="C409">
        <v>167.09</v>
      </c>
      <c r="D409">
        <v>191.93</v>
      </c>
      <c r="E409">
        <v>212.47</v>
      </c>
      <c r="F409">
        <v>196.52</v>
      </c>
      <c r="G409">
        <v>83.76</v>
      </c>
      <c r="H409">
        <v>85.99</v>
      </c>
      <c r="I409">
        <v>81.73</v>
      </c>
      <c r="J409">
        <v>64.349999999999994</v>
      </c>
      <c r="K409">
        <v>18.02</v>
      </c>
      <c r="L409">
        <v>66980.45</v>
      </c>
      <c r="M409">
        <v>53846.35</v>
      </c>
      <c r="N409">
        <v>33.575000000000003</v>
      </c>
      <c r="O409">
        <v>6.794E-2</v>
      </c>
      <c r="P409">
        <v>5.8979999999999997</v>
      </c>
      <c r="Q409">
        <v>133.04</v>
      </c>
      <c r="R409">
        <v>88.644999999999996</v>
      </c>
      <c r="S409">
        <v>233</v>
      </c>
    </row>
    <row r="410" spans="1:19" x14ac:dyDescent="0.25">
      <c r="A410" s="6">
        <v>44495</v>
      </c>
      <c r="B410">
        <v>132.88</v>
      </c>
      <c r="C410">
        <v>167.09</v>
      </c>
      <c r="D410">
        <v>191.93</v>
      </c>
      <c r="E410">
        <v>212.47</v>
      </c>
      <c r="F410">
        <v>196.52</v>
      </c>
      <c r="G410">
        <v>84.65</v>
      </c>
      <c r="H410">
        <v>86.4</v>
      </c>
      <c r="I410">
        <v>81.819999999999993</v>
      </c>
      <c r="J410">
        <v>65.84</v>
      </c>
      <c r="K410">
        <v>17.48</v>
      </c>
      <c r="L410">
        <v>67615.31</v>
      </c>
      <c r="M410">
        <v>53822.720000000001</v>
      </c>
      <c r="N410">
        <v>34.204999999999998</v>
      </c>
      <c r="O410">
        <v>6.7309999999999995E-2</v>
      </c>
      <c r="P410">
        <v>5.8819999999999997</v>
      </c>
      <c r="Q410">
        <v>133.72</v>
      </c>
      <c r="R410">
        <v>88.495000000000005</v>
      </c>
      <c r="S410">
        <v>244</v>
      </c>
    </row>
    <row r="411" spans="1:19" x14ac:dyDescent="0.25">
      <c r="A411" s="6">
        <v>44496</v>
      </c>
      <c r="B411">
        <v>132.88</v>
      </c>
      <c r="C411">
        <v>167.09</v>
      </c>
      <c r="D411">
        <v>191.93</v>
      </c>
      <c r="E411">
        <v>212.47</v>
      </c>
      <c r="F411">
        <v>196.52</v>
      </c>
      <c r="G411">
        <v>82.66</v>
      </c>
      <c r="H411">
        <v>84.58</v>
      </c>
      <c r="I411">
        <v>81.599999999999994</v>
      </c>
      <c r="J411">
        <v>64.13</v>
      </c>
      <c r="K411">
        <v>16.62</v>
      </c>
      <c r="L411">
        <v>67475.09</v>
      </c>
      <c r="M411">
        <v>53775.54</v>
      </c>
      <c r="N411">
        <v>33.905000000000001</v>
      </c>
      <c r="O411">
        <v>6.6259999999999999E-2</v>
      </c>
      <c r="P411">
        <v>6.202</v>
      </c>
      <c r="Q411">
        <v>132.96</v>
      </c>
      <c r="R411">
        <v>86.82</v>
      </c>
      <c r="S411">
        <v>245.67</v>
      </c>
    </row>
    <row r="412" spans="1:19" x14ac:dyDescent="0.25">
      <c r="A412" s="6">
        <v>44497</v>
      </c>
      <c r="B412">
        <v>132.88</v>
      </c>
      <c r="C412">
        <v>167.09</v>
      </c>
      <c r="D412">
        <v>191.93</v>
      </c>
      <c r="E412">
        <v>212.47</v>
      </c>
      <c r="F412">
        <v>196.52</v>
      </c>
      <c r="G412">
        <v>82.81</v>
      </c>
      <c r="H412">
        <v>84.32</v>
      </c>
      <c r="I412">
        <v>81.55</v>
      </c>
      <c r="J412">
        <v>64.31</v>
      </c>
      <c r="K412">
        <v>16.760000000000002</v>
      </c>
      <c r="L412">
        <v>67759.759999999995</v>
      </c>
      <c r="M412">
        <v>53834.02</v>
      </c>
      <c r="N412">
        <v>32.01</v>
      </c>
      <c r="O412">
        <v>6.6019999999999995E-2</v>
      </c>
      <c r="P412">
        <v>5.782</v>
      </c>
      <c r="Q412">
        <v>135.49</v>
      </c>
      <c r="R412">
        <v>77.031999999999996</v>
      </c>
      <c r="S412">
        <v>236.8</v>
      </c>
    </row>
    <row r="413" spans="1:19" x14ac:dyDescent="0.25">
      <c r="A413" s="6">
        <v>44498</v>
      </c>
      <c r="B413">
        <v>103.51</v>
      </c>
      <c r="C413">
        <v>130.91</v>
      </c>
      <c r="D413">
        <v>155.6</v>
      </c>
      <c r="E413">
        <v>175.77</v>
      </c>
      <c r="F413">
        <v>172.48</v>
      </c>
      <c r="G413">
        <v>83.57</v>
      </c>
      <c r="H413">
        <v>84.38</v>
      </c>
      <c r="I413">
        <v>81.58</v>
      </c>
      <c r="J413">
        <v>64.47</v>
      </c>
      <c r="K413">
        <v>16.760000000000002</v>
      </c>
      <c r="L413">
        <v>67464.69</v>
      </c>
      <c r="M413">
        <v>52811.87</v>
      </c>
      <c r="N413">
        <v>30</v>
      </c>
      <c r="O413">
        <v>6.5729999999999997E-2</v>
      </c>
      <c r="P413">
        <v>5.4260000000000002</v>
      </c>
      <c r="Q413">
        <v>138.46</v>
      </c>
      <c r="R413">
        <v>64.864999999999995</v>
      </c>
      <c r="S413">
        <v>236.1</v>
      </c>
    </row>
    <row r="414" spans="1:19" x14ac:dyDescent="0.25">
      <c r="A414" s="6">
        <v>44501</v>
      </c>
      <c r="B414">
        <v>103.51</v>
      </c>
      <c r="C414">
        <v>130.91</v>
      </c>
      <c r="D414">
        <v>155.6</v>
      </c>
      <c r="E414">
        <v>175.77</v>
      </c>
      <c r="F414">
        <v>172.48</v>
      </c>
      <c r="G414">
        <v>84.05</v>
      </c>
      <c r="H414">
        <v>84.71</v>
      </c>
      <c r="I414">
        <v>82.38</v>
      </c>
      <c r="J414">
        <v>65.63</v>
      </c>
      <c r="K414">
        <v>16.920000000000002</v>
      </c>
      <c r="L414">
        <v>67923.571621621959</v>
      </c>
      <c r="M414">
        <v>52729.663243242539</v>
      </c>
      <c r="N414">
        <v>29.204999999999998</v>
      </c>
      <c r="O414">
        <v>6.4799999999999996E-2</v>
      </c>
      <c r="P414">
        <v>5.1859999999999999</v>
      </c>
      <c r="Q414">
        <v>137.13</v>
      </c>
      <c r="R414">
        <v>65.62</v>
      </c>
      <c r="S414">
        <v>244.68</v>
      </c>
    </row>
    <row r="415" spans="1:19" x14ac:dyDescent="0.25">
      <c r="A415" s="6">
        <v>44502</v>
      </c>
      <c r="B415">
        <v>103.51</v>
      </c>
      <c r="C415">
        <v>130.91</v>
      </c>
      <c r="D415">
        <v>155.6</v>
      </c>
      <c r="E415">
        <v>175.77</v>
      </c>
      <c r="F415">
        <v>172.48</v>
      </c>
      <c r="G415">
        <v>83.91</v>
      </c>
      <c r="H415">
        <v>84.72</v>
      </c>
      <c r="I415">
        <v>82.54</v>
      </c>
      <c r="J415">
        <v>64.819999999999993</v>
      </c>
      <c r="K415">
        <v>16.48</v>
      </c>
      <c r="L415">
        <v>67782.2</v>
      </c>
      <c r="M415">
        <v>53284.84</v>
      </c>
      <c r="N415">
        <v>30.805</v>
      </c>
      <c r="O415">
        <v>6.4740000000000006E-2</v>
      </c>
      <c r="P415">
        <v>5.5419999999999998</v>
      </c>
      <c r="Q415">
        <v>138.81</v>
      </c>
      <c r="R415">
        <v>67.605000000000004</v>
      </c>
      <c r="S415">
        <v>248.32</v>
      </c>
    </row>
    <row r="416" spans="1:19" x14ac:dyDescent="0.25">
      <c r="A416" s="6">
        <v>44503</v>
      </c>
      <c r="B416">
        <v>103.51</v>
      </c>
      <c r="C416">
        <v>130.91</v>
      </c>
      <c r="D416">
        <v>155.6</v>
      </c>
      <c r="E416">
        <v>175.77</v>
      </c>
      <c r="F416">
        <v>172.48</v>
      </c>
      <c r="G416">
        <v>80.86</v>
      </c>
      <c r="H416">
        <v>81.99</v>
      </c>
      <c r="I416">
        <v>80.16</v>
      </c>
      <c r="J416">
        <v>63.93</v>
      </c>
      <c r="K416">
        <v>16.86</v>
      </c>
      <c r="L416">
        <v>68587.27</v>
      </c>
      <c r="M416">
        <v>53521.599999999999</v>
      </c>
      <c r="N416">
        <v>32.755000000000003</v>
      </c>
      <c r="O416">
        <v>6.547E-2</v>
      </c>
      <c r="P416">
        <v>5.67</v>
      </c>
      <c r="Q416">
        <v>137.19</v>
      </c>
      <c r="R416">
        <v>76.540000000000006</v>
      </c>
      <c r="S416">
        <v>242.7</v>
      </c>
    </row>
    <row r="417" spans="1:19" x14ac:dyDescent="0.25">
      <c r="A417" s="6">
        <v>44504</v>
      </c>
      <c r="B417">
        <v>103.51</v>
      </c>
      <c r="C417">
        <v>130.91</v>
      </c>
      <c r="D417">
        <v>155.6</v>
      </c>
      <c r="E417">
        <v>175.77</v>
      </c>
      <c r="F417">
        <v>172.48</v>
      </c>
      <c r="G417">
        <v>78.81</v>
      </c>
      <c r="H417">
        <v>80.540000000000006</v>
      </c>
      <c r="I417">
        <v>78.95</v>
      </c>
      <c r="J417">
        <v>64.41</v>
      </c>
      <c r="K417">
        <v>16.7</v>
      </c>
      <c r="L417">
        <v>68156.210000000006</v>
      </c>
      <c r="M417">
        <v>54258.93</v>
      </c>
      <c r="N417">
        <v>32.005000000000003</v>
      </c>
      <c r="O417">
        <v>6.5699999999999995E-2</v>
      </c>
      <c r="P417">
        <v>5.7160000000000002</v>
      </c>
      <c r="Q417">
        <v>136.52000000000001</v>
      </c>
      <c r="R417">
        <v>73.375</v>
      </c>
      <c r="S417">
        <v>245.73</v>
      </c>
    </row>
    <row r="418" spans="1:19" x14ac:dyDescent="0.25">
      <c r="A418" s="6">
        <v>44505</v>
      </c>
      <c r="B418">
        <v>84.19</v>
      </c>
      <c r="C418">
        <v>107.17</v>
      </c>
      <c r="D418">
        <v>122.99</v>
      </c>
      <c r="E418">
        <v>136.78</v>
      </c>
      <c r="F418">
        <v>140.33000000000001</v>
      </c>
      <c r="G418">
        <v>81.27</v>
      </c>
      <c r="H418">
        <v>82.74</v>
      </c>
      <c r="I418">
        <v>80.94</v>
      </c>
      <c r="J418">
        <v>65.02</v>
      </c>
      <c r="K418">
        <v>16.14</v>
      </c>
      <c r="L418">
        <v>67825.34</v>
      </c>
      <c r="M418">
        <v>52648.88</v>
      </c>
      <c r="N418">
        <v>31.62</v>
      </c>
      <c r="O418">
        <v>6.6379999999999995E-2</v>
      </c>
      <c r="P418">
        <v>5.516</v>
      </c>
      <c r="Q418">
        <v>136.08000000000001</v>
      </c>
      <c r="R418">
        <v>74.025000000000006</v>
      </c>
      <c r="S418">
        <v>260.12</v>
      </c>
    </row>
    <row r="419" spans="1:19" x14ac:dyDescent="0.25">
      <c r="A419" s="6">
        <v>44508</v>
      </c>
      <c r="B419">
        <v>84.19</v>
      </c>
      <c r="C419">
        <v>107.17</v>
      </c>
      <c r="D419">
        <v>122.99</v>
      </c>
      <c r="E419">
        <v>136.78</v>
      </c>
      <c r="F419">
        <v>140.33000000000001</v>
      </c>
      <c r="G419">
        <v>81.93</v>
      </c>
      <c r="H419">
        <v>83.43</v>
      </c>
      <c r="I419">
        <v>81.62</v>
      </c>
      <c r="J419">
        <v>65.72</v>
      </c>
      <c r="K419">
        <v>16.600000000000001</v>
      </c>
      <c r="L419">
        <v>68049.34</v>
      </c>
      <c r="M419">
        <v>53007.26</v>
      </c>
      <c r="N419">
        <v>32.145000000000003</v>
      </c>
      <c r="O419">
        <v>6.701E-2</v>
      </c>
      <c r="P419">
        <v>5.4269999999999996</v>
      </c>
      <c r="Q419">
        <v>135.75</v>
      </c>
      <c r="R419">
        <v>79.075000000000003</v>
      </c>
      <c r="S419">
        <v>260.12</v>
      </c>
    </row>
    <row r="420" spans="1:19" x14ac:dyDescent="0.25">
      <c r="A420" s="6">
        <v>44509</v>
      </c>
      <c r="B420">
        <v>84.19</v>
      </c>
      <c r="C420">
        <v>107.17</v>
      </c>
      <c r="D420">
        <v>122.99</v>
      </c>
      <c r="E420">
        <v>136.78</v>
      </c>
      <c r="F420">
        <v>140.33000000000001</v>
      </c>
      <c r="G420">
        <v>84.15</v>
      </c>
      <c r="H420">
        <v>84.78</v>
      </c>
      <c r="I420">
        <v>82.58</v>
      </c>
      <c r="J420">
        <v>66.36</v>
      </c>
      <c r="K420">
        <v>16.2</v>
      </c>
      <c r="L420">
        <v>67983.199999999997</v>
      </c>
      <c r="M420">
        <v>51550.5</v>
      </c>
      <c r="N420">
        <v>31.76</v>
      </c>
      <c r="O420">
        <v>6.6559999999999994E-2</v>
      </c>
      <c r="P420">
        <v>4.9790000000000001</v>
      </c>
      <c r="Q420">
        <v>135.47999999999999</v>
      </c>
      <c r="R420">
        <v>72.584999999999994</v>
      </c>
      <c r="S420">
        <v>260.7</v>
      </c>
    </row>
    <row r="421" spans="1:19" x14ac:dyDescent="0.25">
      <c r="A421" s="6">
        <v>44510</v>
      </c>
      <c r="B421">
        <v>84.19</v>
      </c>
      <c r="C421">
        <v>107.17</v>
      </c>
      <c r="D421">
        <v>122.99</v>
      </c>
      <c r="E421">
        <v>136.78</v>
      </c>
      <c r="F421">
        <v>140.33000000000001</v>
      </c>
      <c r="G421">
        <v>81.34</v>
      </c>
      <c r="H421">
        <v>82.64</v>
      </c>
      <c r="I421">
        <v>81.27</v>
      </c>
      <c r="J421">
        <v>64.19</v>
      </c>
      <c r="K421">
        <v>16.18</v>
      </c>
      <c r="L421">
        <v>68279.399999999994</v>
      </c>
      <c r="M421">
        <v>54731.95</v>
      </c>
      <c r="N421">
        <v>31.14</v>
      </c>
      <c r="O421">
        <v>6.4810000000000006E-2</v>
      </c>
      <c r="P421">
        <v>4.88</v>
      </c>
      <c r="Q421">
        <v>134.21</v>
      </c>
      <c r="R421">
        <v>70.125</v>
      </c>
      <c r="S421">
        <v>259.93</v>
      </c>
    </row>
    <row r="422" spans="1:19" x14ac:dyDescent="0.25">
      <c r="A422" s="6">
        <v>44511</v>
      </c>
      <c r="B422">
        <v>84.19</v>
      </c>
      <c r="C422">
        <v>107.17</v>
      </c>
      <c r="D422">
        <v>122.99</v>
      </c>
      <c r="E422">
        <v>136.78</v>
      </c>
      <c r="F422">
        <v>140.33000000000001</v>
      </c>
      <c r="G422">
        <v>81.59</v>
      </c>
      <c r="H422">
        <v>82.87</v>
      </c>
      <c r="I422">
        <v>81.67</v>
      </c>
      <c r="J422">
        <v>64.31</v>
      </c>
      <c r="K422">
        <v>16.48</v>
      </c>
      <c r="L422">
        <v>69131.56</v>
      </c>
      <c r="M422">
        <v>57463.88</v>
      </c>
      <c r="N422">
        <v>31.414999999999999</v>
      </c>
      <c r="O422">
        <v>6.5299999999999997E-2</v>
      </c>
      <c r="P422">
        <v>5.149</v>
      </c>
      <c r="Q422">
        <v>134</v>
      </c>
      <c r="R422">
        <v>74.790000000000006</v>
      </c>
      <c r="S422">
        <v>262.93</v>
      </c>
    </row>
    <row r="423" spans="1:19" x14ac:dyDescent="0.25">
      <c r="A423" s="6">
        <v>44512</v>
      </c>
      <c r="B423">
        <v>86.7</v>
      </c>
      <c r="C423">
        <v>107.14</v>
      </c>
      <c r="D423">
        <v>127.16</v>
      </c>
      <c r="E423">
        <v>137.69</v>
      </c>
      <c r="F423">
        <v>132.75</v>
      </c>
      <c r="G423">
        <v>80.790000000000006</v>
      </c>
      <c r="H423">
        <v>82.17</v>
      </c>
      <c r="I423">
        <v>81.48</v>
      </c>
      <c r="J423">
        <v>63.82</v>
      </c>
      <c r="K423">
        <v>16.3</v>
      </c>
      <c r="L423">
        <v>69921.37</v>
      </c>
      <c r="M423">
        <v>56086.59</v>
      </c>
      <c r="N423">
        <v>31.565000000000001</v>
      </c>
      <c r="O423">
        <v>6.5040000000000001E-2</v>
      </c>
      <c r="P423">
        <v>4.7910000000000004</v>
      </c>
      <c r="Q423">
        <v>135.29</v>
      </c>
      <c r="R423">
        <v>75.674999999999997</v>
      </c>
      <c r="S423">
        <v>264.37</v>
      </c>
    </row>
    <row r="424" spans="1:19" x14ac:dyDescent="0.25">
      <c r="A424" s="6">
        <v>44515</v>
      </c>
      <c r="B424">
        <v>86.7</v>
      </c>
      <c r="C424">
        <v>107.14</v>
      </c>
      <c r="D424">
        <v>127.16</v>
      </c>
      <c r="E424">
        <v>137.69</v>
      </c>
      <c r="F424">
        <v>132.75</v>
      </c>
      <c r="G424">
        <v>80.88</v>
      </c>
      <c r="H424">
        <v>82.05</v>
      </c>
      <c r="I424">
        <v>81.41</v>
      </c>
      <c r="J424">
        <v>64.37</v>
      </c>
      <c r="K424">
        <v>16.14</v>
      </c>
      <c r="L424">
        <v>70090.539999999994</v>
      </c>
      <c r="M424">
        <v>56422.52</v>
      </c>
      <c r="N424">
        <v>31.611999999999998</v>
      </c>
      <c r="O424">
        <v>6.5579999999999999E-2</v>
      </c>
      <c r="P424">
        <v>5.0170000000000003</v>
      </c>
      <c r="Q424">
        <v>135.29</v>
      </c>
      <c r="R424">
        <v>79.944999999999993</v>
      </c>
      <c r="S424">
        <v>270.89999999999998</v>
      </c>
    </row>
    <row r="425" spans="1:19" x14ac:dyDescent="0.25">
      <c r="A425" s="6">
        <v>44516</v>
      </c>
      <c r="B425">
        <v>86.7</v>
      </c>
      <c r="C425">
        <v>107.14</v>
      </c>
      <c r="D425">
        <v>127.16</v>
      </c>
      <c r="E425">
        <v>137.69</v>
      </c>
      <c r="F425">
        <v>132.75</v>
      </c>
      <c r="G425">
        <v>80.760000000000005</v>
      </c>
      <c r="H425">
        <v>82.43</v>
      </c>
      <c r="I425">
        <v>81.67</v>
      </c>
      <c r="J425">
        <v>65.02</v>
      </c>
      <c r="K425">
        <v>16.239999999999998</v>
      </c>
      <c r="L425">
        <v>70938.41</v>
      </c>
      <c r="M425">
        <v>58115.41</v>
      </c>
      <c r="N425">
        <v>37.844999999999999</v>
      </c>
      <c r="O425">
        <v>6.4430000000000001E-2</v>
      </c>
      <c r="P425">
        <v>5.1769999999999996</v>
      </c>
      <c r="Q425">
        <v>136.07</v>
      </c>
      <c r="R425">
        <v>94.19</v>
      </c>
      <c r="S425">
        <v>269.8</v>
      </c>
    </row>
    <row r="426" spans="1:19" x14ac:dyDescent="0.25">
      <c r="A426" s="6">
        <v>44517</v>
      </c>
      <c r="B426">
        <v>86.7</v>
      </c>
      <c r="C426">
        <v>107.14</v>
      </c>
      <c r="D426">
        <v>127.16</v>
      </c>
      <c r="E426">
        <v>137.69</v>
      </c>
      <c r="F426">
        <v>132.75</v>
      </c>
      <c r="G426">
        <v>78.36</v>
      </c>
      <c r="H426">
        <v>80.28</v>
      </c>
      <c r="I426">
        <v>80.760000000000005</v>
      </c>
      <c r="J426">
        <v>64.31</v>
      </c>
      <c r="K426">
        <v>16.2</v>
      </c>
      <c r="L426">
        <v>70942.34</v>
      </c>
      <c r="M426">
        <v>58275.27</v>
      </c>
      <c r="N426">
        <v>37.284999999999997</v>
      </c>
      <c r="O426">
        <v>6.4479999999999996E-2</v>
      </c>
      <c r="P426">
        <v>4.8159999999999998</v>
      </c>
      <c r="Q426">
        <v>136.27000000000001</v>
      </c>
      <c r="R426">
        <v>95.004999999999995</v>
      </c>
      <c r="S426">
        <v>272.18</v>
      </c>
    </row>
    <row r="427" spans="1:19" x14ac:dyDescent="0.25">
      <c r="A427" s="6">
        <v>44518</v>
      </c>
      <c r="B427">
        <v>86.7</v>
      </c>
      <c r="C427">
        <v>107.14</v>
      </c>
      <c r="D427">
        <v>127.16</v>
      </c>
      <c r="E427">
        <v>137.69</v>
      </c>
      <c r="F427">
        <v>132.75</v>
      </c>
      <c r="G427">
        <v>79.010000000000005</v>
      </c>
      <c r="H427">
        <v>81.239999999999995</v>
      </c>
      <c r="I427">
        <v>81.11</v>
      </c>
      <c r="J427">
        <v>63.61</v>
      </c>
      <c r="K427">
        <v>16.059999999999999</v>
      </c>
      <c r="L427">
        <v>70866.570000000007</v>
      </c>
      <c r="M427">
        <v>57716.13</v>
      </c>
      <c r="N427">
        <v>37.564999999999998</v>
      </c>
      <c r="O427">
        <v>6.3869999999999996E-2</v>
      </c>
      <c r="P427">
        <v>4.9020000000000001</v>
      </c>
      <c r="Q427">
        <v>135.37</v>
      </c>
      <c r="R427">
        <v>95.165000000000006</v>
      </c>
      <c r="S427">
        <v>261.92</v>
      </c>
    </row>
    <row r="428" spans="1:19" x14ac:dyDescent="0.25">
      <c r="A428" s="6">
        <v>44519</v>
      </c>
      <c r="B428">
        <v>81.900000000000006</v>
      </c>
      <c r="C428">
        <v>104.56</v>
      </c>
      <c r="D428">
        <v>122.32</v>
      </c>
      <c r="E428">
        <v>131.43</v>
      </c>
      <c r="F428">
        <v>124.36</v>
      </c>
      <c r="G428">
        <v>76.099999999999994</v>
      </c>
      <c r="H428">
        <v>78.89</v>
      </c>
      <c r="I428">
        <v>80.33</v>
      </c>
      <c r="J428">
        <v>60.67</v>
      </c>
      <c r="K428">
        <v>16.36</v>
      </c>
      <c r="L428">
        <v>70376.42</v>
      </c>
      <c r="M428">
        <v>57045.67</v>
      </c>
      <c r="N428">
        <v>34.255000000000003</v>
      </c>
      <c r="O428">
        <v>6.3579999999999998E-2</v>
      </c>
      <c r="P428">
        <v>5.0650000000000004</v>
      </c>
      <c r="Q428">
        <v>133.30000000000001</v>
      </c>
      <c r="R428">
        <v>87.125</v>
      </c>
      <c r="S428">
        <v>256.48</v>
      </c>
    </row>
    <row r="429" spans="1:19" x14ac:dyDescent="0.25">
      <c r="A429" s="6">
        <v>44522</v>
      </c>
      <c r="B429">
        <v>81.900000000000006</v>
      </c>
      <c r="C429">
        <v>104.56</v>
      </c>
      <c r="D429">
        <v>122.32</v>
      </c>
      <c r="E429">
        <v>131.43</v>
      </c>
      <c r="F429">
        <v>124.36</v>
      </c>
      <c r="G429">
        <v>76.75</v>
      </c>
      <c r="H429">
        <v>79.7</v>
      </c>
      <c r="I429">
        <v>80.55</v>
      </c>
      <c r="J429">
        <v>61.51</v>
      </c>
      <c r="K429">
        <v>16.28</v>
      </c>
      <c r="L429">
        <v>70865.850000000006</v>
      </c>
      <c r="M429">
        <v>56595.97</v>
      </c>
      <c r="N429">
        <v>33.97</v>
      </c>
      <c r="O429">
        <v>6.3060000000000005E-2</v>
      </c>
      <c r="P429">
        <v>4.7889999999999997</v>
      </c>
      <c r="Q429">
        <v>132.97999999999999</v>
      </c>
      <c r="R429">
        <v>84.015000000000001</v>
      </c>
      <c r="S429">
        <v>256.48</v>
      </c>
    </row>
    <row r="430" spans="1:19" x14ac:dyDescent="0.25">
      <c r="A430" s="6">
        <v>44523</v>
      </c>
      <c r="B430">
        <v>81.900000000000006</v>
      </c>
      <c r="C430">
        <v>104.56</v>
      </c>
      <c r="D430">
        <v>122.32</v>
      </c>
      <c r="E430">
        <v>131.43</v>
      </c>
      <c r="F430">
        <v>124.36</v>
      </c>
      <c r="G430">
        <v>78.5</v>
      </c>
      <c r="H430">
        <v>82.31</v>
      </c>
      <c r="I430">
        <v>81.22</v>
      </c>
      <c r="J430">
        <v>63.13</v>
      </c>
      <c r="K430">
        <v>16.52</v>
      </c>
      <c r="L430">
        <v>71015.399999999994</v>
      </c>
      <c r="M430">
        <v>56161.78</v>
      </c>
      <c r="N430">
        <v>36.075000000000003</v>
      </c>
      <c r="O430">
        <v>6.3079999999999997E-2</v>
      </c>
      <c r="P430">
        <v>4.9669999999999996</v>
      </c>
      <c r="Q430">
        <v>132.05000000000001</v>
      </c>
      <c r="R430">
        <v>90.924999999999997</v>
      </c>
      <c r="S430">
        <v>263.75</v>
      </c>
    </row>
    <row r="431" spans="1:19" x14ac:dyDescent="0.25">
      <c r="A431" s="6">
        <v>44524</v>
      </c>
      <c r="B431">
        <v>81.900000000000006</v>
      </c>
      <c r="C431">
        <v>104.56</v>
      </c>
      <c r="D431">
        <v>122.32</v>
      </c>
      <c r="E431">
        <v>131.43</v>
      </c>
      <c r="F431">
        <v>124.36</v>
      </c>
      <c r="G431">
        <v>78.39</v>
      </c>
      <c r="H431">
        <v>82.25</v>
      </c>
      <c r="I431">
        <v>81.2</v>
      </c>
      <c r="J431">
        <v>63.48</v>
      </c>
      <c r="K431">
        <v>16.96</v>
      </c>
      <c r="L431">
        <v>70558.89</v>
      </c>
      <c r="M431">
        <v>55339.26</v>
      </c>
      <c r="N431">
        <v>36.204999999999998</v>
      </c>
      <c r="O431">
        <v>6.2810000000000005E-2</v>
      </c>
      <c r="P431">
        <v>5.0679999999999996</v>
      </c>
      <c r="Q431">
        <v>132.27000000000001</v>
      </c>
      <c r="R431">
        <v>93.984999999999999</v>
      </c>
      <c r="S431">
        <v>260.48</v>
      </c>
    </row>
    <row r="432" spans="1:19" x14ac:dyDescent="0.25">
      <c r="A432" s="6">
        <v>44525</v>
      </c>
      <c r="B432">
        <v>81.900000000000006</v>
      </c>
      <c r="C432">
        <v>104.56</v>
      </c>
      <c r="D432">
        <v>122.32</v>
      </c>
      <c r="E432">
        <v>131.43</v>
      </c>
      <c r="F432">
        <v>124.36</v>
      </c>
      <c r="G432">
        <v>77.41</v>
      </c>
      <c r="H432">
        <v>82.22</v>
      </c>
      <c r="I432">
        <v>80.64</v>
      </c>
      <c r="J432">
        <v>62.364999999999995</v>
      </c>
      <c r="K432">
        <v>16.899999999999999</v>
      </c>
      <c r="L432">
        <v>70554.679999999993</v>
      </c>
      <c r="M432">
        <v>54931.35</v>
      </c>
      <c r="N432">
        <v>35.032349397590224</v>
      </c>
      <c r="O432">
        <v>6.2549999999999994E-2</v>
      </c>
      <c r="P432">
        <v>5.0869999999999997</v>
      </c>
      <c r="Q432">
        <v>130.97500000000002</v>
      </c>
      <c r="R432">
        <v>93.3</v>
      </c>
      <c r="S432">
        <v>258.83</v>
      </c>
    </row>
    <row r="433" spans="1:19" x14ac:dyDescent="0.25">
      <c r="A433" s="6">
        <v>44526</v>
      </c>
      <c r="B433">
        <v>101.1</v>
      </c>
      <c r="C433">
        <v>129.26</v>
      </c>
      <c r="D433">
        <v>148.16999999999999</v>
      </c>
      <c r="E433">
        <v>158.30000000000001</v>
      </c>
      <c r="F433">
        <v>135.53</v>
      </c>
      <c r="G433">
        <v>68.150000000000006</v>
      </c>
      <c r="H433">
        <v>72.72</v>
      </c>
      <c r="I433">
        <v>80.08</v>
      </c>
      <c r="J433">
        <v>61.25</v>
      </c>
      <c r="K433">
        <v>16.559999999999999</v>
      </c>
      <c r="L433">
        <v>68614.98</v>
      </c>
      <c r="M433">
        <v>53898.29</v>
      </c>
      <c r="N433">
        <v>34.89</v>
      </c>
      <c r="O433">
        <v>6.13E-2</v>
      </c>
      <c r="P433">
        <v>5.4470000000000001</v>
      </c>
      <c r="Q433">
        <v>129.68</v>
      </c>
      <c r="R433">
        <v>87.772000000000006</v>
      </c>
      <c r="S433">
        <v>250.97</v>
      </c>
    </row>
    <row r="434" spans="1:19" x14ac:dyDescent="0.25">
      <c r="A434" s="6">
        <v>44529</v>
      </c>
      <c r="B434">
        <v>101.1</v>
      </c>
      <c r="C434">
        <v>129.26</v>
      </c>
      <c r="D434">
        <v>148.16999999999999</v>
      </c>
      <c r="E434">
        <v>158.30000000000001</v>
      </c>
      <c r="F434">
        <v>135.53</v>
      </c>
      <c r="G434">
        <v>69.95</v>
      </c>
      <c r="H434">
        <v>73.44</v>
      </c>
      <c r="I434">
        <v>80.31</v>
      </c>
      <c r="J434">
        <v>61.59</v>
      </c>
      <c r="K434">
        <v>16.54</v>
      </c>
      <c r="L434">
        <v>70008.539999999994</v>
      </c>
      <c r="M434">
        <v>55041.18</v>
      </c>
      <c r="N434">
        <v>36.25</v>
      </c>
      <c r="O434">
        <v>6.1899999999999997E-2</v>
      </c>
      <c r="P434">
        <v>4.8540000000000001</v>
      </c>
      <c r="Q434">
        <v>131.9</v>
      </c>
      <c r="R434">
        <v>93.146000000000001</v>
      </c>
      <c r="S434">
        <v>243.67</v>
      </c>
    </row>
    <row r="435" spans="1:19" x14ac:dyDescent="0.25">
      <c r="A435" s="6">
        <v>44530</v>
      </c>
      <c r="B435">
        <v>101.1</v>
      </c>
      <c r="C435">
        <v>129.26</v>
      </c>
      <c r="D435">
        <v>148.16999999999999</v>
      </c>
      <c r="E435">
        <v>158.30000000000001</v>
      </c>
      <c r="F435">
        <v>135.53</v>
      </c>
      <c r="G435">
        <v>66.180000000000007</v>
      </c>
      <c r="H435">
        <v>70.569999999999993</v>
      </c>
      <c r="I435">
        <v>80.28</v>
      </c>
      <c r="J435">
        <v>59.84</v>
      </c>
      <c r="K435">
        <v>16.16</v>
      </c>
      <c r="L435">
        <v>70475.02</v>
      </c>
      <c r="M435">
        <v>58196.63</v>
      </c>
      <c r="N435">
        <v>35.945</v>
      </c>
      <c r="O435">
        <v>6.2909999999999994E-2</v>
      </c>
      <c r="P435">
        <v>4.5670000000000002</v>
      </c>
      <c r="Q435">
        <v>130.72</v>
      </c>
      <c r="R435">
        <v>92.515000000000001</v>
      </c>
      <c r="S435">
        <v>248.17</v>
      </c>
    </row>
    <row r="436" spans="1:19" x14ac:dyDescent="0.25">
      <c r="A436" s="6">
        <v>44531</v>
      </c>
      <c r="B436">
        <v>101.1</v>
      </c>
      <c r="C436">
        <v>129.26</v>
      </c>
      <c r="D436">
        <v>148.16999999999999</v>
      </c>
      <c r="E436">
        <v>158.30000000000001</v>
      </c>
      <c r="F436">
        <v>135.53</v>
      </c>
      <c r="G436">
        <v>65.569999999999993</v>
      </c>
      <c r="H436">
        <v>68.87</v>
      </c>
      <c r="I436">
        <v>67.73</v>
      </c>
      <c r="J436">
        <v>59.79</v>
      </c>
      <c r="K436">
        <v>16.98</v>
      </c>
      <c r="L436">
        <v>71198.080000000002</v>
      </c>
      <c r="M436">
        <v>59286.71</v>
      </c>
      <c r="N436">
        <v>35.884999999999998</v>
      </c>
      <c r="O436">
        <v>6.2300000000000001E-2</v>
      </c>
      <c r="P436">
        <v>4.258</v>
      </c>
      <c r="Q436">
        <v>129.02000000000001</v>
      </c>
      <c r="R436">
        <v>95.674999999999997</v>
      </c>
      <c r="S436">
        <v>243.32</v>
      </c>
    </row>
    <row r="437" spans="1:19" x14ac:dyDescent="0.25">
      <c r="A437" s="6">
        <v>44532</v>
      </c>
      <c r="B437">
        <v>101.1</v>
      </c>
      <c r="C437">
        <v>129.26</v>
      </c>
      <c r="D437">
        <v>148.16999999999999</v>
      </c>
      <c r="E437">
        <v>158.30000000000001</v>
      </c>
      <c r="F437">
        <v>135.53</v>
      </c>
      <c r="G437">
        <v>66.5</v>
      </c>
      <c r="H437">
        <v>69.67</v>
      </c>
      <c r="I437">
        <v>68.62</v>
      </c>
      <c r="J437">
        <v>61.28</v>
      </c>
      <c r="K437">
        <v>17.12</v>
      </c>
      <c r="L437">
        <v>71020.759999999995</v>
      </c>
      <c r="M437">
        <v>58265.21</v>
      </c>
      <c r="N437">
        <v>35.32</v>
      </c>
      <c r="O437">
        <v>6.2740000000000004E-2</v>
      </c>
      <c r="P437">
        <v>4.056</v>
      </c>
      <c r="Q437">
        <v>131.22</v>
      </c>
      <c r="R437">
        <v>94.83</v>
      </c>
      <c r="S437">
        <v>243.18</v>
      </c>
    </row>
    <row r="438" spans="1:19" x14ac:dyDescent="0.25">
      <c r="A438" s="6">
        <v>44533</v>
      </c>
      <c r="B438">
        <v>77.98</v>
      </c>
      <c r="C438">
        <v>99.91</v>
      </c>
      <c r="D438">
        <v>120.15</v>
      </c>
      <c r="E438">
        <v>128.44</v>
      </c>
      <c r="F438">
        <v>123.95</v>
      </c>
      <c r="G438">
        <v>66.260000000000005</v>
      </c>
      <c r="H438">
        <v>69.88</v>
      </c>
      <c r="I438">
        <v>68.91</v>
      </c>
      <c r="J438">
        <v>60.89</v>
      </c>
      <c r="K438">
        <v>18.399999999999999</v>
      </c>
      <c r="L438">
        <v>70807.600000000006</v>
      </c>
      <c r="M438">
        <v>58119.39</v>
      </c>
      <c r="N438">
        <v>34.19</v>
      </c>
      <c r="O438">
        <v>6.2210000000000001E-2</v>
      </c>
      <c r="P438">
        <v>4.1319999999999997</v>
      </c>
      <c r="Q438">
        <v>130.19</v>
      </c>
      <c r="R438">
        <v>89.48</v>
      </c>
      <c r="S438">
        <v>255.75</v>
      </c>
    </row>
    <row r="439" spans="1:19" x14ac:dyDescent="0.25">
      <c r="A439" s="6">
        <v>44536</v>
      </c>
      <c r="B439">
        <v>77.98</v>
      </c>
      <c r="C439">
        <v>99.91</v>
      </c>
      <c r="D439">
        <v>120.15</v>
      </c>
      <c r="E439">
        <v>128.44</v>
      </c>
      <c r="F439">
        <v>123.95</v>
      </c>
      <c r="G439">
        <v>69.489999999999995</v>
      </c>
      <c r="H439">
        <v>73.08</v>
      </c>
      <c r="I439">
        <v>71.650000000000006</v>
      </c>
      <c r="J439">
        <v>61.58</v>
      </c>
      <c r="K439">
        <v>18.28</v>
      </c>
      <c r="L439">
        <v>71016.63</v>
      </c>
      <c r="M439">
        <v>58372.55</v>
      </c>
      <c r="N439">
        <v>34.395000000000003</v>
      </c>
      <c r="O439">
        <v>6.2899999999999998E-2</v>
      </c>
      <c r="P439">
        <v>3.657</v>
      </c>
      <c r="Q439">
        <v>130.86000000000001</v>
      </c>
      <c r="R439">
        <v>89.93</v>
      </c>
      <c r="S439">
        <v>251.4</v>
      </c>
    </row>
    <row r="440" spans="1:19" x14ac:dyDescent="0.25">
      <c r="A440" s="6">
        <v>44537</v>
      </c>
      <c r="B440">
        <v>77.98</v>
      </c>
      <c r="C440">
        <v>99.91</v>
      </c>
      <c r="D440">
        <v>120.15</v>
      </c>
      <c r="E440">
        <v>128.44</v>
      </c>
      <c r="F440">
        <v>123.95</v>
      </c>
      <c r="G440">
        <v>72.05</v>
      </c>
      <c r="H440">
        <v>75.44</v>
      </c>
      <c r="I440">
        <v>73.540000000000006</v>
      </c>
      <c r="J440">
        <v>62.27</v>
      </c>
      <c r="K440">
        <v>18.02</v>
      </c>
      <c r="L440">
        <v>72939.25</v>
      </c>
      <c r="M440">
        <v>58538.73</v>
      </c>
      <c r="N440">
        <v>35.064999999999998</v>
      </c>
      <c r="O440">
        <v>6.3079999999999997E-2</v>
      </c>
      <c r="P440">
        <v>3.7080000000000002</v>
      </c>
      <c r="Q440">
        <v>134.01</v>
      </c>
      <c r="R440">
        <v>95.885000000000005</v>
      </c>
      <c r="S440">
        <v>254.95</v>
      </c>
    </row>
    <row r="441" spans="1:19" x14ac:dyDescent="0.25">
      <c r="A441" s="6">
        <v>44538</v>
      </c>
      <c r="B441">
        <v>77.98</v>
      </c>
      <c r="C441">
        <v>99.91</v>
      </c>
      <c r="D441">
        <v>120.15</v>
      </c>
      <c r="E441">
        <v>128.44</v>
      </c>
      <c r="F441">
        <v>123.95</v>
      </c>
      <c r="G441">
        <v>72.36</v>
      </c>
      <c r="H441">
        <v>75.819999999999993</v>
      </c>
      <c r="I441">
        <v>73.69</v>
      </c>
      <c r="J441">
        <v>62.45</v>
      </c>
      <c r="K441">
        <v>18</v>
      </c>
      <c r="L441">
        <v>72403.88</v>
      </c>
      <c r="M441">
        <v>56688.92</v>
      </c>
      <c r="N441">
        <v>35.15</v>
      </c>
      <c r="O441">
        <v>6.3640000000000002E-2</v>
      </c>
      <c r="P441">
        <v>3.8149999999999999</v>
      </c>
      <c r="Q441">
        <v>135.56</v>
      </c>
      <c r="R441">
        <v>101.5</v>
      </c>
      <c r="S441">
        <v>262.10000000000002</v>
      </c>
    </row>
    <row r="442" spans="1:19" x14ac:dyDescent="0.25">
      <c r="A442" s="6">
        <v>44539</v>
      </c>
      <c r="B442">
        <v>77.98</v>
      </c>
      <c r="C442">
        <v>99.91</v>
      </c>
      <c r="D442">
        <v>120.15</v>
      </c>
      <c r="E442">
        <v>128.44</v>
      </c>
      <c r="F442">
        <v>123.95</v>
      </c>
      <c r="G442">
        <v>70.94</v>
      </c>
      <c r="H442">
        <v>74.42</v>
      </c>
      <c r="I442">
        <v>72.72</v>
      </c>
      <c r="J442">
        <v>62.61</v>
      </c>
      <c r="K442">
        <v>18.18</v>
      </c>
      <c r="L442">
        <v>72207.64</v>
      </c>
      <c r="M442">
        <v>56341.2</v>
      </c>
      <c r="N442">
        <v>35.185000000000002</v>
      </c>
      <c r="O442">
        <v>6.275E-2</v>
      </c>
      <c r="P442">
        <v>3.8140000000000001</v>
      </c>
      <c r="Q442">
        <v>134.6</v>
      </c>
      <c r="R442">
        <v>100.44499999999999</v>
      </c>
      <c r="S442">
        <v>269.85000000000002</v>
      </c>
    </row>
    <row r="443" spans="1:19" x14ac:dyDescent="0.25">
      <c r="A443" s="6">
        <v>44540</v>
      </c>
      <c r="B443">
        <v>83.41</v>
      </c>
      <c r="C443">
        <v>106.41</v>
      </c>
      <c r="D443">
        <v>126.08</v>
      </c>
      <c r="E443">
        <v>132.66999999999999</v>
      </c>
      <c r="F443">
        <v>126</v>
      </c>
      <c r="G443">
        <v>71.67</v>
      </c>
      <c r="H443">
        <v>75.150000000000006</v>
      </c>
      <c r="I443">
        <v>73.19</v>
      </c>
      <c r="J443">
        <v>63.01</v>
      </c>
      <c r="K443">
        <v>18.14</v>
      </c>
      <c r="L443">
        <v>71686.33</v>
      </c>
      <c r="M443">
        <v>54893.34</v>
      </c>
      <c r="N443">
        <v>35.215000000000003</v>
      </c>
      <c r="O443">
        <v>6.2590000000000007E-2</v>
      </c>
      <c r="P443">
        <v>3.9249999999999998</v>
      </c>
      <c r="Q443">
        <v>135.54</v>
      </c>
      <c r="R443">
        <v>105.77500000000001</v>
      </c>
      <c r="S443">
        <v>295.25</v>
      </c>
    </row>
    <row r="444" spans="1:19" x14ac:dyDescent="0.25">
      <c r="A444" s="6">
        <v>44543</v>
      </c>
      <c r="B444">
        <v>83.41</v>
      </c>
      <c r="C444">
        <v>106.41</v>
      </c>
      <c r="D444">
        <v>126.08</v>
      </c>
      <c r="E444">
        <v>132.66999999999999</v>
      </c>
      <c r="F444">
        <v>126</v>
      </c>
      <c r="G444">
        <v>71.290000000000006</v>
      </c>
      <c r="H444">
        <v>74.39</v>
      </c>
      <c r="I444">
        <v>72.709999999999994</v>
      </c>
      <c r="J444">
        <v>61.63</v>
      </c>
      <c r="K444">
        <v>18.34</v>
      </c>
      <c r="L444">
        <v>71429.88</v>
      </c>
      <c r="M444">
        <v>54440.94</v>
      </c>
      <c r="N444">
        <v>35.729999999999997</v>
      </c>
      <c r="O444">
        <v>6.2379999999999998E-2</v>
      </c>
      <c r="P444">
        <v>3.794</v>
      </c>
      <c r="Q444">
        <v>135.58000000000001</v>
      </c>
      <c r="R444">
        <v>116.08499999999999</v>
      </c>
      <c r="S444">
        <v>284.95</v>
      </c>
    </row>
    <row r="445" spans="1:19" x14ac:dyDescent="0.25">
      <c r="A445" s="6">
        <v>44544</v>
      </c>
      <c r="B445">
        <v>83.41</v>
      </c>
      <c r="C445">
        <v>106.41</v>
      </c>
      <c r="D445">
        <v>126.08</v>
      </c>
      <c r="E445">
        <v>132.66999999999999</v>
      </c>
      <c r="F445">
        <v>126</v>
      </c>
      <c r="G445">
        <v>70.73</v>
      </c>
      <c r="H445">
        <v>73.7</v>
      </c>
      <c r="I445">
        <v>72.22</v>
      </c>
      <c r="J445">
        <v>61.54</v>
      </c>
      <c r="K445">
        <v>18</v>
      </c>
      <c r="L445">
        <v>71544.820000000007</v>
      </c>
      <c r="M445">
        <v>55218.94</v>
      </c>
      <c r="N445">
        <v>35.765000000000001</v>
      </c>
      <c r="O445">
        <v>6.2100000000000002E-2</v>
      </c>
      <c r="P445">
        <v>3.7469999999999999</v>
      </c>
      <c r="Q445">
        <v>133.81</v>
      </c>
      <c r="R445">
        <v>128.30000000000001</v>
      </c>
      <c r="S445">
        <v>278.95</v>
      </c>
    </row>
    <row r="446" spans="1:19" x14ac:dyDescent="0.25">
      <c r="A446" s="6">
        <v>44545</v>
      </c>
      <c r="B446">
        <v>83.41</v>
      </c>
      <c r="C446">
        <v>106.41</v>
      </c>
      <c r="D446">
        <v>126.08</v>
      </c>
      <c r="E446">
        <v>132.66999999999999</v>
      </c>
      <c r="F446">
        <v>126</v>
      </c>
      <c r="G446">
        <v>70.87</v>
      </c>
      <c r="H446">
        <v>73.88</v>
      </c>
      <c r="I446">
        <v>72.38</v>
      </c>
      <c r="J446">
        <v>61.27</v>
      </c>
      <c r="K446">
        <v>18.28</v>
      </c>
      <c r="L446">
        <v>71467.17</v>
      </c>
      <c r="M446">
        <v>54624.52</v>
      </c>
      <c r="N446">
        <v>35.869999999999997</v>
      </c>
      <c r="O446">
        <v>6.2579999999999997E-2</v>
      </c>
      <c r="P446">
        <v>3.802</v>
      </c>
      <c r="Q446">
        <v>135.12</v>
      </c>
      <c r="R446">
        <v>132.285</v>
      </c>
      <c r="S446">
        <v>261.60000000000002</v>
      </c>
    </row>
    <row r="447" spans="1:19" x14ac:dyDescent="0.25">
      <c r="A447" s="6">
        <v>44546</v>
      </c>
      <c r="B447">
        <v>83.41</v>
      </c>
      <c r="C447">
        <v>106.41</v>
      </c>
      <c r="D447">
        <v>126.08</v>
      </c>
      <c r="E447">
        <v>132.66999999999999</v>
      </c>
      <c r="F447">
        <v>126</v>
      </c>
      <c r="G447">
        <v>72.38</v>
      </c>
      <c r="H447">
        <v>75.02</v>
      </c>
      <c r="I447">
        <v>73.02</v>
      </c>
      <c r="J447">
        <v>61.37</v>
      </c>
      <c r="K447">
        <v>19.399999999999999</v>
      </c>
      <c r="L447">
        <v>71213.063092368655</v>
      </c>
      <c r="M447">
        <v>54206.689317269251</v>
      </c>
      <c r="N447">
        <v>43.445</v>
      </c>
      <c r="O447">
        <v>6.2700000000000006E-2</v>
      </c>
      <c r="P447">
        <v>3.766</v>
      </c>
      <c r="Q447">
        <v>135.99</v>
      </c>
      <c r="R447">
        <v>142.76499999999999</v>
      </c>
      <c r="S447">
        <v>265.89999999999998</v>
      </c>
    </row>
    <row r="448" spans="1:19" x14ac:dyDescent="0.25">
      <c r="A448" s="6">
        <v>44547</v>
      </c>
      <c r="B448">
        <v>91.4</v>
      </c>
      <c r="C448">
        <v>115.27</v>
      </c>
      <c r="D448">
        <v>135.33000000000001</v>
      </c>
      <c r="E448">
        <v>145.76</v>
      </c>
      <c r="F448">
        <v>123.63</v>
      </c>
      <c r="G448">
        <v>70.86</v>
      </c>
      <c r="H448">
        <v>73.52</v>
      </c>
      <c r="I448">
        <v>72.430000000000007</v>
      </c>
      <c r="J448">
        <v>60.03</v>
      </c>
      <c r="K448">
        <v>18.52</v>
      </c>
      <c r="L448">
        <v>71203.13</v>
      </c>
      <c r="M448">
        <v>56700.18</v>
      </c>
      <c r="N448">
        <v>42.45</v>
      </c>
      <c r="O448">
        <v>6.2939999999999996E-2</v>
      </c>
      <c r="P448">
        <v>3.69</v>
      </c>
      <c r="Q448">
        <v>133.38</v>
      </c>
      <c r="R448">
        <v>136.91499999999999</v>
      </c>
      <c r="S448">
        <v>256.10000000000002</v>
      </c>
    </row>
    <row r="449" spans="1:19" x14ac:dyDescent="0.25">
      <c r="A449" s="6">
        <v>44550</v>
      </c>
      <c r="B449">
        <v>91.4</v>
      </c>
      <c r="C449">
        <v>115.27</v>
      </c>
      <c r="D449">
        <v>135.33000000000001</v>
      </c>
      <c r="E449">
        <v>145.76</v>
      </c>
      <c r="F449">
        <v>123.63</v>
      </c>
      <c r="G449">
        <v>68.23</v>
      </c>
      <c r="H449">
        <v>71.52</v>
      </c>
      <c r="I449">
        <v>71.650000000000006</v>
      </c>
      <c r="J449">
        <v>59.16</v>
      </c>
      <c r="K449">
        <v>17.98</v>
      </c>
      <c r="L449">
        <v>70087.63</v>
      </c>
      <c r="M449">
        <v>54655.17</v>
      </c>
      <c r="N449">
        <v>45.024999999999999</v>
      </c>
      <c r="O449">
        <v>6.3409999999999994E-2</v>
      </c>
      <c r="P449">
        <v>3.8340000000000001</v>
      </c>
      <c r="Q449">
        <v>132.56</v>
      </c>
      <c r="R449">
        <v>146.92500000000001</v>
      </c>
      <c r="S449">
        <v>238.6</v>
      </c>
    </row>
    <row r="450" spans="1:19" x14ac:dyDescent="0.25">
      <c r="A450" s="6">
        <v>44551</v>
      </c>
      <c r="B450">
        <v>91.4</v>
      </c>
      <c r="C450">
        <v>115.27</v>
      </c>
      <c r="D450">
        <v>135.33000000000001</v>
      </c>
      <c r="E450">
        <v>145.76</v>
      </c>
      <c r="F450">
        <v>123.63</v>
      </c>
      <c r="G450">
        <v>71.12</v>
      </c>
      <c r="H450">
        <v>73.98</v>
      </c>
      <c r="I450">
        <v>72.42</v>
      </c>
      <c r="J450">
        <v>60.5</v>
      </c>
      <c r="K450">
        <v>18.16</v>
      </c>
      <c r="L450">
        <v>71119.360000000001</v>
      </c>
      <c r="M450">
        <v>56522.29</v>
      </c>
      <c r="N450">
        <v>49.344999999999999</v>
      </c>
      <c r="O450">
        <v>6.3079999999999997E-2</v>
      </c>
      <c r="P450">
        <v>3.8690000000000002</v>
      </c>
      <c r="Q450">
        <v>134.06</v>
      </c>
      <c r="R450">
        <v>180.26499999999999</v>
      </c>
      <c r="S450">
        <v>244.55</v>
      </c>
    </row>
    <row r="451" spans="1:19" x14ac:dyDescent="0.25">
      <c r="A451" s="6">
        <v>44552</v>
      </c>
      <c r="B451">
        <v>91.4</v>
      </c>
      <c r="C451">
        <v>115.27</v>
      </c>
      <c r="D451">
        <v>135.33000000000001</v>
      </c>
      <c r="E451">
        <v>145.76</v>
      </c>
      <c r="F451">
        <v>123.63</v>
      </c>
      <c r="G451">
        <v>72.760000000000005</v>
      </c>
      <c r="H451">
        <v>75.290000000000006</v>
      </c>
      <c r="I451">
        <v>72.709999999999994</v>
      </c>
      <c r="J451">
        <v>60.99</v>
      </c>
      <c r="K451">
        <v>18.399999999999999</v>
      </c>
      <c r="L451">
        <v>71359.039999999994</v>
      </c>
      <c r="M451">
        <v>56456.41</v>
      </c>
      <c r="N451">
        <v>46.015000000000001</v>
      </c>
      <c r="O451">
        <v>6.3619999999999996E-2</v>
      </c>
      <c r="P451">
        <v>3.976</v>
      </c>
      <c r="Q451">
        <v>135.24</v>
      </c>
      <c r="R451">
        <v>172.875</v>
      </c>
      <c r="S451">
        <v>254.05</v>
      </c>
    </row>
    <row r="452" spans="1:19" x14ac:dyDescent="0.25">
      <c r="A452" s="6">
        <v>44553</v>
      </c>
      <c r="B452">
        <v>91.4</v>
      </c>
      <c r="C452">
        <v>115.27</v>
      </c>
      <c r="D452">
        <v>135.33000000000001</v>
      </c>
      <c r="E452">
        <v>145.76</v>
      </c>
      <c r="F452">
        <v>123.63</v>
      </c>
      <c r="G452">
        <v>73.790000000000006</v>
      </c>
      <c r="H452">
        <v>76.849999999999994</v>
      </c>
      <c r="I452">
        <v>72.989999999999995</v>
      </c>
      <c r="J452">
        <v>61.02</v>
      </c>
      <c r="K452">
        <v>18.66</v>
      </c>
      <c r="L452">
        <v>71684.100000000006</v>
      </c>
      <c r="M452">
        <v>56379.11</v>
      </c>
      <c r="N452">
        <v>38.840000000000003</v>
      </c>
      <c r="O452">
        <v>6.3799999999999996E-2</v>
      </c>
      <c r="P452">
        <v>3.7309999999999999</v>
      </c>
      <c r="Q452">
        <v>135.84</v>
      </c>
      <c r="R452">
        <v>132.58000000000001</v>
      </c>
      <c r="S452">
        <v>255.5</v>
      </c>
    </row>
    <row r="453" spans="1:19" x14ac:dyDescent="0.25">
      <c r="A453" s="6">
        <v>44554</v>
      </c>
      <c r="B453">
        <v>90.92</v>
      </c>
      <c r="C453">
        <v>115.6</v>
      </c>
      <c r="D453">
        <v>138.08000000000001</v>
      </c>
      <c r="E453">
        <v>147.24</v>
      </c>
      <c r="F453">
        <v>130.54</v>
      </c>
      <c r="G453">
        <v>74.680000000000007</v>
      </c>
      <c r="H453">
        <v>76.14</v>
      </c>
      <c r="I453">
        <v>73.094999999999999</v>
      </c>
      <c r="J453">
        <v>61.454999999999998</v>
      </c>
      <c r="K453">
        <v>18.559999999999999</v>
      </c>
      <c r="L453">
        <v>71570.64</v>
      </c>
      <c r="M453">
        <v>56135</v>
      </c>
      <c r="N453">
        <v>44.288776824034358</v>
      </c>
      <c r="O453">
        <v>6.4229999999999995E-2</v>
      </c>
      <c r="P453">
        <v>3.8954999999999997</v>
      </c>
      <c r="Q453">
        <v>136.79500000000002</v>
      </c>
      <c r="R453">
        <v>119.73750000000001</v>
      </c>
      <c r="S453">
        <v>250.75</v>
      </c>
    </row>
    <row r="454" spans="1:19" x14ac:dyDescent="0.25">
      <c r="A454" s="6">
        <v>44557</v>
      </c>
      <c r="B454">
        <v>90.92</v>
      </c>
      <c r="C454">
        <v>115.6</v>
      </c>
      <c r="D454">
        <v>138.08000000000001</v>
      </c>
      <c r="E454">
        <v>147.24</v>
      </c>
      <c r="F454">
        <v>130.54</v>
      </c>
      <c r="G454">
        <v>75.569999999999993</v>
      </c>
      <c r="H454">
        <v>78.599999999999994</v>
      </c>
      <c r="I454">
        <v>73.2</v>
      </c>
      <c r="J454">
        <v>61.89</v>
      </c>
      <c r="K454">
        <v>18.561621621621725</v>
      </c>
      <c r="L454">
        <v>71807.907297297381</v>
      </c>
      <c r="M454">
        <v>56145.594054054061</v>
      </c>
      <c r="N454">
        <v>40.98</v>
      </c>
      <c r="O454">
        <v>6.4329999999999998E-2</v>
      </c>
      <c r="P454">
        <v>4.0599999999999996</v>
      </c>
      <c r="Q454">
        <v>137.75</v>
      </c>
      <c r="R454">
        <v>106.895</v>
      </c>
      <c r="S454">
        <v>252.7</v>
      </c>
    </row>
    <row r="455" spans="1:19" x14ac:dyDescent="0.25">
      <c r="A455" s="6">
        <v>44558</v>
      </c>
      <c r="B455">
        <v>90.92</v>
      </c>
      <c r="C455">
        <v>115.6</v>
      </c>
      <c r="D455">
        <v>138.08000000000001</v>
      </c>
      <c r="E455">
        <v>147.24</v>
      </c>
      <c r="F455">
        <v>130.54</v>
      </c>
      <c r="G455">
        <v>75.98</v>
      </c>
      <c r="H455">
        <v>78.94</v>
      </c>
      <c r="I455">
        <v>73.16</v>
      </c>
      <c r="J455">
        <v>61.69</v>
      </c>
      <c r="K455">
        <v>18.38</v>
      </c>
      <c r="L455">
        <v>72444.52</v>
      </c>
      <c r="M455">
        <v>57191.23</v>
      </c>
      <c r="N455">
        <v>39.914999999999999</v>
      </c>
      <c r="O455">
        <v>6.3409999999999994E-2</v>
      </c>
      <c r="P455">
        <v>4.0549999999999997</v>
      </c>
      <c r="Q455">
        <v>137.63</v>
      </c>
      <c r="R455">
        <v>106.59</v>
      </c>
      <c r="S455">
        <v>255.2</v>
      </c>
    </row>
    <row r="456" spans="1:19" x14ac:dyDescent="0.25">
      <c r="A456" s="6">
        <v>44559</v>
      </c>
      <c r="B456">
        <v>90.92</v>
      </c>
      <c r="C456">
        <v>115.6</v>
      </c>
      <c r="D456">
        <v>138.08000000000001</v>
      </c>
      <c r="E456">
        <v>147.24</v>
      </c>
      <c r="F456">
        <v>130.54</v>
      </c>
      <c r="G456">
        <v>76.56</v>
      </c>
      <c r="H456">
        <v>79.23</v>
      </c>
      <c r="I456">
        <v>73.209999999999994</v>
      </c>
      <c r="J456">
        <v>61.15</v>
      </c>
      <c r="K456">
        <v>18.239999999999998</v>
      </c>
      <c r="L456">
        <v>73238.009999999995</v>
      </c>
      <c r="M456">
        <v>57023.28</v>
      </c>
      <c r="N456">
        <v>34.03</v>
      </c>
      <c r="O456">
        <v>6.2719999999999998E-2</v>
      </c>
      <c r="P456">
        <v>4.024</v>
      </c>
      <c r="Q456">
        <v>137.24</v>
      </c>
      <c r="R456">
        <v>96.474999999999994</v>
      </c>
      <c r="S456">
        <v>252.75</v>
      </c>
    </row>
    <row r="457" spans="1:19" x14ac:dyDescent="0.25">
      <c r="A457" s="6">
        <v>44560</v>
      </c>
      <c r="B457">
        <v>90.92</v>
      </c>
      <c r="C457">
        <v>115.6</v>
      </c>
      <c r="D457">
        <v>138.08000000000001</v>
      </c>
      <c r="E457">
        <v>147.24</v>
      </c>
      <c r="F457">
        <v>130.54</v>
      </c>
      <c r="G457">
        <v>76.989999999999995</v>
      </c>
      <c r="H457">
        <v>79.319999999999993</v>
      </c>
      <c r="I457">
        <v>73.2</v>
      </c>
      <c r="J457">
        <v>60.79</v>
      </c>
      <c r="K457">
        <v>18.16</v>
      </c>
      <c r="L457">
        <v>73786.45</v>
      </c>
      <c r="M457">
        <v>57727.73</v>
      </c>
      <c r="N457">
        <v>34.21</v>
      </c>
      <c r="O457">
        <v>6.2839999999999993E-2</v>
      </c>
      <c r="P457">
        <v>3.5609999999999999</v>
      </c>
      <c r="Q457">
        <v>136.78</v>
      </c>
      <c r="R457">
        <v>87.027000000000001</v>
      </c>
      <c r="S457">
        <v>247.7</v>
      </c>
    </row>
    <row r="458" spans="1:19" x14ac:dyDescent="0.25">
      <c r="A458" s="6">
        <v>44561</v>
      </c>
      <c r="B458">
        <v>75.540000000000006</v>
      </c>
      <c r="C458">
        <v>97.28</v>
      </c>
      <c r="D458">
        <v>115.55</v>
      </c>
      <c r="E458">
        <v>125.65</v>
      </c>
      <c r="F458">
        <v>125.77</v>
      </c>
      <c r="G458">
        <v>75.209999999999994</v>
      </c>
      <c r="H458">
        <v>77.78</v>
      </c>
      <c r="I458">
        <v>73.19</v>
      </c>
      <c r="J458">
        <v>61.19</v>
      </c>
      <c r="K458">
        <v>18.28</v>
      </c>
      <c r="L458">
        <v>73709.39</v>
      </c>
      <c r="M458">
        <v>58050.87</v>
      </c>
      <c r="N458">
        <v>30.495000000000001</v>
      </c>
      <c r="O458">
        <v>6.2469999999999998E-2</v>
      </c>
      <c r="P458">
        <v>3.73</v>
      </c>
      <c r="Q458">
        <v>136.77000000000001</v>
      </c>
      <c r="R458">
        <v>70.344999999999999</v>
      </c>
      <c r="S458">
        <v>252.8</v>
      </c>
    </row>
    <row r="459" spans="1:19" x14ac:dyDescent="0.25">
      <c r="A459" s="6">
        <v>44564</v>
      </c>
      <c r="B459">
        <v>75.540000000000006</v>
      </c>
      <c r="C459">
        <v>97.28</v>
      </c>
      <c r="D459">
        <v>115.55</v>
      </c>
      <c r="E459">
        <v>125.65</v>
      </c>
      <c r="F459">
        <v>125.77</v>
      </c>
      <c r="G459">
        <v>76.08</v>
      </c>
      <c r="H459">
        <v>78.98</v>
      </c>
      <c r="I459">
        <v>77.03</v>
      </c>
      <c r="J459">
        <v>63.54</v>
      </c>
      <c r="K459">
        <v>18.66</v>
      </c>
      <c r="L459">
        <v>73722.600000000006</v>
      </c>
      <c r="M459">
        <v>57183.4</v>
      </c>
      <c r="N459">
        <v>30.504999999999999</v>
      </c>
      <c r="O459">
        <v>6.2829999999999997E-2</v>
      </c>
      <c r="P459">
        <v>3.8149999999999999</v>
      </c>
      <c r="Q459">
        <v>133.94999999999999</v>
      </c>
      <c r="R459">
        <v>80.435000000000002</v>
      </c>
      <c r="S459">
        <v>258.2</v>
      </c>
    </row>
    <row r="460" spans="1:19" x14ac:dyDescent="0.25">
      <c r="A460" s="6">
        <v>44565</v>
      </c>
      <c r="B460">
        <v>75.540000000000006</v>
      </c>
      <c r="C460">
        <v>97.28</v>
      </c>
      <c r="D460">
        <v>115.55</v>
      </c>
      <c r="E460">
        <v>125.65</v>
      </c>
      <c r="F460">
        <v>125.77</v>
      </c>
      <c r="G460">
        <v>76.989999999999995</v>
      </c>
      <c r="H460">
        <v>80</v>
      </c>
      <c r="I460">
        <v>78.03</v>
      </c>
      <c r="J460">
        <v>65.930000000000007</v>
      </c>
      <c r="K460">
        <v>18.440000000000001</v>
      </c>
      <c r="L460">
        <v>75052.06</v>
      </c>
      <c r="M460">
        <v>58447.41</v>
      </c>
      <c r="N460">
        <v>32.744999999999997</v>
      </c>
      <c r="O460">
        <v>6.2460000000000002E-2</v>
      </c>
      <c r="P460">
        <v>3.7170000000000001</v>
      </c>
      <c r="Q460">
        <v>134.07</v>
      </c>
      <c r="R460">
        <v>88.74</v>
      </c>
      <c r="S460">
        <v>261.64999999999998</v>
      </c>
    </row>
    <row r="461" spans="1:19" x14ac:dyDescent="0.25">
      <c r="A461" s="6">
        <v>44566</v>
      </c>
      <c r="B461">
        <v>75.540000000000006</v>
      </c>
      <c r="C461">
        <v>97.28</v>
      </c>
      <c r="D461">
        <v>115.55</v>
      </c>
      <c r="E461">
        <v>125.65</v>
      </c>
      <c r="F461">
        <v>125.77</v>
      </c>
      <c r="G461">
        <v>77.849999999999994</v>
      </c>
      <c r="H461">
        <v>80.8</v>
      </c>
      <c r="I461">
        <v>78.81</v>
      </c>
      <c r="J461">
        <v>66.75</v>
      </c>
      <c r="K461">
        <v>18.8</v>
      </c>
      <c r="L461">
        <v>75060.92</v>
      </c>
      <c r="M461">
        <v>58719.08</v>
      </c>
      <c r="N461">
        <v>34.19</v>
      </c>
      <c r="O461">
        <v>6.2850000000000003E-2</v>
      </c>
      <c r="P461">
        <v>3.8820000000000001</v>
      </c>
      <c r="Q461">
        <v>132.38999999999999</v>
      </c>
      <c r="R461">
        <v>91.52</v>
      </c>
      <c r="S461">
        <v>260.64999999999998</v>
      </c>
    </row>
    <row r="462" spans="1:19" x14ac:dyDescent="0.25">
      <c r="A462" s="6">
        <v>44567</v>
      </c>
      <c r="B462">
        <v>75.540000000000006</v>
      </c>
      <c r="C462">
        <v>97.28</v>
      </c>
      <c r="D462">
        <v>115.55</v>
      </c>
      <c r="E462">
        <v>125.65</v>
      </c>
      <c r="F462">
        <v>125.77</v>
      </c>
      <c r="G462">
        <v>79.459999999999994</v>
      </c>
      <c r="H462">
        <v>81.99</v>
      </c>
      <c r="I462">
        <v>79.69</v>
      </c>
      <c r="J462">
        <v>68.319999999999993</v>
      </c>
      <c r="K462">
        <v>18.559999999999999</v>
      </c>
      <c r="L462">
        <v>74165.25</v>
      </c>
      <c r="M462">
        <v>56148.93</v>
      </c>
      <c r="N462">
        <v>34.07</v>
      </c>
      <c r="O462">
        <v>6.3519999999999993E-2</v>
      </c>
      <c r="P462">
        <v>3.8119999999999998</v>
      </c>
      <c r="Q462">
        <v>133.16</v>
      </c>
      <c r="R462">
        <v>96.5</v>
      </c>
      <c r="S462">
        <v>261.10000000000002</v>
      </c>
    </row>
    <row r="463" spans="1:19" x14ac:dyDescent="0.25">
      <c r="A463" s="6">
        <v>44568</v>
      </c>
      <c r="B463">
        <v>87.11</v>
      </c>
      <c r="C463">
        <v>110.04</v>
      </c>
      <c r="D463">
        <v>128.79</v>
      </c>
      <c r="E463">
        <v>143.52000000000001</v>
      </c>
      <c r="F463">
        <v>138.80000000000001</v>
      </c>
      <c r="G463">
        <v>78.900000000000006</v>
      </c>
      <c r="H463">
        <v>81.75</v>
      </c>
      <c r="I463">
        <v>79.53</v>
      </c>
      <c r="J463">
        <v>68.88</v>
      </c>
      <c r="K463">
        <v>18.420000000000002</v>
      </c>
      <c r="L463">
        <v>73939.710000000006</v>
      </c>
      <c r="M463">
        <v>55886.2</v>
      </c>
      <c r="N463">
        <v>33.950000000000003</v>
      </c>
      <c r="O463">
        <v>6.411E-2</v>
      </c>
      <c r="P463">
        <v>3.9159999999999999</v>
      </c>
      <c r="Q463">
        <v>133.25</v>
      </c>
      <c r="R463">
        <v>88.174999999999997</v>
      </c>
      <c r="S463">
        <v>260.85000000000002</v>
      </c>
    </row>
    <row r="464" spans="1:19" x14ac:dyDescent="0.25">
      <c r="A464" s="6">
        <v>44571</v>
      </c>
      <c r="B464">
        <v>87.11</v>
      </c>
      <c r="C464">
        <v>110.04</v>
      </c>
      <c r="D464">
        <v>128.79</v>
      </c>
      <c r="E464">
        <v>143.52000000000001</v>
      </c>
      <c r="F464">
        <v>138.80000000000001</v>
      </c>
      <c r="G464">
        <v>78.23</v>
      </c>
      <c r="H464">
        <v>80.87</v>
      </c>
      <c r="I464">
        <v>78.89</v>
      </c>
      <c r="J464">
        <v>68.47</v>
      </c>
      <c r="K464">
        <v>18.78</v>
      </c>
      <c r="L464">
        <v>73830.47</v>
      </c>
      <c r="M464">
        <v>56448.04</v>
      </c>
      <c r="N464">
        <v>33.265000000000001</v>
      </c>
      <c r="O464">
        <v>6.3820000000000002E-2</v>
      </c>
      <c r="P464">
        <v>4.0789999999999997</v>
      </c>
      <c r="Q464">
        <v>131.5</v>
      </c>
      <c r="R464">
        <v>84.605000000000004</v>
      </c>
      <c r="S464">
        <v>260.8</v>
      </c>
    </row>
    <row r="465" spans="1:19" x14ac:dyDescent="0.25">
      <c r="A465" s="6">
        <v>44572</v>
      </c>
      <c r="B465">
        <v>87.11</v>
      </c>
      <c r="C465">
        <v>110.04</v>
      </c>
      <c r="D465">
        <v>128.79</v>
      </c>
      <c r="E465">
        <v>143.52000000000001</v>
      </c>
      <c r="F465">
        <v>138.80000000000001</v>
      </c>
      <c r="G465">
        <v>81.22</v>
      </c>
      <c r="H465">
        <v>83.72</v>
      </c>
      <c r="I465">
        <v>80.790000000000006</v>
      </c>
      <c r="J465">
        <v>71.349999999999994</v>
      </c>
      <c r="K465">
        <v>18.78</v>
      </c>
      <c r="L465">
        <v>73971.429999999993</v>
      </c>
      <c r="M465">
        <v>58715.81</v>
      </c>
      <c r="N465">
        <v>32.914999999999999</v>
      </c>
      <c r="O465">
        <v>6.4380000000000007E-2</v>
      </c>
      <c r="P465">
        <v>4.2489999999999997</v>
      </c>
      <c r="Q465">
        <v>131.94999999999999</v>
      </c>
      <c r="R465">
        <v>78.734999999999999</v>
      </c>
      <c r="S465">
        <v>259.3</v>
      </c>
    </row>
    <row r="466" spans="1:19" x14ac:dyDescent="0.25">
      <c r="A466" s="6">
        <v>44573</v>
      </c>
      <c r="B466">
        <v>87.11</v>
      </c>
      <c r="C466">
        <v>110.04</v>
      </c>
      <c r="D466">
        <v>128.79</v>
      </c>
      <c r="E466">
        <v>143.52000000000001</v>
      </c>
      <c r="F466">
        <v>138.80000000000001</v>
      </c>
      <c r="G466">
        <v>82.64</v>
      </c>
      <c r="H466">
        <v>84.67</v>
      </c>
      <c r="I466">
        <v>81.34</v>
      </c>
      <c r="J466">
        <v>71.14</v>
      </c>
      <c r="K466">
        <v>19.3</v>
      </c>
      <c r="L466">
        <v>75884.75</v>
      </c>
      <c r="M466">
        <v>60392.41</v>
      </c>
      <c r="N466">
        <v>33</v>
      </c>
      <c r="O466">
        <v>6.5320000000000003E-2</v>
      </c>
      <c r="P466">
        <v>4.8570000000000002</v>
      </c>
      <c r="Q466">
        <v>133.47999999999999</v>
      </c>
      <c r="R466">
        <v>75.155000000000001</v>
      </c>
      <c r="S466">
        <v>259.75</v>
      </c>
    </row>
    <row r="467" spans="1:19" x14ac:dyDescent="0.25">
      <c r="A467" s="6">
        <v>44574</v>
      </c>
      <c r="B467">
        <v>87.11</v>
      </c>
      <c r="C467">
        <v>110.04</v>
      </c>
      <c r="D467">
        <v>128.79</v>
      </c>
      <c r="E467">
        <v>143.52000000000001</v>
      </c>
      <c r="F467">
        <v>138.80000000000001</v>
      </c>
      <c r="G467">
        <v>82.12</v>
      </c>
      <c r="H467">
        <v>84.47</v>
      </c>
      <c r="I467">
        <v>81.3</v>
      </c>
      <c r="J467">
        <v>70.63</v>
      </c>
      <c r="K467">
        <v>19.7</v>
      </c>
      <c r="L467">
        <v>75925.55</v>
      </c>
      <c r="M467">
        <v>59576.79</v>
      </c>
      <c r="N467">
        <v>32.604999999999997</v>
      </c>
      <c r="O467">
        <v>6.4869999999999997E-2</v>
      </c>
      <c r="P467">
        <v>4.2699999999999996</v>
      </c>
      <c r="Q467">
        <v>129.56</v>
      </c>
      <c r="R467">
        <v>85.46</v>
      </c>
      <c r="S467">
        <v>265.95</v>
      </c>
    </row>
    <row r="468" spans="1:19" x14ac:dyDescent="0.25">
      <c r="A468" s="6">
        <v>44575</v>
      </c>
      <c r="B468">
        <v>96.51</v>
      </c>
      <c r="C468">
        <v>126.32</v>
      </c>
      <c r="D468">
        <v>139.82</v>
      </c>
      <c r="E468">
        <v>162.57</v>
      </c>
      <c r="F468">
        <v>147.83000000000001</v>
      </c>
      <c r="G468">
        <v>83.82</v>
      </c>
      <c r="H468">
        <v>86.06</v>
      </c>
      <c r="I468">
        <v>82.27</v>
      </c>
      <c r="J468">
        <v>71.87</v>
      </c>
      <c r="K468">
        <v>19.66</v>
      </c>
      <c r="L468">
        <v>75160.210000000006</v>
      </c>
      <c r="M468">
        <v>58002.61</v>
      </c>
      <c r="N468">
        <v>32.844999999999999</v>
      </c>
      <c r="O468">
        <v>6.4960000000000004E-2</v>
      </c>
      <c r="P468">
        <v>4.2619999999999996</v>
      </c>
      <c r="Q468">
        <v>126.6</v>
      </c>
      <c r="R468">
        <v>86.97</v>
      </c>
      <c r="S468">
        <v>266.85000000000002</v>
      </c>
    </row>
    <row r="469" spans="1:19" x14ac:dyDescent="0.25">
      <c r="A469" s="6">
        <v>44578</v>
      </c>
      <c r="B469">
        <v>96.51</v>
      </c>
      <c r="C469">
        <v>126.32</v>
      </c>
      <c r="D469">
        <v>139.82</v>
      </c>
      <c r="E469">
        <v>162.57</v>
      </c>
      <c r="F469">
        <v>147.83000000000001</v>
      </c>
      <c r="G469">
        <v>83.69</v>
      </c>
      <c r="H469">
        <v>86.48</v>
      </c>
      <c r="I469">
        <v>82.745000000000005</v>
      </c>
      <c r="J469">
        <v>72.474999999999994</v>
      </c>
      <c r="K469">
        <v>19.68</v>
      </c>
      <c r="L469">
        <v>75593.47</v>
      </c>
      <c r="M469">
        <v>57327.54</v>
      </c>
      <c r="N469">
        <v>32.071891891891028</v>
      </c>
      <c r="O469">
        <v>6.5000000000000002E-2</v>
      </c>
      <c r="P469">
        <v>4.2759999999999998</v>
      </c>
      <c r="Q469">
        <v>126.49</v>
      </c>
      <c r="R469">
        <v>78.22</v>
      </c>
      <c r="S469">
        <v>266.05</v>
      </c>
    </row>
    <row r="470" spans="1:19" x14ac:dyDescent="0.25">
      <c r="A470" s="6">
        <v>44579</v>
      </c>
      <c r="B470">
        <v>96.51</v>
      </c>
      <c r="C470">
        <v>126.32</v>
      </c>
      <c r="D470">
        <v>139.82</v>
      </c>
      <c r="E470">
        <v>162.57</v>
      </c>
      <c r="F470">
        <v>147.83000000000001</v>
      </c>
      <c r="G470">
        <v>85.43</v>
      </c>
      <c r="H470">
        <v>87.51</v>
      </c>
      <c r="I470">
        <v>83.22</v>
      </c>
      <c r="J470">
        <v>73.08</v>
      </c>
      <c r="K470">
        <v>19.98</v>
      </c>
      <c r="L470">
        <v>74955.66</v>
      </c>
      <c r="M470">
        <v>56039.11</v>
      </c>
      <c r="N470">
        <v>22.934999999999999</v>
      </c>
      <c r="O470">
        <v>6.4399999999999999E-2</v>
      </c>
      <c r="P470">
        <v>4.2830000000000004</v>
      </c>
      <c r="Q470">
        <v>126.38</v>
      </c>
      <c r="R470">
        <v>78.334999999999994</v>
      </c>
      <c r="S470">
        <v>253.1</v>
      </c>
    </row>
    <row r="471" spans="1:19" x14ac:dyDescent="0.25">
      <c r="A471" s="6">
        <v>44580</v>
      </c>
      <c r="B471">
        <v>96.51</v>
      </c>
      <c r="C471">
        <v>126.32</v>
      </c>
      <c r="D471">
        <v>139.82</v>
      </c>
      <c r="E471">
        <v>162.57</v>
      </c>
      <c r="F471">
        <v>147.83000000000001</v>
      </c>
      <c r="G471">
        <v>86.96</v>
      </c>
      <c r="H471">
        <v>88.44</v>
      </c>
      <c r="I471">
        <v>83.56</v>
      </c>
      <c r="J471">
        <v>73.11</v>
      </c>
      <c r="K471">
        <v>20.75</v>
      </c>
      <c r="L471">
        <v>76176.149999999994</v>
      </c>
      <c r="M471">
        <v>57924.76</v>
      </c>
      <c r="N471">
        <v>21.14</v>
      </c>
      <c r="O471">
        <v>6.5180000000000002E-2</v>
      </c>
      <c r="P471">
        <v>4.0309999999999997</v>
      </c>
      <c r="Q471">
        <v>125.81</v>
      </c>
      <c r="R471">
        <v>75.599999999999994</v>
      </c>
      <c r="S471">
        <v>260.05</v>
      </c>
    </row>
    <row r="472" spans="1:19" x14ac:dyDescent="0.25">
      <c r="A472" s="6">
        <v>44581</v>
      </c>
      <c r="B472">
        <v>96.51</v>
      </c>
      <c r="C472">
        <v>126.32</v>
      </c>
      <c r="D472">
        <v>139.82</v>
      </c>
      <c r="E472">
        <v>162.57</v>
      </c>
      <c r="F472">
        <v>147.83000000000001</v>
      </c>
      <c r="G472">
        <v>86.9</v>
      </c>
      <c r="H472">
        <v>88.38</v>
      </c>
      <c r="I472">
        <v>83.5</v>
      </c>
      <c r="J472">
        <v>73.27</v>
      </c>
      <c r="K472">
        <v>20.95</v>
      </c>
      <c r="L472">
        <v>76233.259999999995</v>
      </c>
      <c r="M472">
        <v>60249.54</v>
      </c>
      <c r="N472">
        <v>20.524999999999999</v>
      </c>
      <c r="O472">
        <v>6.5720000000000001E-2</v>
      </c>
      <c r="P472">
        <v>3.802</v>
      </c>
      <c r="Q472">
        <v>126.12</v>
      </c>
      <c r="R472">
        <v>75.204999999999998</v>
      </c>
      <c r="S472">
        <v>259.75</v>
      </c>
    </row>
    <row r="473" spans="1:19" x14ac:dyDescent="0.25">
      <c r="A473" s="6">
        <v>44582</v>
      </c>
      <c r="B473">
        <v>114.04</v>
      </c>
      <c r="C473">
        <v>138.43</v>
      </c>
      <c r="D473">
        <v>158.47</v>
      </c>
      <c r="E473">
        <v>182.55</v>
      </c>
      <c r="F473">
        <v>159.43</v>
      </c>
      <c r="G473">
        <v>85.14</v>
      </c>
      <c r="H473">
        <v>87.89</v>
      </c>
      <c r="I473">
        <v>83.29</v>
      </c>
      <c r="J473">
        <v>72.17</v>
      </c>
      <c r="K473">
        <v>21.15</v>
      </c>
      <c r="L473">
        <v>74834.52</v>
      </c>
      <c r="M473">
        <v>59501.14</v>
      </c>
      <c r="N473">
        <v>22.09</v>
      </c>
      <c r="O473">
        <v>6.6140000000000004E-2</v>
      </c>
      <c r="P473">
        <v>3.9990000000000001</v>
      </c>
      <c r="Q473">
        <v>125.64</v>
      </c>
      <c r="R473">
        <v>78.98</v>
      </c>
      <c r="S473">
        <v>251.7</v>
      </c>
    </row>
    <row r="474" spans="1:19" x14ac:dyDescent="0.25">
      <c r="A474" s="6">
        <v>44585</v>
      </c>
      <c r="B474">
        <v>114.04</v>
      </c>
      <c r="C474">
        <v>138.43</v>
      </c>
      <c r="D474">
        <v>158.47</v>
      </c>
      <c r="E474">
        <v>182.55</v>
      </c>
      <c r="F474">
        <v>159.43</v>
      </c>
      <c r="G474">
        <v>83.31</v>
      </c>
      <c r="H474">
        <v>86.27</v>
      </c>
      <c r="I474">
        <v>82.87</v>
      </c>
      <c r="J474">
        <v>72.790000000000006</v>
      </c>
      <c r="K474">
        <v>21.15</v>
      </c>
      <c r="L474">
        <v>72164.02</v>
      </c>
      <c r="M474">
        <v>56367.01</v>
      </c>
      <c r="N474">
        <v>25.19</v>
      </c>
      <c r="O474">
        <v>6.5449999999999994E-2</v>
      </c>
      <c r="P474">
        <v>4.0270000000000001</v>
      </c>
      <c r="Q474">
        <v>125.32</v>
      </c>
      <c r="R474">
        <v>93</v>
      </c>
      <c r="S474">
        <v>240.05</v>
      </c>
    </row>
    <row r="475" spans="1:19" x14ac:dyDescent="0.25">
      <c r="A475" s="6">
        <v>44586</v>
      </c>
      <c r="B475">
        <v>114.04</v>
      </c>
      <c r="C475">
        <v>138.43</v>
      </c>
      <c r="D475">
        <v>158.47</v>
      </c>
      <c r="E475">
        <v>182.55</v>
      </c>
      <c r="F475">
        <v>159.43</v>
      </c>
      <c r="G475">
        <v>85.6</v>
      </c>
      <c r="H475">
        <v>88.2</v>
      </c>
      <c r="I475">
        <v>83.21</v>
      </c>
      <c r="J475">
        <v>74.930000000000007</v>
      </c>
      <c r="K475">
        <v>20.55</v>
      </c>
      <c r="L475">
        <v>72314.81</v>
      </c>
      <c r="M475">
        <v>58074.63</v>
      </c>
      <c r="N475">
        <v>26.004999999999999</v>
      </c>
      <c r="O475">
        <v>6.5619999999999998E-2</v>
      </c>
      <c r="P475">
        <v>4.0529999999999999</v>
      </c>
      <c r="Q475">
        <v>123.95</v>
      </c>
      <c r="R475">
        <v>93.58</v>
      </c>
      <c r="S475">
        <v>238.7</v>
      </c>
    </row>
    <row r="476" spans="1:19" x14ac:dyDescent="0.25">
      <c r="A476" s="6">
        <v>44587</v>
      </c>
      <c r="B476">
        <v>114.04</v>
      </c>
      <c r="C476">
        <v>138.43</v>
      </c>
      <c r="D476">
        <v>158.47</v>
      </c>
      <c r="E476">
        <v>182.55</v>
      </c>
      <c r="F476">
        <v>159.43</v>
      </c>
      <c r="G476">
        <v>87.35</v>
      </c>
      <c r="H476">
        <v>89.96</v>
      </c>
      <c r="I476">
        <v>83.39</v>
      </c>
      <c r="J476">
        <v>74.17</v>
      </c>
      <c r="K476">
        <v>20.55</v>
      </c>
      <c r="L476">
        <v>73797.33</v>
      </c>
      <c r="M476">
        <v>60175.79</v>
      </c>
      <c r="N476">
        <v>25.824999999999999</v>
      </c>
      <c r="O476">
        <v>6.522E-2</v>
      </c>
      <c r="P476">
        <v>4.2770000000000001</v>
      </c>
      <c r="Q476">
        <v>122.15</v>
      </c>
      <c r="R476">
        <v>91.834999999999994</v>
      </c>
      <c r="S476">
        <v>230.4</v>
      </c>
    </row>
    <row r="477" spans="1:19" x14ac:dyDescent="0.25">
      <c r="A477" s="6">
        <v>44588</v>
      </c>
      <c r="B477">
        <v>114.04</v>
      </c>
      <c r="C477">
        <v>138.43</v>
      </c>
      <c r="D477">
        <v>158.47</v>
      </c>
      <c r="E477">
        <v>182.55</v>
      </c>
      <c r="F477">
        <v>159.43</v>
      </c>
      <c r="G477">
        <v>86.61</v>
      </c>
      <c r="H477">
        <v>89.34</v>
      </c>
      <c r="I477">
        <v>83.33</v>
      </c>
      <c r="J477">
        <v>75.12</v>
      </c>
      <c r="K477">
        <v>20.3</v>
      </c>
      <c r="L477">
        <v>73504.039999999994</v>
      </c>
      <c r="M477">
        <v>57337.73</v>
      </c>
      <c r="N477">
        <v>25.274999999999999</v>
      </c>
      <c r="O477">
        <v>6.4619999999999997E-2</v>
      </c>
      <c r="P477">
        <v>4.2830000000000004</v>
      </c>
      <c r="Q477">
        <v>122.4</v>
      </c>
      <c r="R477">
        <v>92.3</v>
      </c>
      <c r="S477">
        <v>230.4</v>
      </c>
    </row>
    <row r="478" spans="1:19" x14ac:dyDescent="0.25">
      <c r="A478" s="6">
        <v>44589</v>
      </c>
      <c r="B478">
        <v>125.83</v>
      </c>
      <c r="C478">
        <v>148.91</v>
      </c>
      <c r="D478">
        <v>173.55</v>
      </c>
      <c r="E478">
        <v>201.3</v>
      </c>
      <c r="F478">
        <v>165.91</v>
      </c>
      <c r="G478">
        <v>86.82</v>
      </c>
      <c r="H478">
        <v>90.03</v>
      </c>
      <c r="I478">
        <v>83.36</v>
      </c>
      <c r="J478">
        <v>75.28</v>
      </c>
      <c r="K478">
        <v>19.5</v>
      </c>
      <c r="L478">
        <v>73454.960000000006</v>
      </c>
      <c r="M478">
        <v>55542.58</v>
      </c>
      <c r="N478">
        <v>26.81</v>
      </c>
      <c r="O478">
        <v>6.4079999999999998E-2</v>
      </c>
      <c r="P478">
        <v>4.6390000000000002</v>
      </c>
      <c r="Q478">
        <v>124.35</v>
      </c>
      <c r="R478">
        <v>92.061999999999998</v>
      </c>
      <c r="S478">
        <v>232.9</v>
      </c>
    </row>
    <row r="479" spans="1:19" x14ac:dyDescent="0.25">
      <c r="A479" s="6">
        <v>44592</v>
      </c>
      <c r="B479">
        <v>125.83</v>
      </c>
      <c r="C479">
        <v>148.91</v>
      </c>
      <c r="D479">
        <v>173.55</v>
      </c>
      <c r="E479">
        <v>201.3</v>
      </c>
      <c r="F479">
        <v>165.91</v>
      </c>
      <c r="G479">
        <v>88.15</v>
      </c>
      <c r="H479">
        <v>91.21</v>
      </c>
      <c r="I479">
        <v>83.45</v>
      </c>
      <c r="J479">
        <v>75.959999999999994</v>
      </c>
      <c r="K479">
        <v>19.079999999999998</v>
      </c>
      <c r="L479">
        <v>74304.56</v>
      </c>
      <c r="M479">
        <v>57645.58</v>
      </c>
      <c r="N479">
        <v>24.71</v>
      </c>
      <c r="O479">
        <v>6.4909999999999995E-2</v>
      </c>
      <c r="P479">
        <v>4.8739999999999997</v>
      </c>
      <c r="Q479">
        <v>126.66</v>
      </c>
      <c r="R479">
        <v>84.67</v>
      </c>
      <c r="S479">
        <v>235.45</v>
      </c>
    </row>
    <row r="480" spans="1:19" x14ac:dyDescent="0.25">
      <c r="A480" s="6">
        <v>44593</v>
      </c>
      <c r="B480">
        <v>125.83</v>
      </c>
      <c r="C480">
        <v>148.91</v>
      </c>
      <c r="D480">
        <v>173.55</v>
      </c>
      <c r="E480">
        <v>201.3</v>
      </c>
      <c r="F480">
        <v>165.91</v>
      </c>
      <c r="G480">
        <v>88.2</v>
      </c>
      <c r="H480">
        <v>89.16</v>
      </c>
      <c r="I480">
        <v>87.42</v>
      </c>
      <c r="J480">
        <v>80.83</v>
      </c>
      <c r="K480">
        <v>18.664864864864285</v>
      </c>
      <c r="L480">
        <v>74889.17</v>
      </c>
      <c r="M480">
        <v>57504.49</v>
      </c>
      <c r="N480">
        <v>23.704999999999998</v>
      </c>
      <c r="O480">
        <v>6.547E-2</v>
      </c>
      <c r="P480">
        <v>4.7510000000000003</v>
      </c>
      <c r="Q480">
        <v>127.04</v>
      </c>
      <c r="R480">
        <v>76.165000000000006</v>
      </c>
      <c r="S480">
        <v>233.75</v>
      </c>
    </row>
    <row r="481" spans="1:19" x14ac:dyDescent="0.25">
      <c r="A481" s="6">
        <v>44594</v>
      </c>
      <c r="B481">
        <v>125.83</v>
      </c>
      <c r="C481">
        <v>148.91</v>
      </c>
      <c r="D481">
        <v>173.55</v>
      </c>
      <c r="E481">
        <v>201.3</v>
      </c>
      <c r="F481">
        <v>165.91</v>
      </c>
      <c r="G481">
        <v>88.26</v>
      </c>
      <c r="H481">
        <v>89.47</v>
      </c>
      <c r="I481">
        <v>87.77</v>
      </c>
      <c r="J481">
        <v>80.62</v>
      </c>
      <c r="K481">
        <v>18.414419440900019</v>
      </c>
      <c r="L481">
        <v>75190.740000000005</v>
      </c>
      <c r="M481">
        <v>57157.11</v>
      </c>
      <c r="N481">
        <v>24.2</v>
      </c>
      <c r="O481">
        <v>6.515E-2</v>
      </c>
      <c r="P481">
        <v>5.5010000000000003</v>
      </c>
      <c r="Q481">
        <v>129.03</v>
      </c>
      <c r="R481">
        <v>77.349999999999994</v>
      </c>
      <c r="S481">
        <v>239.75</v>
      </c>
    </row>
    <row r="482" spans="1:19" x14ac:dyDescent="0.25">
      <c r="A482" s="6">
        <v>44595</v>
      </c>
      <c r="B482">
        <v>125.83</v>
      </c>
      <c r="C482">
        <v>148.91</v>
      </c>
      <c r="D482">
        <v>173.55</v>
      </c>
      <c r="E482">
        <v>201.3</v>
      </c>
      <c r="F482">
        <v>165.91</v>
      </c>
      <c r="G482">
        <v>90.27</v>
      </c>
      <c r="H482">
        <v>91.11</v>
      </c>
      <c r="I482">
        <v>89.16</v>
      </c>
      <c r="J482">
        <v>79.680000000000007</v>
      </c>
      <c r="K482">
        <v>18.096149856355623</v>
      </c>
      <c r="L482">
        <v>75021.67</v>
      </c>
      <c r="M482">
        <v>56361.59</v>
      </c>
      <c r="N482">
        <v>24.34</v>
      </c>
      <c r="O482">
        <v>6.547E-2</v>
      </c>
      <c r="P482">
        <v>4.8879999999999999</v>
      </c>
      <c r="Q482">
        <v>127.89</v>
      </c>
      <c r="R482">
        <v>80.224999999999994</v>
      </c>
      <c r="S482">
        <v>235.6</v>
      </c>
    </row>
    <row r="483" spans="1:19" x14ac:dyDescent="0.25">
      <c r="A483" s="6">
        <v>44596</v>
      </c>
      <c r="B483">
        <v>109</v>
      </c>
      <c r="C483">
        <v>138.88999999999999</v>
      </c>
      <c r="D483">
        <v>153.16</v>
      </c>
      <c r="E483">
        <v>183.78</v>
      </c>
      <c r="F483">
        <v>169.78</v>
      </c>
      <c r="G483">
        <v>92.31</v>
      </c>
      <c r="H483">
        <v>93.27</v>
      </c>
      <c r="I483">
        <v>91.06</v>
      </c>
      <c r="J483">
        <v>81.41</v>
      </c>
      <c r="K483">
        <v>20</v>
      </c>
      <c r="L483">
        <v>75206</v>
      </c>
      <c r="M483">
        <v>57344.95</v>
      </c>
      <c r="N483">
        <v>25.35</v>
      </c>
      <c r="O483">
        <v>6.4519999999999994E-2</v>
      </c>
      <c r="P483">
        <v>4.5720000000000001</v>
      </c>
      <c r="Q483">
        <v>129.76</v>
      </c>
      <c r="R483">
        <v>82.65</v>
      </c>
      <c r="S483">
        <v>232.85</v>
      </c>
    </row>
    <row r="484" spans="1:19" x14ac:dyDescent="0.25">
      <c r="A484" s="6">
        <v>44599</v>
      </c>
      <c r="B484">
        <v>109</v>
      </c>
      <c r="C484">
        <v>138.88999999999999</v>
      </c>
      <c r="D484">
        <v>153.16</v>
      </c>
      <c r="E484">
        <v>183.78</v>
      </c>
      <c r="F484">
        <v>169.78</v>
      </c>
      <c r="G484">
        <v>91.32</v>
      </c>
      <c r="H484">
        <v>92.69</v>
      </c>
      <c r="I484">
        <v>90.76</v>
      </c>
      <c r="J484">
        <v>82.39</v>
      </c>
      <c r="K484">
        <v>20.45</v>
      </c>
      <c r="L484">
        <v>75679.56</v>
      </c>
      <c r="M484">
        <v>57819.3</v>
      </c>
      <c r="N484">
        <v>25.1</v>
      </c>
      <c r="O484">
        <v>6.4409999999999995E-2</v>
      </c>
      <c r="P484">
        <v>4.2320000000000002</v>
      </c>
      <c r="Q484">
        <v>127.68</v>
      </c>
      <c r="R484">
        <v>79.594999999999999</v>
      </c>
      <c r="S484">
        <v>225.65</v>
      </c>
    </row>
    <row r="485" spans="1:19" x14ac:dyDescent="0.25">
      <c r="A485" s="6">
        <v>44600</v>
      </c>
      <c r="B485">
        <v>109</v>
      </c>
      <c r="C485">
        <v>138.88999999999999</v>
      </c>
      <c r="D485">
        <v>153.16</v>
      </c>
      <c r="E485">
        <v>183.78</v>
      </c>
      <c r="F485">
        <v>169.78</v>
      </c>
      <c r="G485">
        <v>89.36</v>
      </c>
      <c r="H485">
        <v>90.78</v>
      </c>
      <c r="I485">
        <v>89.28</v>
      </c>
      <c r="J485">
        <v>80.260000000000005</v>
      </c>
      <c r="K485">
        <v>21.6</v>
      </c>
      <c r="L485">
        <v>76090.52</v>
      </c>
      <c r="M485">
        <v>58859.87</v>
      </c>
      <c r="N485">
        <v>25.305</v>
      </c>
      <c r="O485">
        <v>6.5079999999999999E-2</v>
      </c>
      <c r="P485">
        <v>4.2480000000000002</v>
      </c>
      <c r="Q485">
        <v>127.59</v>
      </c>
      <c r="R485">
        <v>77.3</v>
      </c>
      <c r="S485">
        <v>222.85</v>
      </c>
    </row>
    <row r="486" spans="1:19" x14ac:dyDescent="0.25">
      <c r="A486" s="6">
        <v>44601</v>
      </c>
      <c r="B486">
        <v>109</v>
      </c>
      <c r="C486">
        <v>138.88999999999999</v>
      </c>
      <c r="D486">
        <v>153.16</v>
      </c>
      <c r="E486">
        <v>183.78</v>
      </c>
      <c r="F486">
        <v>169.78</v>
      </c>
      <c r="G486">
        <v>89.66</v>
      </c>
      <c r="H486">
        <v>91.55</v>
      </c>
      <c r="I486">
        <v>89.88</v>
      </c>
      <c r="J486">
        <v>79</v>
      </c>
      <c r="K486">
        <v>20.95</v>
      </c>
      <c r="L486">
        <v>76690.92</v>
      </c>
      <c r="M486">
        <v>59244.41</v>
      </c>
      <c r="N486">
        <v>24.715</v>
      </c>
      <c r="O486">
        <v>6.5710000000000005E-2</v>
      </c>
      <c r="P486">
        <v>4.0090000000000003</v>
      </c>
      <c r="Q486">
        <v>129.05000000000001</v>
      </c>
      <c r="R486">
        <v>74.415000000000006</v>
      </c>
      <c r="S486">
        <v>222.05</v>
      </c>
    </row>
    <row r="487" spans="1:19" x14ac:dyDescent="0.25">
      <c r="A487" s="6">
        <v>44602</v>
      </c>
      <c r="B487">
        <v>109</v>
      </c>
      <c r="C487">
        <v>138.88999999999999</v>
      </c>
      <c r="D487">
        <v>153.16</v>
      </c>
      <c r="E487">
        <v>183.78</v>
      </c>
      <c r="F487">
        <v>169.78</v>
      </c>
      <c r="G487">
        <v>89.88</v>
      </c>
      <c r="H487">
        <v>91.41</v>
      </c>
      <c r="I487">
        <v>89.92</v>
      </c>
      <c r="J487">
        <v>78.239999999999995</v>
      </c>
      <c r="K487">
        <v>21.8</v>
      </c>
      <c r="L487">
        <v>76585.19</v>
      </c>
      <c r="M487">
        <v>58967.77</v>
      </c>
      <c r="N487">
        <v>24.795000000000002</v>
      </c>
      <c r="O487">
        <v>6.5909999999999996E-2</v>
      </c>
      <c r="P487">
        <v>3.9590000000000001</v>
      </c>
      <c r="Q487">
        <v>126.72</v>
      </c>
      <c r="R487">
        <v>74.355000000000004</v>
      </c>
      <c r="S487">
        <v>225.3</v>
      </c>
    </row>
    <row r="488" spans="1:19" x14ac:dyDescent="0.25">
      <c r="A488" s="6">
        <v>44603</v>
      </c>
      <c r="B488">
        <v>124.66</v>
      </c>
      <c r="C488">
        <v>160.72</v>
      </c>
      <c r="D488">
        <v>180.32</v>
      </c>
      <c r="E488">
        <v>201.98</v>
      </c>
      <c r="F488">
        <v>180.38</v>
      </c>
      <c r="G488">
        <v>93.1</v>
      </c>
      <c r="H488">
        <v>94.44</v>
      </c>
      <c r="I488">
        <v>91.79</v>
      </c>
      <c r="J488">
        <v>80.209999999999994</v>
      </c>
      <c r="K488">
        <v>22.35</v>
      </c>
      <c r="L488">
        <v>76382.95</v>
      </c>
      <c r="M488">
        <v>59205.77</v>
      </c>
      <c r="N488">
        <v>24.57</v>
      </c>
      <c r="O488">
        <v>6.5659999999999996E-2</v>
      </c>
      <c r="P488">
        <v>3.9409999999999998</v>
      </c>
      <c r="Q488">
        <v>125.93</v>
      </c>
      <c r="R488">
        <v>77.424999999999997</v>
      </c>
      <c r="S488">
        <v>219.45</v>
      </c>
    </row>
    <row r="489" spans="1:19" x14ac:dyDescent="0.25">
      <c r="A489" s="6">
        <v>44606</v>
      </c>
      <c r="B489">
        <v>124.66</v>
      </c>
      <c r="C489">
        <v>160.72</v>
      </c>
      <c r="D489">
        <v>180.32</v>
      </c>
      <c r="E489">
        <v>201.98</v>
      </c>
      <c r="F489">
        <v>180.38</v>
      </c>
      <c r="G489">
        <v>95.46</v>
      </c>
      <c r="H489">
        <v>96.48</v>
      </c>
      <c r="I489">
        <v>92.61</v>
      </c>
      <c r="J489">
        <v>78.98</v>
      </c>
      <c r="K489">
        <v>21.8</v>
      </c>
      <c r="L489">
        <v>75765.16</v>
      </c>
      <c r="M489">
        <v>61904.42</v>
      </c>
      <c r="N489">
        <v>24.885000000000002</v>
      </c>
      <c r="O489">
        <v>6.608E-2</v>
      </c>
      <c r="P489">
        <v>4.1950000000000003</v>
      </c>
      <c r="Q489">
        <v>124.84</v>
      </c>
      <c r="R489">
        <v>80.77</v>
      </c>
      <c r="S489">
        <v>210.65</v>
      </c>
    </row>
    <row r="490" spans="1:19" x14ac:dyDescent="0.25">
      <c r="A490" s="6">
        <v>44607</v>
      </c>
      <c r="B490">
        <v>124.66</v>
      </c>
      <c r="C490">
        <v>160.72</v>
      </c>
      <c r="D490">
        <v>180.32</v>
      </c>
      <c r="E490">
        <v>201.98</v>
      </c>
      <c r="F490">
        <v>180.38</v>
      </c>
      <c r="G490">
        <v>92.07</v>
      </c>
      <c r="H490">
        <v>93.28</v>
      </c>
      <c r="I490">
        <v>90.86</v>
      </c>
      <c r="J490">
        <v>77.989999999999995</v>
      </c>
      <c r="K490">
        <v>21.65</v>
      </c>
      <c r="L490">
        <v>75853.16</v>
      </c>
      <c r="M490">
        <v>59562.53</v>
      </c>
      <c r="N490">
        <v>24.815000000000001</v>
      </c>
      <c r="O490">
        <v>6.6140000000000004E-2</v>
      </c>
      <c r="P490">
        <v>4.306</v>
      </c>
      <c r="Q490">
        <v>125.22</v>
      </c>
      <c r="R490">
        <v>70.92</v>
      </c>
      <c r="S490">
        <v>221</v>
      </c>
    </row>
    <row r="491" spans="1:19" x14ac:dyDescent="0.25">
      <c r="A491" s="6">
        <v>44608</v>
      </c>
      <c r="B491">
        <v>124.66</v>
      </c>
      <c r="C491">
        <v>160.72</v>
      </c>
      <c r="D491">
        <v>180.32</v>
      </c>
      <c r="E491">
        <v>201.98</v>
      </c>
      <c r="F491">
        <v>180.38</v>
      </c>
      <c r="G491">
        <v>93.66</v>
      </c>
      <c r="H491">
        <v>94.81</v>
      </c>
      <c r="I491">
        <v>91.56</v>
      </c>
      <c r="J491">
        <v>78.349999999999994</v>
      </c>
      <c r="K491">
        <v>22</v>
      </c>
      <c r="L491">
        <v>76502.59</v>
      </c>
      <c r="M491">
        <v>61346.67</v>
      </c>
      <c r="N491">
        <v>23.074999999999999</v>
      </c>
      <c r="O491">
        <v>6.6650000000000001E-2</v>
      </c>
      <c r="P491">
        <v>4.7169999999999996</v>
      </c>
      <c r="Q491">
        <v>125.72</v>
      </c>
      <c r="R491">
        <v>69.795000000000002</v>
      </c>
      <c r="S491">
        <v>219.35</v>
      </c>
    </row>
    <row r="492" spans="1:19" x14ac:dyDescent="0.25">
      <c r="A492" s="6">
        <v>44609</v>
      </c>
      <c r="B492">
        <v>124.66</v>
      </c>
      <c r="C492">
        <v>160.72</v>
      </c>
      <c r="D492">
        <v>180.32</v>
      </c>
      <c r="E492">
        <v>201.98</v>
      </c>
      <c r="F492">
        <v>180.38</v>
      </c>
      <c r="G492">
        <v>91.76</v>
      </c>
      <c r="H492">
        <v>92.97</v>
      </c>
      <c r="I492">
        <v>90.67</v>
      </c>
      <c r="J492">
        <v>78.23</v>
      </c>
      <c r="K492">
        <v>22.1</v>
      </c>
      <c r="L492">
        <v>76154.69</v>
      </c>
      <c r="M492">
        <v>62788.46</v>
      </c>
      <c r="N492">
        <v>24.51</v>
      </c>
      <c r="O492">
        <v>6.6650000000000001E-2</v>
      </c>
      <c r="P492">
        <v>4.4859999999999998</v>
      </c>
      <c r="Q492">
        <v>123.25</v>
      </c>
      <c r="R492">
        <v>74.915000000000006</v>
      </c>
      <c r="S492">
        <v>216.9</v>
      </c>
    </row>
    <row r="493" spans="1:19" x14ac:dyDescent="0.25">
      <c r="A493" s="6">
        <v>44610</v>
      </c>
      <c r="B493">
        <v>128.49</v>
      </c>
      <c r="C493">
        <v>162.33000000000001</v>
      </c>
      <c r="D493">
        <v>181.9</v>
      </c>
      <c r="E493">
        <v>211.52</v>
      </c>
      <c r="F493">
        <v>183.03</v>
      </c>
      <c r="G493">
        <v>91.07</v>
      </c>
      <c r="H493">
        <v>93.54</v>
      </c>
      <c r="I493">
        <v>90.9</v>
      </c>
      <c r="J493">
        <v>77.36</v>
      </c>
      <c r="K493">
        <v>22.45</v>
      </c>
      <c r="L493">
        <v>76368.34</v>
      </c>
      <c r="M493">
        <v>64049.19</v>
      </c>
      <c r="N493">
        <v>23.805</v>
      </c>
      <c r="O493">
        <v>6.6250000000000003E-2</v>
      </c>
      <c r="P493">
        <v>4.431</v>
      </c>
      <c r="Q493">
        <v>122.87</v>
      </c>
      <c r="R493">
        <v>73.760000000000005</v>
      </c>
      <c r="S493">
        <v>217.55</v>
      </c>
    </row>
    <row r="494" spans="1:19" x14ac:dyDescent="0.25">
      <c r="A494" s="6">
        <v>44613</v>
      </c>
      <c r="B494">
        <v>128.49</v>
      </c>
      <c r="C494">
        <v>162.33000000000001</v>
      </c>
      <c r="D494">
        <v>181.9</v>
      </c>
      <c r="E494">
        <v>211.52</v>
      </c>
      <c r="F494">
        <v>183.03</v>
      </c>
      <c r="G494">
        <v>92.65</v>
      </c>
      <c r="H494">
        <v>95.39</v>
      </c>
      <c r="I494">
        <v>91.37</v>
      </c>
      <c r="J494">
        <v>76.91</v>
      </c>
      <c r="K494">
        <v>22.5</v>
      </c>
      <c r="L494">
        <v>75528.460000000006</v>
      </c>
      <c r="M494">
        <v>63290.63</v>
      </c>
      <c r="N494">
        <v>23.532837837837178</v>
      </c>
      <c r="O494">
        <v>6.6059999999999994E-2</v>
      </c>
      <c r="P494">
        <v>4.7050000000000001</v>
      </c>
      <c r="Q494">
        <v>122.995</v>
      </c>
      <c r="R494">
        <v>71.72</v>
      </c>
      <c r="S494">
        <v>210.2</v>
      </c>
    </row>
    <row r="495" spans="1:19" x14ac:dyDescent="0.25">
      <c r="A495" s="6">
        <v>44614</v>
      </c>
      <c r="B495">
        <v>128.49</v>
      </c>
      <c r="C495">
        <v>162.33000000000001</v>
      </c>
      <c r="D495">
        <v>181.9</v>
      </c>
      <c r="E495">
        <v>211.52</v>
      </c>
      <c r="F495">
        <v>183.03</v>
      </c>
      <c r="G495">
        <v>92.35</v>
      </c>
      <c r="H495">
        <v>96.84</v>
      </c>
      <c r="I495">
        <v>91.84</v>
      </c>
      <c r="J495">
        <v>76.459999999999994</v>
      </c>
      <c r="K495">
        <v>22.45</v>
      </c>
      <c r="L495">
        <v>75653.84</v>
      </c>
      <c r="M495">
        <v>65246.400000000001</v>
      </c>
      <c r="N495">
        <v>25.96</v>
      </c>
      <c r="O495">
        <v>6.6350000000000006E-2</v>
      </c>
      <c r="P495">
        <v>4.4980000000000002</v>
      </c>
      <c r="Q495">
        <v>123.12</v>
      </c>
      <c r="R495">
        <v>79.790000000000006</v>
      </c>
      <c r="S495">
        <v>205.25</v>
      </c>
    </row>
    <row r="496" spans="1:19" x14ac:dyDescent="0.25">
      <c r="A496" s="6">
        <v>44615</v>
      </c>
      <c r="B496">
        <v>128.49</v>
      </c>
      <c r="C496">
        <v>162.33000000000001</v>
      </c>
      <c r="D496">
        <v>181.9</v>
      </c>
      <c r="E496">
        <v>211.52</v>
      </c>
      <c r="F496">
        <v>183.03</v>
      </c>
      <c r="G496">
        <v>92.1</v>
      </c>
      <c r="H496">
        <v>96.84</v>
      </c>
      <c r="I496">
        <v>91.7</v>
      </c>
      <c r="J496">
        <v>76.77</v>
      </c>
      <c r="K496">
        <v>21.85</v>
      </c>
      <c r="L496">
        <v>74987.05</v>
      </c>
      <c r="M496">
        <v>64546.9</v>
      </c>
      <c r="N496">
        <v>28.965</v>
      </c>
      <c r="O496">
        <v>6.6129999999999994E-2</v>
      </c>
      <c r="P496">
        <v>4.6230000000000002</v>
      </c>
      <c r="Q496">
        <v>123.69</v>
      </c>
      <c r="R496">
        <v>88.89</v>
      </c>
      <c r="S496">
        <v>208.8</v>
      </c>
    </row>
    <row r="497" spans="1:19" x14ac:dyDescent="0.25">
      <c r="A497" s="6">
        <v>44616</v>
      </c>
      <c r="B497">
        <v>128.49</v>
      </c>
      <c r="C497">
        <v>162.33000000000001</v>
      </c>
      <c r="D497">
        <v>181.9</v>
      </c>
      <c r="E497">
        <v>211.52</v>
      </c>
      <c r="F497">
        <v>183.03</v>
      </c>
      <c r="G497">
        <v>92.81</v>
      </c>
      <c r="H497">
        <v>99.08</v>
      </c>
      <c r="I497">
        <v>92.07</v>
      </c>
      <c r="J497">
        <v>75.8</v>
      </c>
      <c r="K497">
        <v>21.65</v>
      </c>
      <c r="L497">
        <v>73697.11</v>
      </c>
      <c r="M497">
        <v>69934.63</v>
      </c>
      <c r="N497">
        <v>37.01</v>
      </c>
      <c r="O497">
        <v>6.5060000000000007E-2</v>
      </c>
      <c r="P497">
        <v>4.5679999999999996</v>
      </c>
      <c r="Q497">
        <v>127.92</v>
      </c>
      <c r="R497">
        <v>134.315</v>
      </c>
      <c r="S497">
        <v>193.45</v>
      </c>
    </row>
    <row r="498" spans="1:19" x14ac:dyDescent="0.25">
      <c r="A498" s="6">
        <v>44617</v>
      </c>
      <c r="B498">
        <v>151.27000000000001</v>
      </c>
      <c r="C498">
        <v>189</v>
      </c>
      <c r="D498">
        <v>216.37</v>
      </c>
      <c r="E498">
        <v>228.31</v>
      </c>
      <c r="F498">
        <v>203.78</v>
      </c>
      <c r="G498">
        <v>91.59</v>
      </c>
      <c r="H498">
        <v>97.93</v>
      </c>
      <c r="I498">
        <v>91.93</v>
      </c>
      <c r="J498">
        <v>77.84</v>
      </c>
      <c r="K498">
        <v>20.6</v>
      </c>
      <c r="L498">
        <v>74205.69</v>
      </c>
      <c r="M498">
        <v>66682.94</v>
      </c>
      <c r="N498">
        <v>27.51</v>
      </c>
      <c r="O498">
        <v>6.5989999999999993E-2</v>
      </c>
      <c r="P498">
        <v>4.47</v>
      </c>
      <c r="Q498">
        <v>128.47</v>
      </c>
      <c r="R498">
        <v>94.421999999999997</v>
      </c>
      <c r="S498">
        <v>204.2</v>
      </c>
    </row>
    <row r="499" spans="1:19" x14ac:dyDescent="0.25">
      <c r="A499" s="6">
        <v>44620</v>
      </c>
      <c r="B499">
        <v>151.27000000000001</v>
      </c>
      <c r="C499">
        <v>189</v>
      </c>
      <c r="D499">
        <v>216.37</v>
      </c>
      <c r="E499">
        <v>228.31</v>
      </c>
      <c r="F499">
        <v>203.78</v>
      </c>
      <c r="G499">
        <v>95.72</v>
      </c>
      <c r="H499">
        <v>100.99</v>
      </c>
      <c r="I499">
        <v>92.34</v>
      </c>
      <c r="J499">
        <v>78.42</v>
      </c>
      <c r="K499">
        <v>21.5</v>
      </c>
      <c r="L499">
        <v>76090.509999999995</v>
      </c>
      <c r="M499">
        <v>73018.789999999994</v>
      </c>
      <c r="N499">
        <v>27.95</v>
      </c>
      <c r="O499">
        <v>6.5030000000000004E-2</v>
      </c>
      <c r="P499">
        <v>4.4020000000000001</v>
      </c>
      <c r="Q499">
        <v>128.12</v>
      </c>
      <c r="R499">
        <v>98.594999999999999</v>
      </c>
      <c r="S499">
        <v>205.85</v>
      </c>
    </row>
    <row r="500" spans="1:19" x14ac:dyDescent="0.25">
      <c r="A500" s="6">
        <v>44621</v>
      </c>
      <c r="B500">
        <v>151.27000000000001</v>
      </c>
      <c r="C500">
        <v>189</v>
      </c>
      <c r="D500">
        <v>216.37</v>
      </c>
      <c r="E500">
        <v>228.31</v>
      </c>
      <c r="F500">
        <v>203.78</v>
      </c>
      <c r="G500">
        <v>103.41</v>
      </c>
      <c r="H500">
        <v>104.97</v>
      </c>
      <c r="I500">
        <v>102</v>
      </c>
      <c r="J500">
        <v>79.17</v>
      </c>
      <c r="K500">
        <v>21.8</v>
      </c>
      <c r="L500">
        <v>77110.69</v>
      </c>
      <c r="M500">
        <v>75185.759999999995</v>
      </c>
      <c r="N500">
        <v>31.5</v>
      </c>
      <c r="O500">
        <v>6.479E-2</v>
      </c>
      <c r="P500">
        <v>4.5730000000000004</v>
      </c>
      <c r="Q500">
        <v>127.75</v>
      </c>
      <c r="R500">
        <v>121.675</v>
      </c>
      <c r="S500">
        <v>214.05</v>
      </c>
    </row>
    <row r="501" spans="1:19" x14ac:dyDescent="0.25">
      <c r="A501" s="6">
        <v>44622</v>
      </c>
      <c r="B501">
        <v>151.27000000000001</v>
      </c>
      <c r="C501">
        <v>189</v>
      </c>
      <c r="D501">
        <v>216.37</v>
      </c>
      <c r="E501">
        <v>228.31</v>
      </c>
      <c r="F501">
        <v>203.78</v>
      </c>
      <c r="G501">
        <v>110.6</v>
      </c>
      <c r="H501">
        <v>112.93</v>
      </c>
      <c r="I501">
        <v>109.4</v>
      </c>
      <c r="J501">
        <v>80.53</v>
      </c>
      <c r="K501">
        <v>21.8</v>
      </c>
      <c r="L501">
        <v>77536.12</v>
      </c>
      <c r="M501">
        <v>75128.44</v>
      </c>
      <c r="N501">
        <v>38.505000000000003</v>
      </c>
      <c r="O501">
        <v>6.5269999999999995E-2</v>
      </c>
      <c r="P501">
        <v>4.7619999999999996</v>
      </c>
      <c r="Q501">
        <v>129.94999999999999</v>
      </c>
      <c r="R501">
        <v>165.54499999999999</v>
      </c>
      <c r="S501">
        <v>214.05</v>
      </c>
    </row>
    <row r="502" spans="1:19" x14ac:dyDescent="0.25">
      <c r="A502" s="6">
        <v>44623</v>
      </c>
      <c r="B502">
        <v>151.27000000000001</v>
      </c>
      <c r="C502">
        <v>189</v>
      </c>
      <c r="D502">
        <v>216.37</v>
      </c>
      <c r="E502">
        <v>228.31</v>
      </c>
      <c r="F502">
        <v>203.78</v>
      </c>
      <c r="G502">
        <v>107.67</v>
      </c>
      <c r="H502">
        <v>110.46</v>
      </c>
      <c r="I502">
        <v>106.58</v>
      </c>
      <c r="J502">
        <v>81.040000000000006</v>
      </c>
      <c r="K502">
        <v>22.75</v>
      </c>
      <c r="L502">
        <v>77390.850000000006</v>
      </c>
      <c r="M502">
        <v>72933.89</v>
      </c>
      <c r="N502">
        <v>43.6</v>
      </c>
      <c r="O502">
        <v>6.5740000000000007E-2</v>
      </c>
      <c r="P502">
        <v>4.7220000000000004</v>
      </c>
      <c r="Q502">
        <v>131.4</v>
      </c>
      <c r="R502">
        <v>160.82499999999999</v>
      </c>
      <c r="S502">
        <v>213.75</v>
      </c>
    </row>
    <row r="503" spans="1:19" x14ac:dyDescent="0.25">
      <c r="A503" s="6">
        <v>44624</v>
      </c>
      <c r="B503">
        <v>251.7</v>
      </c>
      <c r="C503">
        <v>306.76</v>
      </c>
      <c r="D503">
        <v>346.85</v>
      </c>
      <c r="E503">
        <v>359.9</v>
      </c>
      <c r="F503">
        <v>271.7</v>
      </c>
      <c r="G503">
        <v>115.68</v>
      </c>
      <c r="H503">
        <v>118.11</v>
      </c>
      <c r="I503">
        <v>114.95</v>
      </c>
      <c r="J503">
        <v>84.09</v>
      </c>
      <c r="K503">
        <v>22.75</v>
      </c>
      <c r="L503">
        <v>74734.37</v>
      </c>
      <c r="M503">
        <v>74495.789999999994</v>
      </c>
      <c r="N503">
        <v>38.65</v>
      </c>
      <c r="O503">
        <v>6.4920000000000005E-2</v>
      </c>
      <c r="P503">
        <v>5.016</v>
      </c>
      <c r="Q503">
        <v>135.69999999999999</v>
      </c>
      <c r="R503">
        <v>192.55</v>
      </c>
      <c r="S503">
        <v>211.1</v>
      </c>
    </row>
    <row r="504" spans="1:19" x14ac:dyDescent="0.25">
      <c r="A504" s="6">
        <v>44627</v>
      </c>
      <c r="B504">
        <v>251.7</v>
      </c>
      <c r="C504">
        <v>306.76</v>
      </c>
      <c r="D504">
        <v>346.85</v>
      </c>
      <c r="E504">
        <v>359.9</v>
      </c>
      <c r="F504">
        <v>271.7</v>
      </c>
      <c r="G504">
        <v>119.4</v>
      </c>
      <c r="H504">
        <v>123.21</v>
      </c>
      <c r="I504">
        <v>118.18</v>
      </c>
      <c r="J504">
        <v>87.12</v>
      </c>
      <c r="K504">
        <v>22.3</v>
      </c>
      <c r="L504">
        <v>73295.88</v>
      </c>
      <c r="M504">
        <v>74773.64</v>
      </c>
      <c r="N504">
        <v>51.765000000000001</v>
      </c>
      <c r="O504">
        <v>6.5110000000000001E-2</v>
      </c>
      <c r="P504">
        <v>4.8330000000000002</v>
      </c>
      <c r="Q504">
        <v>132.38999999999999</v>
      </c>
      <c r="R504">
        <v>227.2</v>
      </c>
      <c r="S504">
        <v>207.9</v>
      </c>
    </row>
    <row r="505" spans="1:19" x14ac:dyDescent="0.25">
      <c r="A505" s="6">
        <v>44628</v>
      </c>
      <c r="B505">
        <v>251.7</v>
      </c>
      <c r="C505">
        <v>306.76</v>
      </c>
      <c r="D505">
        <v>346.85</v>
      </c>
      <c r="E505">
        <v>359.9</v>
      </c>
      <c r="F505">
        <v>271.7</v>
      </c>
      <c r="G505">
        <v>123.7</v>
      </c>
      <c r="H505">
        <v>127.98</v>
      </c>
      <c r="I505">
        <v>122.53</v>
      </c>
      <c r="J505">
        <v>87.78</v>
      </c>
      <c r="K505">
        <v>21.7</v>
      </c>
      <c r="L505">
        <v>72398.62</v>
      </c>
      <c r="M505">
        <v>74666.11</v>
      </c>
      <c r="N505">
        <v>42.62</v>
      </c>
      <c r="O505">
        <v>6.5320000000000003E-2</v>
      </c>
      <c r="P505">
        <v>4.5270000000000001</v>
      </c>
      <c r="Q505">
        <v>124.67</v>
      </c>
      <c r="R505">
        <v>214.55500000000001</v>
      </c>
      <c r="S505">
        <v>214.2</v>
      </c>
    </row>
    <row r="506" spans="1:19" x14ac:dyDescent="0.25">
      <c r="A506" s="6">
        <v>44629</v>
      </c>
      <c r="B506">
        <v>251.7</v>
      </c>
      <c r="C506">
        <v>306.76</v>
      </c>
      <c r="D506">
        <v>346.85</v>
      </c>
      <c r="E506">
        <v>359.9</v>
      </c>
      <c r="F506">
        <v>271.7</v>
      </c>
      <c r="G506">
        <v>108.7</v>
      </c>
      <c r="H506">
        <v>111.14</v>
      </c>
      <c r="I506">
        <v>110.86</v>
      </c>
      <c r="J506">
        <v>82.79</v>
      </c>
      <c r="K506">
        <v>21.75</v>
      </c>
      <c r="L506">
        <v>72684.820000000007</v>
      </c>
      <c r="M506">
        <v>70880.460000000006</v>
      </c>
      <c r="N506">
        <v>38.965000000000003</v>
      </c>
      <c r="O506">
        <v>6.6629999999999995E-2</v>
      </c>
      <c r="P506">
        <v>4.5259999999999998</v>
      </c>
      <c r="Q506">
        <v>128.78</v>
      </c>
      <c r="R506">
        <v>155.88</v>
      </c>
      <c r="S506">
        <v>222.8</v>
      </c>
    </row>
    <row r="507" spans="1:19" x14ac:dyDescent="0.25">
      <c r="A507" s="6">
        <v>44630</v>
      </c>
      <c r="B507">
        <v>251.7</v>
      </c>
      <c r="C507">
        <v>306.76</v>
      </c>
      <c r="D507">
        <v>346.85</v>
      </c>
      <c r="E507">
        <v>359.9</v>
      </c>
      <c r="F507">
        <v>271.7</v>
      </c>
      <c r="G507">
        <v>106.02</v>
      </c>
      <c r="H507">
        <v>109.33</v>
      </c>
      <c r="I507">
        <v>110.2</v>
      </c>
      <c r="J507">
        <v>85.36</v>
      </c>
      <c r="K507">
        <v>21.5</v>
      </c>
      <c r="L507">
        <v>73889.41</v>
      </c>
      <c r="M507">
        <v>73244.34</v>
      </c>
      <c r="N507">
        <v>38.325000000000003</v>
      </c>
      <c r="O507">
        <v>6.6449999999999995E-2</v>
      </c>
      <c r="P507">
        <v>4.6310000000000002</v>
      </c>
      <c r="Q507">
        <v>129.56</v>
      </c>
      <c r="R507">
        <v>126.4</v>
      </c>
      <c r="S507">
        <v>224.55</v>
      </c>
    </row>
    <row r="508" spans="1:19" x14ac:dyDescent="0.25">
      <c r="A508" s="6">
        <v>44631</v>
      </c>
      <c r="B508">
        <v>301.08999999999997</v>
      </c>
      <c r="C508">
        <v>360.24</v>
      </c>
      <c r="D508">
        <v>412.35</v>
      </c>
      <c r="E508">
        <v>428.22</v>
      </c>
      <c r="F508">
        <v>312.89</v>
      </c>
      <c r="G508">
        <v>109.33</v>
      </c>
      <c r="H508">
        <v>112.67</v>
      </c>
      <c r="I508">
        <v>112.59</v>
      </c>
      <c r="J508">
        <v>84.92</v>
      </c>
      <c r="K508">
        <v>21.3</v>
      </c>
      <c r="L508">
        <v>73685.89</v>
      </c>
      <c r="M508">
        <v>70700.850000000006</v>
      </c>
      <c r="N508">
        <v>37.145000000000003</v>
      </c>
      <c r="O508">
        <v>6.6320000000000004E-2</v>
      </c>
      <c r="P508">
        <v>4.7249999999999996</v>
      </c>
      <c r="Q508">
        <v>126.36</v>
      </c>
      <c r="R508">
        <v>131.22999999999999</v>
      </c>
      <c r="S508">
        <v>225.15</v>
      </c>
    </row>
    <row r="509" spans="1:19" x14ac:dyDescent="0.25">
      <c r="A509" s="6">
        <v>44634</v>
      </c>
      <c r="B509">
        <v>301.08999999999997</v>
      </c>
      <c r="C509">
        <v>360.24</v>
      </c>
      <c r="D509">
        <v>412.35</v>
      </c>
      <c r="E509">
        <v>428.22</v>
      </c>
      <c r="F509">
        <v>312.89</v>
      </c>
      <c r="G509">
        <v>103.01</v>
      </c>
      <c r="H509">
        <v>106.9</v>
      </c>
      <c r="I509">
        <v>109.18</v>
      </c>
      <c r="J509">
        <v>81.88</v>
      </c>
      <c r="K509">
        <v>20.100000000000001</v>
      </c>
      <c r="L509">
        <v>71903.72</v>
      </c>
      <c r="M509">
        <v>67668.02</v>
      </c>
      <c r="N509">
        <v>37.25</v>
      </c>
      <c r="O509">
        <v>6.6030000000000005E-2</v>
      </c>
      <c r="P509">
        <v>4.6580000000000004</v>
      </c>
      <c r="Q509">
        <v>126.22</v>
      </c>
      <c r="R509">
        <v>114.52</v>
      </c>
      <c r="S509">
        <v>219.5</v>
      </c>
    </row>
    <row r="510" spans="1:19" x14ac:dyDescent="0.25">
      <c r="A510" s="6">
        <v>44635</v>
      </c>
      <c r="B510">
        <v>301.08999999999997</v>
      </c>
      <c r="C510">
        <v>360.24</v>
      </c>
      <c r="D510">
        <v>412.35</v>
      </c>
      <c r="E510">
        <v>428.22</v>
      </c>
      <c r="F510">
        <v>312.89</v>
      </c>
      <c r="G510">
        <v>96.44</v>
      </c>
      <c r="H510">
        <v>99.91</v>
      </c>
      <c r="I510">
        <v>105.76</v>
      </c>
      <c r="J510">
        <v>77.22</v>
      </c>
      <c r="K510">
        <v>18.54</v>
      </c>
      <c r="L510">
        <v>70628.2</v>
      </c>
      <c r="M510">
        <v>67451.100000000006</v>
      </c>
      <c r="N510">
        <v>37.445</v>
      </c>
      <c r="O510">
        <v>6.6140000000000004E-2</v>
      </c>
      <c r="P510">
        <v>4.5679999999999996</v>
      </c>
      <c r="Q510">
        <v>130.26</v>
      </c>
      <c r="R510">
        <v>115.44</v>
      </c>
      <c r="S510">
        <v>218.6</v>
      </c>
    </row>
    <row r="511" spans="1:19" x14ac:dyDescent="0.25">
      <c r="A511" s="6">
        <v>44636</v>
      </c>
      <c r="B511">
        <v>301.08999999999997</v>
      </c>
      <c r="C511">
        <v>360.24</v>
      </c>
      <c r="D511">
        <v>412.35</v>
      </c>
      <c r="E511">
        <v>428.22</v>
      </c>
      <c r="F511">
        <v>312.89</v>
      </c>
      <c r="G511">
        <v>95.04</v>
      </c>
      <c r="H511">
        <v>98.02</v>
      </c>
      <c r="I511">
        <v>104.89</v>
      </c>
      <c r="J511">
        <v>76.930000000000007</v>
      </c>
      <c r="K511">
        <v>19.600000000000001</v>
      </c>
      <c r="L511">
        <v>73484.3</v>
      </c>
      <c r="M511">
        <v>67377.8</v>
      </c>
      <c r="N511">
        <v>33.634999999999998</v>
      </c>
      <c r="O511">
        <v>6.6989999999999994E-2</v>
      </c>
      <c r="P511">
        <v>4.7480000000000002</v>
      </c>
      <c r="Q511">
        <v>131.62</v>
      </c>
      <c r="R511">
        <v>102.625</v>
      </c>
      <c r="S511">
        <v>222.75</v>
      </c>
    </row>
    <row r="512" spans="1:19" x14ac:dyDescent="0.25">
      <c r="A512" s="6">
        <v>44637</v>
      </c>
      <c r="B512">
        <v>301.08999999999997</v>
      </c>
      <c r="C512">
        <v>360.24</v>
      </c>
      <c r="D512">
        <v>412.35</v>
      </c>
      <c r="E512">
        <v>428.22</v>
      </c>
      <c r="F512">
        <v>312.89</v>
      </c>
      <c r="G512">
        <v>102.98</v>
      </c>
      <c r="H512">
        <v>106.64</v>
      </c>
      <c r="I512">
        <v>108.78</v>
      </c>
      <c r="J512">
        <v>78.98</v>
      </c>
      <c r="K512">
        <v>20.6</v>
      </c>
      <c r="L512">
        <v>74124.27</v>
      </c>
      <c r="M512">
        <v>70113</v>
      </c>
      <c r="N512">
        <v>35.555</v>
      </c>
      <c r="O512">
        <v>6.7070000000000005E-2</v>
      </c>
      <c r="P512">
        <v>4.99</v>
      </c>
      <c r="Q512">
        <v>133.6</v>
      </c>
      <c r="R512">
        <v>105.09</v>
      </c>
      <c r="S512">
        <v>223.15</v>
      </c>
    </row>
    <row r="513" spans="1:19" x14ac:dyDescent="0.25">
      <c r="A513" s="6">
        <v>44638</v>
      </c>
      <c r="B513">
        <v>183.2</v>
      </c>
      <c r="C513">
        <v>226.55</v>
      </c>
      <c r="D513">
        <v>260.51</v>
      </c>
      <c r="E513">
        <v>294.8</v>
      </c>
      <c r="F513">
        <v>254.6</v>
      </c>
      <c r="G513">
        <v>104.7</v>
      </c>
      <c r="H513">
        <v>107.93</v>
      </c>
      <c r="I513">
        <v>108.99</v>
      </c>
      <c r="J513">
        <v>78.67</v>
      </c>
      <c r="K513">
        <v>20.75</v>
      </c>
      <c r="L513">
        <v>74847.63</v>
      </c>
      <c r="M513">
        <v>69244.78</v>
      </c>
      <c r="N513">
        <v>35.494999999999997</v>
      </c>
      <c r="O513">
        <v>6.676E-2</v>
      </c>
      <c r="P513">
        <v>4.8630000000000004</v>
      </c>
      <c r="Q513">
        <v>136.9</v>
      </c>
      <c r="R513">
        <v>105.045</v>
      </c>
      <c r="S513">
        <v>220.95</v>
      </c>
    </row>
    <row r="514" spans="1:19" x14ac:dyDescent="0.25">
      <c r="A514" s="6">
        <v>44641</v>
      </c>
      <c r="B514">
        <v>183.2</v>
      </c>
      <c r="C514">
        <v>226.55</v>
      </c>
      <c r="D514">
        <v>260.51</v>
      </c>
      <c r="E514">
        <v>294.8</v>
      </c>
      <c r="F514">
        <v>254.6</v>
      </c>
      <c r="G514">
        <v>112.12</v>
      </c>
      <c r="H514">
        <v>115.62</v>
      </c>
      <c r="I514">
        <v>111.73</v>
      </c>
      <c r="J514">
        <v>82.2</v>
      </c>
      <c r="K514">
        <v>20.85</v>
      </c>
      <c r="L514">
        <v>74345.1135135144</v>
      </c>
      <c r="M514">
        <v>68022.832162162289</v>
      </c>
      <c r="N514">
        <v>34.81</v>
      </c>
      <c r="O514">
        <v>6.7030000000000006E-2</v>
      </c>
      <c r="P514">
        <v>4.9000000000000004</v>
      </c>
      <c r="Q514">
        <v>135.97</v>
      </c>
      <c r="R514">
        <v>96.302000000000007</v>
      </c>
      <c r="S514">
        <v>220.95</v>
      </c>
    </row>
    <row r="515" spans="1:19" x14ac:dyDescent="0.25">
      <c r="A515" s="6">
        <v>44642</v>
      </c>
      <c r="B515">
        <v>183.2</v>
      </c>
      <c r="C515">
        <v>226.55</v>
      </c>
      <c r="D515">
        <v>260.51</v>
      </c>
      <c r="E515">
        <v>294.8</v>
      </c>
      <c r="F515">
        <v>254.6</v>
      </c>
      <c r="G515">
        <v>111.76</v>
      </c>
      <c r="H515">
        <v>115.48</v>
      </c>
      <c r="I515">
        <v>111.43</v>
      </c>
      <c r="J515">
        <v>81.84</v>
      </c>
      <c r="K515">
        <v>21.95</v>
      </c>
      <c r="L515">
        <v>75751.41</v>
      </c>
      <c r="M515">
        <v>68083.78</v>
      </c>
      <c r="N515">
        <v>34.174999999999997</v>
      </c>
      <c r="O515">
        <v>6.744E-2</v>
      </c>
      <c r="P515">
        <v>5.1870000000000003</v>
      </c>
      <c r="Q515">
        <v>136.4</v>
      </c>
      <c r="R515">
        <v>98.745000000000005</v>
      </c>
      <c r="S515">
        <v>221.95</v>
      </c>
    </row>
    <row r="516" spans="1:19" x14ac:dyDescent="0.25">
      <c r="A516" s="6">
        <v>44643</v>
      </c>
      <c r="B516">
        <v>183.2</v>
      </c>
      <c r="C516">
        <v>226.55</v>
      </c>
      <c r="D516">
        <v>260.51</v>
      </c>
      <c r="E516">
        <v>294.8</v>
      </c>
      <c r="F516">
        <v>254.6</v>
      </c>
      <c r="G516">
        <v>114.93</v>
      </c>
      <c r="H516">
        <v>121.6</v>
      </c>
      <c r="I516">
        <v>112.59</v>
      </c>
      <c r="J516">
        <v>83.13</v>
      </c>
      <c r="K516">
        <v>21.75</v>
      </c>
      <c r="L516">
        <v>74838.09</v>
      </c>
      <c r="M516">
        <v>69427.759999999995</v>
      </c>
      <c r="N516">
        <v>34.119999999999997</v>
      </c>
      <c r="O516">
        <v>6.7710000000000006E-2</v>
      </c>
      <c r="P516">
        <v>5.2320000000000002</v>
      </c>
      <c r="Q516">
        <v>134.9</v>
      </c>
      <c r="R516">
        <v>117</v>
      </c>
      <c r="S516">
        <v>228.8</v>
      </c>
    </row>
    <row r="517" spans="1:19" x14ac:dyDescent="0.25">
      <c r="A517" s="6">
        <v>44644</v>
      </c>
      <c r="B517">
        <v>183.2</v>
      </c>
      <c r="C517">
        <v>226.55</v>
      </c>
      <c r="D517">
        <v>260.51</v>
      </c>
      <c r="E517">
        <v>294.8</v>
      </c>
      <c r="F517">
        <v>254.6</v>
      </c>
      <c r="G517">
        <v>112.34</v>
      </c>
      <c r="H517">
        <v>119.03</v>
      </c>
      <c r="I517">
        <v>111.82</v>
      </c>
      <c r="J517">
        <v>83.38</v>
      </c>
      <c r="K517">
        <v>22.6</v>
      </c>
      <c r="L517">
        <v>74349.94</v>
      </c>
      <c r="M517">
        <v>69882.23</v>
      </c>
      <c r="N517">
        <v>34.68</v>
      </c>
      <c r="O517">
        <v>6.88E-2</v>
      </c>
      <c r="P517">
        <v>5.4009999999999998</v>
      </c>
      <c r="Q517">
        <v>135.09</v>
      </c>
      <c r="R517">
        <v>111.61</v>
      </c>
      <c r="S517">
        <v>233.7</v>
      </c>
    </row>
    <row r="518" spans="1:19" x14ac:dyDescent="0.25">
      <c r="A518" s="6">
        <v>44645</v>
      </c>
      <c r="B518">
        <v>181.59</v>
      </c>
      <c r="C518">
        <v>221.54</v>
      </c>
      <c r="D518">
        <v>262.70999999999998</v>
      </c>
      <c r="E518">
        <v>263.13</v>
      </c>
      <c r="F518">
        <v>233.97</v>
      </c>
      <c r="G518">
        <v>113.9</v>
      </c>
      <c r="H518">
        <v>120.65</v>
      </c>
      <c r="I518">
        <v>112.1</v>
      </c>
      <c r="J518">
        <v>85.2</v>
      </c>
      <c r="K518">
        <v>22.3</v>
      </c>
      <c r="L518">
        <v>74324.67</v>
      </c>
      <c r="M518">
        <v>66316.47</v>
      </c>
      <c r="N518">
        <v>34.43</v>
      </c>
      <c r="O518">
        <v>6.8680000000000005E-2</v>
      </c>
      <c r="P518">
        <v>5.5709999999999997</v>
      </c>
      <c r="Q518">
        <v>135.26</v>
      </c>
      <c r="R518">
        <v>101.27</v>
      </c>
      <c r="S518">
        <v>228.9</v>
      </c>
    </row>
    <row r="519" spans="1:19" x14ac:dyDescent="0.25">
      <c r="A519" s="6">
        <v>44648</v>
      </c>
      <c r="B519">
        <v>181.59</v>
      </c>
      <c r="C519">
        <v>221.54</v>
      </c>
      <c r="D519">
        <v>262.70999999999998</v>
      </c>
      <c r="E519">
        <v>263.13</v>
      </c>
      <c r="F519">
        <v>233.97</v>
      </c>
      <c r="G519">
        <v>105.96</v>
      </c>
      <c r="H519">
        <v>112.48</v>
      </c>
      <c r="I519">
        <v>110.84</v>
      </c>
      <c r="J519">
        <v>82.81</v>
      </c>
      <c r="K519">
        <v>24.4</v>
      </c>
      <c r="L519">
        <v>74194.350000000006</v>
      </c>
      <c r="M519">
        <v>63721.74</v>
      </c>
      <c r="N519">
        <v>33.97</v>
      </c>
      <c r="O519">
        <v>6.7820000000000005E-2</v>
      </c>
      <c r="P519">
        <v>5.508</v>
      </c>
      <c r="Q519">
        <v>135.18</v>
      </c>
      <c r="R519">
        <v>102.545</v>
      </c>
      <c r="S519">
        <v>230.4</v>
      </c>
    </row>
    <row r="520" spans="1:19" x14ac:dyDescent="0.25">
      <c r="A520" s="6">
        <v>44649</v>
      </c>
      <c r="B520">
        <v>181.59</v>
      </c>
      <c r="C520">
        <v>221.54</v>
      </c>
      <c r="D520">
        <v>262.70999999999998</v>
      </c>
      <c r="E520">
        <v>263.13</v>
      </c>
      <c r="F520">
        <v>233.97</v>
      </c>
      <c r="G520">
        <v>104.24</v>
      </c>
      <c r="H520">
        <v>110.23</v>
      </c>
      <c r="I520">
        <v>110.55</v>
      </c>
      <c r="J520">
        <v>82.37</v>
      </c>
      <c r="K520">
        <v>25.55</v>
      </c>
      <c r="L520">
        <v>74776.39</v>
      </c>
      <c r="M520">
        <v>62619.12</v>
      </c>
      <c r="N520">
        <v>33.875</v>
      </c>
      <c r="O520">
        <v>6.8720000000000003E-2</v>
      </c>
      <c r="P520">
        <v>5.3360000000000003</v>
      </c>
      <c r="Q520">
        <v>132.65</v>
      </c>
      <c r="R520">
        <v>108.38</v>
      </c>
      <c r="S520">
        <v>225.35</v>
      </c>
    </row>
    <row r="521" spans="1:19" x14ac:dyDescent="0.25">
      <c r="A521" s="6">
        <v>44650</v>
      </c>
      <c r="B521">
        <v>181.59</v>
      </c>
      <c r="C521">
        <v>221.54</v>
      </c>
      <c r="D521">
        <v>262.70999999999998</v>
      </c>
      <c r="E521">
        <v>263.13</v>
      </c>
      <c r="F521">
        <v>233.97</v>
      </c>
      <c r="G521">
        <v>107.82</v>
      </c>
      <c r="H521">
        <v>113.45</v>
      </c>
      <c r="I521">
        <v>110.89</v>
      </c>
      <c r="J521">
        <v>83.78</v>
      </c>
      <c r="K521">
        <v>24.75</v>
      </c>
      <c r="L521">
        <v>75425.31</v>
      </c>
      <c r="M521">
        <v>65756.27</v>
      </c>
      <c r="N521">
        <v>34.15</v>
      </c>
      <c r="O521">
        <v>6.9089999999999999E-2</v>
      </c>
      <c r="P521">
        <v>5.6050000000000004</v>
      </c>
      <c r="Q521">
        <v>134.35</v>
      </c>
      <c r="R521">
        <v>118.97</v>
      </c>
      <c r="S521">
        <v>224.6</v>
      </c>
    </row>
    <row r="522" spans="1:19" x14ac:dyDescent="0.25">
      <c r="A522" s="6">
        <v>44651</v>
      </c>
      <c r="B522">
        <v>181.59</v>
      </c>
      <c r="C522">
        <v>221.54</v>
      </c>
      <c r="D522">
        <v>262.70999999999998</v>
      </c>
      <c r="E522">
        <v>263.13</v>
      </c>
      <c r="F522">
        <v>233.97</v>
      </c>
      <c r="G522">
        <v>100.28</v>
      </c>
      <c r="H522">
        <v>107.91</v>
      </c>
      <c r="I522">
        <v>110.89</v>
      </c>
      <c r="J522">
        <v>82.59</v>
      </c>
      <c r="K522">
        <v>25.1</v>
      </c>
      <c r="L522">
        <v>75497.149999999994</v>
      </c>
      <c r="M522">
        <v>65365.61</v>
      </c>
      <c r="N522">
        <v>35.435000000000002</v>
      </c>
      <c r="O522">
        <v>6.8379999999999996E-2</v>
      </c>
      <c r="P522">
        <v>5.6420000000000003</v>
      </c>
      <c r="Q522">
        <v>132.12</v>
      </c>
      <c r="R522">
        <v>125.905</v>
      </c>
      <c r="S522">
        <v>224.7</v>
      </c>
    </row>
    <row r="523" spans="1:19" x14ac:dyDescent="0.25">
      <c r="A523" s="6">
        <v>44652</v>
      </c>
      <c r="B523">
        <v>167.18</v>
      </c>
      <c r="C523">
        <v>212.22</v>
      </c>
      <c r="D523">
        <v>252.38</v>
      </c>
      <c r="E523">
        <v>259.76</v>
      </c>
      <c r="F523">
        <v>223.29</v>
      </c>
      <c r="G523">
        <v>99.27</v>
      </c>
      <c r="H523">
        <v>104.39</v>
      </c>
      <c r="I523">
        <v>101.85</v>
      </c>
      <c r="J523">
        <v>83.12</v>
      </c>
      <c r="K523">
        <v>25.9</v>
      </c>
      <c r="L523">
        <v>75907.899999999994</v>
      </c>
      <c r="M523">
        <v>65350.29</v>
      </c>
      <c r="N523">
        <v>34.69</v>
      </c>
      <c r="O523">
        <v>6.8150000000000002E-2</v>
      </c>
      <c r="P523">
        <v>5.72</v>
      </c>
      <c r="Q523">
        <v>132.69999999999999</v>
      </c>
      <c r="R523">
        <v>112.15</v>
      </c>
      <c r="S523">
        <v>230.95</v>
      </c>
    </row>
    <row r="524" spans="1:19" x14ac:dyDescent="0.25">
      <c r="A524" s="6">
        <v>44655</v>
      </c>
      <c r="B524">
        <v>167.18</v>
      </c>
      <c r="C524">
        <v>212.22</v>
      </c>
      <c r="D524">
        <v>252.38</v>
      </c>
      <c r="E524">
        <v>259.76</v>
      </c>
      <c r="F524">
        <v>223.29</v>
      </c>
      <c r="G524">
        <v>103.28</v>
      </c>
      <c r="H524">
        <v>107.53</v>
      </c>
      <c r="I524">
        <v>104.77</v>
      </c>
      <c r="J524">
        <v>83.16</v>
      </c>
      <c r="K524">
        <v>25.5</v>
      </c>
      <c r="L524">
        <v>75835.070000000007</v>
      </c>
      <c r="M524">
        <v>64362.44</v>
      </c>
      <c r="N524">
        <v>32.950000000000003</v>
      </c>
      <c r="O524">
        <v>6.8519999999999998E-2</v>
      </c>
      <c r="P524">
        <v>5.7119999999999997</v>
      </c>
      <c r="Q524">
        <v>130.62</v>
      </c>
      <c r="R524">
        <v>109.52500000000001</v>
      </c>
      <c r="S524">
        <v>238.95</v>
      </c>
    </row>
    <row r="525" spans="1:19" x14ac:dyDescent="0.25">
      <c r="A525" s="6">
        <v>44656</v>
      </c>
      <c r="B525">
        <v>167.18</v>
      </c>
      <c r="C525">
        <v>212.22</v>
      </c>
      <c r="D525">
        <v>252.38</v>
      </c>
      <c r="E525">
        <v>259.76</v>
      </c>
      <c r="F525">
        <v>223.29</v>
      </c>
      <c r="G525">
        <v>101.96</v>
      </c>
      <c r="H525">
        <v>106.64</v>
      </c>
      <c r="I525">
        <v>103.27</v>
      </c>
      <c r="J525">
        <v>82.73</v>
      </c>
      <c r="K525">
        <v>25.878648648647868</v>
      </c>
      <c r="L525">
        <v>75286.61</v>
      </c>
      <c r="M525">
        <v>63762.78</v>
      </c>
      <c r="N525">
        <v>33.454999999999998</v>
      </c>
      <c r="O525">
        <v>6.812E-2</v>
      </c>
      <c r="P525">
        <v>6.032</v>
      </c>
      <c r="Q525">
        <v>130.53</v>
      </c>
      <c r="R525">
        <v>108.565</v>
      </c>
      <c r="S525">
        <v>245.5</v>
      </c>
    </row>
    <row r="526" spans="1:19" x14ac:dyDescent="0.25">
      <c r="A526" s="6">
        <v>44657</v>
      </c>
      <c r="B526">
        <v>167.18</v>
      </c>
      <c r="C526">
        <v>212.22</v>
      </c>
      <c r="D526">
        <v>252.38</v>
      </c>
      <c r="E526">
        <v>259.76</v>
      </c>
      <c r="F526">
        <v>223.29</v>
      </c>
      <c r="G526">
        <v>96.23</v>
      </c>
      <c r="H526">
        <v>101.07</v>
      </c>
      <c r="I526">
        <v>98.81</v>
      </c>
      <c r="J526">
        <v>83.65</v>
      </c>
      <c r="K526">
        <v>25.1</v>
      </c>
      <c r="L526">
        <v>74359.03</v>
      </c>
      <c r="M526">
        <v>62217.94</v>
      </c>
      <c r="N526">
        <v>33.44</v>
      </c>
      <c r="O526">
        <v>6.8180000000000004E-2</v>
      </c>
      <c r="P526">
        <v>6.0289999999999999</v>
      </c>
      <c r="Q526">
        <v>129.13</v>
      </c>
      <c r="R526">
        <v>106.79</v>
      </c>
      <c r="S526">
        <v>246.35</v>
      </c>
    </row>
    <row r="527" spans="1:19" x14ac:dyDescent="0.25">
      <c r="A527" s="6">
        <v>44658</v>
      </c>
      <c r="B527">
        <v>167.18</v>
      </c>
      <c r="C527">
        <v>212.22</v>
      </c>
      <c r="D527">
        <v>252.38</v>
      </c>
      <c r="E527">
        <v>259.76</v>
      </c>
      <c r="F527">
        <v>223.29</v>
      </c>
      <c r="G527">
        <v>96.03</v>
      </c>
      <c r="H527">
        <v>100.58</v>
      </c>
      <c r="I527">
        <v>98.42</v>
      </c>
      <c r="J527">
        <v>85.05</v>
      </c>
      <c r="K527">
        <v>25.15</v>
      </c>
      <c r="L527">
        <v>74008.070000000007</v>
      </c>
      <c r="M527">
        <v>62266.9</v>
      </c>
      <c r="N527">
        <v>33.1</v>
      </c>
      <c r="O527">
        <v>6.7769999999999997E-2</v>
      </c>
      <c r="P527">
        <v>6.359</v>
      </c>
      <c r="Q527">
        <v>129.88</v>
      </c>
      <c r="R527">
        <v>104.565</v>
      </c>
      <c r="S527">
        <v>238.75</v>
      </c>
    </row>
    <row r="528" spans="1:19" x14ac:dyDescent="0.25">
      <c r="A528" s="6">
        <v>44659</v>
      </c>
      <c r="B528">
        <v>192.7</v>
      </c>
      <c r="C528">
        <v>234.24</v>
      </c>
      <c r="D528">
        <v>275.89999999999998</v>
      </c>
      <c r="E528">
        <v>281.74</v>
      </c>
      <c r="F528">
        <v>232.45</v>
      </c>
      <c r="G528">
        <v>98.26</v>
      </c>
      <c r="H528">
        <v>102.78</v>
      </c>
      <c r="I528">
        <v>99.72</v>
      </c>
      <c r="J528">
        <v>86.84</v>
      </c>
      <c r="K528">
        <v>25.7</v>
      </c>
      <c r="L528">
        <v>74776.11</v>
      </c>
      <c r="M528">
        <v>65301.02</v>
      </c>
      <c r="N528">
        <v>33.604999999999997</v>
      </c>
      <c r="O528">
        <v>6.8099999999999994E-2</v>
      </c>
      <c r="P528">
        <v>6.2779999999999996</v>
      </c>
      <c r="Q528">
        <v>129.88999999999999</v>
      </c>
      <c r="R528">
        <v>103.88</v>
      </c>
      <c r="S528">
        <v>241.05</v>
      </c>
    </row>
    <row r="529" spans="1:19" x14ac:dyDescent="0.25">
      <c r="A529" s="6">
        <v>44662</v>
      </c>
      <c r="B529">
        <v>192.7</v>
      </c>
      <c r="C529">
        <v>234.24</v>
      </c>
      <c r="D529">
        <v>275.89999999999998</v>
      </c>
      <c r="E529">
        <v>281.74</v>
      </c>
      <c r="F529">
        <v>232.45</v>
      </c>
      <c r="G529">
        <v>94.29</v>
      </c>
      <c r="H529">
        <v>98.48</v>
      </c>
      <c r="I529">
        <v>97.02</v>
      </c>
      <c r="J529">
        <v>83.85</v>
      </c>
      <c r="K529">
        <v>25.3</v>
      </c>
      <c r="L529">
        <v>74426.399999999994</v>
      </c>
      <c r="M529">
        <v>65320.89</v>
      </c>
      <c r="N529">
        <v>33.020000000000003</v>
      </c>
      <c r="O529">
        <v>6.8559999999999996E-2</v>
      </c>
      <c r="P529">
        <v>6.6429999999999998</v>
      </c>
      <c r="Q529">
        <v>128.1</v>
      </c>
      <c r="R529">
        <v>100.13500000000001</v>
      </c>
      <c r="S529">
        <v>235.9</v>
      </c>
    </row>
    <row r="530" spans="1:19" x14ac:dyDescent="0.25">
      <c r="A530" s="6">
        <v>44663</v>
      </c>
      <c r="B530">
        <v>192.7</v>
      </c>
      <c r="C530">
        <v>234.24</v>
      </c>
      <c r="D530">
        <v>275.89999999999998</v>
      </c>
      <c r="E530">
        <v>281.74</v>
      </c>
      <c r="F530">
        <v>232.45</v>
      </c>
      <c r="G530">
        <v>100.6</v>
      </c>
      <c r="H530">
        <v>104.64</v>
      </c>
      <c r="I530">
        <v>101.49</v>
      </c>
      <c r="J530">
        <v>85.6</v>
      </c>
      <c r="K530">
        <v>25.35</v>
      </c>
      <c r="L530">
        <v>73801.88</v>
      </c>
      <c r="M530">
        <v>64760.93</v>
      </c>
      <c r="N530">
        <v>32.965000000000003</v>
      </c>
      <c r="O530">
        <v>6.8870000000000001E-2</v>
      </c>
      <c r="P530">
        <v>6.68</v>
      </c>
      <c r="Q530">
        <v>124.83</v>
      </c>
      <c r="R530">
        <v>102.22</v>
      </c>
      <c r="S530">
        <v>234.7</v>
      </c>
    </row>
    <row r="531" spans="1:19" x14ac:dyDescent="0.25">
      <c r="A531" s="6">
        <v>44664</v>
      </c>
      <c r="B531">
        <v>192.7</v>
      </c>
      <c r="C531">
        <v>234.24</v>
      </c>
      <c r="D531">
        <v>275.89999999999998</v>
      </c>
      <c r="E531">
        <v>281.74</v>
      </c>
      <c r="F531">
        <v>232.45</v>
      </c>
      <c r="G531">
        <v>104.25</v>
      </c>
      <c r="H531">
        <v>108.78</v>
      </c>
      <c r="I531">
        <v>103.7</v>
      </c>
      <c r="J531">
        <v>86.81</v>
      </c>
      <c r="K531">
        <v>26.15</v>
      </c>
      <c r="L531">
        <v>73128.649999999994</v>
      </c>
      <c r="M531">
        <v>64360.800000000003</v>
      </c>
      <c r="N531">
        <v>32.924999999999997</v>
      </c>
      <c r="O531">
        <v>6.862E-2</v>
      </c>
      <c r="P531">
        <v>6.9969999999999999</v>
      </c>
      <c r="Q531">
        <v>125.83</v>
      </c>
      <c r="R531">
        <v>105.325</v>
      </c>
      <c r="S531">
        <v>235.45</v>
      </c>
    </row>
    <row r="532" spans="1:19" x14ac:dyDescent="0.25">
      <c r="A532" s="6">
        <v>44665</v>
      </c>
      <c r="B532">
        <v>215.98</v>
      </c>
      <c r="C532">
        <v>265.25</v>
      </c>
      <c r="D532">
        <v>309.88</v>
      </c>
      <c r="E532">
        <v>326.69</v>
      </c>
      <c r="F532">
        <v>237.11</v>
      </c>
      <c r="G532">
        <v>106.95</v>
      </c>
      <c r="H532">
        <v>111.7</v>
      </c>
      <c r="I532">
        <v>104.82</v>
      </c>
      <c r="J532">
        <v>87.83</v>
      </c>
      <c r="K532">
        <v>26.3</v>
      </c>
      <c r="L532">
        <v>73382.83</v>
      </c>
      <c r="M532">
        <v>63685.73</v>
      </c>
      <c r="N532">
        <v>32.93</v>
      </c>
      <c r="O532">
        <v>6.8190000000000001E-2</v>
      </c>
      <c r="P532">
        <v>7.3</v>
      </c>
      <c r="Q532">
        <v>124.53</v>
      </c>
      <c r="R532">
        <v>95.62</v>
      </c>
      <c r="S532">
        <v>231</v>
      </c>
    </row>
    <row r="533" spans="1:19" x14ac:dyDescent="0.25">
      <c r="A533" s="6">
        <v>44666</v>
      </c>
      <c r="B533">
        <v>215.98</v>
      </c>
      <c r="C533">
        <v>265.25</v>
      </c>
      <c r="D533">
        <v>309.88</v>
      </c>
      <c r="E533">
        <v>326.69</v>
      </c>
      <c r="F533">
        <v>237.11</v>
      </c>
      <c r="G533">
        <v>107.58</v>
      </c>
      <c r="H533">
        <v>112.43</v>
      </c>
      <c r="I533">
        <v>105.13</v>
      </c>
      <c r="J533">
        <v>88.19</v>
      </c>
      <c r="K533">
        <v>26.142060085837329</v>
      </c>
      <c r="L533">
        <v>73251.956738197245</v>
      </c>
      <c r="M533">
        <v>64695.991888412274</v>
      </c>
      <c r="N533">
        <v>32.820536480686769</v>
      </c>
      <c r="O533">
        <v>6.8390000000000006E-2</v>
      </c>
      <c r="P533">
        <v>7.5600000000000005</v>
      </c>
      <c r="Q533">
        <v>123.575</v>
      </c>
      <c r="R533">
        <v>95.62</v>
      </c>
      <c r="S533">
        <v>231</v>
      </c>
    </row>
    <row r="534" spans="1:19" x14ac:dyDescent="0.25">
      <c r="A534" s="6">
        <v>44669</v>
      </c>
      <c r="B534">
        <v>215.98</v>
      </c>
      <c r="C534">
        <v>265.25</v>
      </c>
      <c r="D534">
        <v>309.88</v>
      </c>
      <c r="E534">
        <v>326.69</v>
      </c>
      <c r="F534">
        <v>237.11</v>
      </c>
      <c r="G534">
        <v>108.21</v>
      </c>
      <c r="H534">
        <v>113.16</v>
      </c>
      <c r="I534">
        <v>105.44</v>
      </c>
      <c r="J534">
        <v>88.55</v>
      </c>
      <c r="K534">
        <v>26.439015195453976</v>
      </c>
      <c r="L534">
        <v>72342.554464679211</v>
      </c>
      <c r="M534">
        <v>63667.396462126635</v>
      </c>
      <c r="N534">
        <v>25.37</v>
      </c>
      <c r="O534">
        <v>6.8229999999999999E-2</v>
      </c>
      <c r="P534">
        <v>7.82</v>
      </c>
      <c r="Q534">
        <v>122.62</v>
      </c>
      <c r="R534">
        <v>95.62</v>
      </c>
      <c r="S534">
        <v>231</v>
      </c>
    </row>
    <row r="535" spans="1:19" x14ac:dyDescent="0.25">
      <c r="A535" s="6">
        <v>44670</v>
      </c>
      <c r="B535">
        <v>215.98</v>
      </c>
      <c r="C535">
        <v>265.25</v>
      </c>
      <c r="D535">
        <v>309.88</v>
      </c>
      <c r="E535">
        <v>326.69</v>
      </c>
      <c r="F535">
        <v>237.11</v>
      </c>
      <c r="G535">
        <v>102.56</v>
      </c>
      <c r="H535">
        <v>107.25</v>
      </c>
      <c r="I535">
        <v>103.09</v>
      </c>
      <c r="J535">
        <v>87.76</v>
      </c>
      <c r="K535">
        <v>25.95</v>
      </c>
      <c r="L535">
        <v>73830.27</v>
      </c>
      <c r="M535">
        <v>63610.6</v>
      </c>
      <c r="N535">
        <v>25.12</v>
      </c>
      <c r="O535">
        <v>6.6830000000000001E-2</v>
      </c>
      <c r="P535">
        <v>7.1760000000000002</v>
      </c>
      <c r="Q535">
        <v>122.93</v>
      </c>
      <c r="R535">
        <v>93.77</v>
      </c>
      <c r="S535">
        <v>228.25</v>
      </c>
    </row>
    <row r="536" spans="1:19" x14ac:dyDescent="0.25">
      <c r="A536" s="6">
        <v>44671</v>
      </c>
      <c r="B536">
        <v>215.98</v>
      </c>
      <c r="C536">
        <v>265.25</v>
      </c>
      <c r="D536">
        <v>309.88</v>
      </c>
      <c r="E536">
        <v>326.69</v>
      </c>
      <c r="F536">
        <v>237.11</v>
      </c>
      <c r="G536">
        <v>102.75</v>
      </c>
      <c r="H536">
        <v>106.8</v>
      </c>
      <c r="I536">
        <v>103.12</v>
      </c>
      <c r="J536">
        <v>87.96</v>
      </c>
      <c r="K536">
        <v>24.95</v>
      </c>
      <c r="L536">
        <v>73783.429999999993</v>
      </c>
      <c r="M536">
        <v>63512.45</v>
      </c>
      <c r="N536">
        <v>25.2</v>
      </c>
      <c r="O536">
        <v>6.6439999999999999E-2</v>
      </c>
      <c r="P536">
        <v>6.9370000000000003</v>
      </c>
      <c r="Q536">
        <v>123.85</v>
      </c>
      <c r="R536">
        <v>94.23</v>
      </c>
      <c r="S536">
        <v>232.05</v>
      </c>
    </row>
    <row r="537" spans="1:19" x14ac:dyDescent="0.25">
      <c r="A537" s="6">
        <v>44672</v>
      </c>
      <c r="B537">
        <v>215.98</v>
      </c>
      <c r="C537">
        <v>265.25</v>
      </c>
      <c r="D537">
        <v>309.88</v>
      </c>
      <c r="E537">
        <v>326.69</v>
      </c>
      <c r="F537">
        <v>237.11</v>
      </c>
      <c r="G537">
        <v>103.79</v>
      </c>
      <c r="H537">
        <v>108.33</v>
      </c>
      <c r="I537">
        <v>103.85</v>
      </c>
      <c r="J537">
        <v>87.03</v>
      </c>
      <c r="K537">
        <v>24.65</v>
      </c>
      <c r="L537">
        <v>73350.94</v>
      </c>
      <c r="M537">
        <v>62682.36</v>
      </c>
      <c r="N537">
        <v>25.29</v>
      </c>
      <c r="O537">
        <v>6.4909999999999995E-2</v>
      </c>
      <c r="P537">
        <v>6.9569999999999999</v>
      </c>
      <c r="Q537">
        <v>120.71</v>
      </c>
      <c r="R537">
        <v>100.06</v>
      </c>
      <c r="S537">
        <v>234.2</v>
      </c>
    </row>
    <row r="538" spans="1:19" x14ac:dyDescent="0.25">
      <c r="A538" s="6">
        <v>44673</v>
      </c>
      <c r="B538">
        <v>219.92</v>
      </c>
      <c r="C538">
        <v>270.95999999999998</v>
      </c>
      <c r="D538">
        <v>312.47000000000003</v>
      </c>
      <c r="E538">
        <v>326.31</v>
      </c>
      <c r="F538">
        <v>257.5</v>
      </c>
      <c r="G538">
        <v>102.07</v>
      </c>
      <c r="H538">
        <v>106.65</v>
      </c>
      <c r="I538">
        <v>103.43</v>
      </c>
      <c r="J538">
        <v>85.13</v>
      </c>
      <c r="K538">
        <v>24.8</v>
      </c>
      <c r="L538">
        <v>72264.899999999994</v>
      </c>
      <c r="M538">
        <v>59977.120000000003</v>
      </c>
      <c r="N538">
        <v>25.495000000000001</v>
      </c>
      <c r="O538">
        <v>6.3899999999999998E-2</v>
      </c>
      <c r="P538">
        <v>6.5339999999999998</v>
      </c>
      <c r="Q538">
        <v>117.25</v>
      </c>
      <c r="R538">
        <v>94.875</v>
      </c>
      <c r="S538">
        <v>230.2</v>
      </c>
    </row>
    <row r="539" spans="1:19" x14ac:dyDescent="0.25">
      <c r="A539" s="6">
        <v>44676</v>
      </c>
      <c r="B539">
        <v>219.92</v>
      </c>
      <c r="C539">
        <v>270.95999999999998</v>
      </c>
      <c r="D539">
        <v>312.47000000000003</v>
      </c>
      <c r="E539">
        <v>326.31</v>
      </c>
      <c r="F539">
        <v>257.5</v>
      </c>
      <c r="G539">
        <v>98.54</v>
      </c>
      <c r="H539">
        <v>102.32</v>
      </c>
      <c r="I539">
        <v>102.3</v>
      </c>
      <c r="J539">
        <v>82.26</v>
      </c>
      <c r="K539">
        <v>23.85</v>
      </c>
      <c r="L539">
        <v>69750.67</v>
      </c>
      <c r="M539">
        <v>57012.1</v>
      </c>
      <c r="N539">
        <v>25.395</v>
      </c>
      <c r="O539">
        <v>6.3750000000000001E-2</v>
      </c>
      <c r="P539">
        <v>6.6689999999999996</v>
      </c>
      <c r="Q539">
        <v>116.85</v>
      </c>
      <c r="R539">
        <v>92.834999999999994</v>
      </c>
      <c r="S539">
        <v>218.5</v>
      </c>
    </row>
    <row r="540" spans="1:19" x14ac:dyDescent="0.25">
      <c r="A540" s="6">
        <v>44677</v>
      </c>
      <c r="B540">
        <v>219.92</v>
      </c>
      <c r="C540">
        <v>270.95999999999998</v>
      </c>
      <c r="D540">
        <v>312.47000000000003</v>
      </c>
      <c r="E540">
        <v>326.31</v>
      </c>
      <c r="F540">
        <v>257.5</v>
      </c>
      <c r="G540">
        <v>101.7</v>
      </c>
      <c r="H540">
        <v>104.99</v>
      </c>
      <c r="I540">
        <v>102.69</v>
      </c>
      <c r="J540">
        <v>82.29</v>
      </c>
      <c r="K540">
        <v>23.5</v>
      </c>
      <c r="L540">
        <v>70264.11</v>
      </c>
      <c r="M540">
        <v>57624.95</v>
      </c>
      <c r="N540">
        <v>24.995000000000001</v>
      </c>
      <c r="O540">
        <v>6.3100000000000003E-2</v>
      </c>
      <c r="P540">
        <v>6.85</v>
      </c>
      <c r="Q540">
        <v>114.33</v>
      </c>
      <c r="R540">
        <v>103.21</v>
      </c>
      <c r="S540">
        <v>226.1</v>
      </c>
    </row>
    <row r="541" spans="1:19" x14ac:dyDescent="0.25">
      <c r="A541" s="6">
        <v>44678</v>
      </c>
      <c r="B541">
        <v>219.92</v>
      </c>
      <c r="C541">
        <v>270.95999999999998</v>
      </c>
      <c r="D541">
        <v>312.47000000000003</v>
      </c>
      <c r="E541">
        <v>326.31</v>
      </c>
      <c r="F541">
        <v>257.5</v>
      </c>
      <c r="G541">
        <v>102.02</v>
      </c>
      <c r="H541">
        <v>105.32</v>
      </c>
      <c r="I541">
        <v>102.69</v>
      </c>
      <c r="J541">
        <v>84.64</v>
      </c>
      <c r="K541">
        <v>24</v>
      </c>
      <c r="L541">
        <v>69181.983862660825</v>
      </c>
      <c r="M541">
        <v>55790.471587978303</v>
      </c>
      <c r="N541">
        <v>25.145</v>
      </c>
      <c r="O541">
        <v>6.2859999999999999E-2</v>
      </c>
      <c r="P541">
        <v>7.3390000000000004</v>
      </c>
      <c r="Q541">
        <v>116.7</v>
      </c>
      <c r="R541">
        <v>107.425</v>
      </c>
      <c r="S541">
        <v>218.8</v>
      </c>
    </row>
    <row r="542" spans="1:19" x14ac:dyDescent="0.25">
      <c r="A542" s="6">
        <v>44679</v>
      </c>
      <c r="B542">
        <v>219.92</v>
      </c>
      <c r="C542">
        <v>270.95999999999998</v>
      </c>
      <c r="D542">
        <v>312.47000000000003</v>
      </c>
      <c r="E542">
        <v>326.31</v>
      </c>
      <c r="F542">
        <v>257.5</v>
      </c>
      <c r="G542">
        <v>105.36</v>
      </c>
      <c r="H542">
        <v>107.59</v>
      </c>
      <c r="I542">
        <v>102.76</v>
      </c>
      <c r="J542">
        <v>87.2</v>
      </c>
      <c r="K542">
        <v>26.1</v>
      </c>
      <c r="L542">
        <v>71534.570000000007</v>
      </c>
      <c r="M542">
        <v>58818.58</v>
      </c>
      <c r="N542">
        <v>24.82</v>
      </c>
      <c r="O542">
        <v>6.2359999999999999E-2</v>
      </c>
      <c r="P542">
        <v>6.8879999999999999</v>
      </c>
      <c r="Q542">
        <v>119.25</v>
      </c>
      <c r="R542">
        <v>100.142</v>
      </c>
      <c r="S542">
        <v>214.55</v>
      </c>
    </row>
    <row r="543" spans="1:19" x14ac:dyDescent="0.25">
      <c r="A543" s="6">
        <v>44680</v>
      </c>
      <c r="B543">
        <v>190.92</v>
      </c>
      <c r="C543">
        <v>237.52</v>
      </c>
      <c r="D543">
        <v>276.97000000000003</v>
      </c>
      <c r="E543">
        <v>280.04000000000002</v>
      </c>
      <c r="F543">
        <v>231.68</v>
      </c>
      <c r="G543">
        <v>104.69</v>
      </c>
      <c r="H543">
        <v>109.34</v>
      </c>
      <c r="I543">
        <v>102.79</v>
      </c>
      <c r="J543">
        <v>85.25</v>
      </c>
      <c r="K543">
        <v>25.3</v>
      </c>
      <c r="L543">
        <v>72438.25</v>
      </c>
      <c r="M543">
        <v>60262.83</v>
      </c>
      <c r="N543">
        <v>24.53</v>
      </c>
      <c r="O543">
        <v>6.3200000000000006E-2</v>
      </c>
      <c r="P543">
        <v>7.2439999999999998</v>
      </c>
      <c r="Q543">
        <v>115.81</v>
      </c>
      <c r="R543">
        <v>99.45</v>
      </c>
      <c r="S543">
        <v>214.55</v>
      </c>
    </row>
    <row r="544" spans="1:19" x14ac:dyDescent="0.25">
      <c r="A544" s="6">
        <v>44683</v>
      </c>
      <c r="B544">
        <v>190.92</v>
      </c>
      <c r="C544">
        <v>237.52</v>
      </c>
      <c r="D544">
        <v>276.97000000000003</v>
      </c>
      <c r="E544">
        <v>280.04000000000002</v>
      </c>
      <c r="F544">
        <v>231.68</v>
      </c>
      <c r="G544">
        <v>105.17</v>
      </c>
      <c r="H544">
        <v>107.58</v>
      </c>
      <c r="I544">
        <v>103.86</v>
      </c>
      <c r="J544">
        <v>86.41</v>
      </c>
      <c r="K544">
        <v>25.43513513513517</v>
      </c>
      <c r="L544">
        <v>70877.341793295433</v>
      </c>
      <c r="M544">
        <v>58067.541866371408</v>
      </c>
      <c r="N544">
        <v>23.5</v>
      </c>
      <c r="O544">
        <v>6.1850000000000002E-2</v>
      </c>
      <c r="P544">
        <v>7.4749999999999996</v>
      </c>
      <c r="Q544">
        <v>113.48</v>
      </c>
      <c r="R544">
        <v>97.05</v>
      </c>
      <c r="S544">
        <v>210.4</v>
      </c>
    </row>
    <row r="545" spans="1:19" x14ac:dyDescent="0.25">
      <c r="A545" s="6">
        <v>44684</v>
      </c>
      <c r="B545">
        <v>190.92</v>
      </c>
      <c r="C545">
        <v>237.52</v>
      </c>
      <c r="D545">
        <v>276.97000000000003</v>
      </c>
      <c r="E545">
        <v>280.04000000000002</v>
      </c>
      <c r="F545">
        <v>231.68</v>
      </c>
      <c r="G545">
        <v>102.41</v>
      </c>
      <c r="H545">
        <v>104.97</v>
      </c>
      <c r="I545">
        <v>103.39</v>
      </c>
      <c r="J545">
        <v>88.19</v>
      </c>
      <c r="K545">
        <v>25.55</v>
      </c>
      <c r="L545">
        <v>71338.990000000005</v>
      </c>
      <c r="M545">
        <v>60243.43</v>
      </c>
      <c r="N545">
        <v>23.5</v>
      </c>
      <c r="O545">
        <v>6.3369999999999996E-2</v>
      </c>
      <c r="P545">
        <v>7.9539999999999997</v>
      </c>
      <c r="Q545">
        <v>114.48</v>
      </c>
      <c r="R545">
        <v>99.424999999999997</v>
      </c>
      <c r="S545">
        <v>203.1</v>
      </c>
    </row>
    <row r="546" spans="1:19" x14ac:dyDescent="0.25">
      <c r="A546" s="6">
        <v>44685</v>
      </c>
      <c r="B546">
        <v>190.92</v>
      </c>
      <c r="C546">
        <v>237.52</v>
      </c>
      <c r="D546">
        <v>276.97000000000003</v>
      </c>
      <c r="E546">
        <v>280.04000000000002</v>
      </c>
      <c r="F546">
        <v>231.68</v>
      </c>
      <c r="G546">
        <v>107.81</v>
      </c>
      <c r="H546">
        <v>110.14</v>
      </c>
      <c r="I546">
        <v>105.97</v>
      </c>
      <c r="J546">
        <v>91.7</v>
      </c>
      <c r="K546">
        <v>25.05</v>
      </c>
      <c r="L546">
        <v>70357.58</v>
      </c>
      <c r="M546">
        <v>58742.46</v>
      </c>
      <c r="N546">
        <v>24.04</v>
      </c>
      <c r="O546">
        <v>6.4689999999999998E-2</v>
      </c>
      <c r="P546">
        <v>8.4149999999999991</v>
      </c>
      <c r="Q546">
        <v>109.86</v>
      </c>
      <c r="R546">
        <v>103.82</v>
      </c>
      <c r="S546">
        <v>203.1</v>
      </c>
    </row>
    <row r="547" spans="1:19" x14ac:dyDescent="0.25">
      <c r="A547" s="6">
        <v>44686</v>
      </c>
      <c r="B547">
        <v>190.92</v>
      </c>
      <c r="C547">
        <v>237.52</v>
      </c>
      <c r="D547">
        <v>276.97000000000003</v>
      </c>
      <c r="E547">
        <v>280.04000000000002</v>
      </c>
      <c r="F547">
        <v>231.68</v>
      </c>
      <c r="G547">
        <v>108.26</v>
      </c>
      <c r="H547">
        <v>110.9</v>
      </c>
      <c r="I547">
        <v>106.4</v>
      </c>
      <c r="J547">
        <v>90.31</v>
      </c>
      <c r="K547">
        <v>24.95</v>
      </c>
      <c r="L547">
        <v>69682.649999999994</v>
      </c>
      <c r="M547">
        <v>56987.54</v>
      </c>
      <c r="N547">
        <v>24.145</v>
      </c>
      <c r="O547">
        <v>6.25E-2</v>
      </c>
      <c r="P547">
        <v>8.7829999999999995</v>
      </c>
      <c r="Q547">
        <v>101.63</v>
      </c>
      <c r="R547">
        <v>106.51</v>
      </c>
      <c r="S547">
        <v>199.95</v>
      </c>
    </row>
    <row r="548" spans="1:19" x14ac:dyDescent="0.25">
      <c r="A548" s="6">
        <v>44687</v>
      </c>
      <c r="B548">
        <v>203.31</v>
      </c>
      <c r="C548">
        <v>253.63</v>
      </c>
      <c r="D548">
        <v>290.76</v>
      </c>
      <c r="E548">
        <v>301.97000000000003</v>
      </c>
      <c r="F548">
        <v>259.81</v>
      </c>
      <c r="G548">
        <v>109.77</v>
      </c>
      <c r="H548">
        <v>112.39</v>
      </c>
      <c r="I548">
        <v>107.57</v>
      </c>
      <c r="J548">
        <v>91.69</v>
      </c>
      <c r="K548">
        <v>24.45</v>
      </c>
      <c r="L548">
        <v>67978.14</v>
      </c>
      <c r="M548">
        <v>54820.78</v>
      </c>
      <c r="N548">
        <v>24.03</v>
      </c>
      <c r="O548">
        <v>6.241E-2</v>
      </c>
      <c r="P548">
        <v>8.0429999999999993</v>
      </c>
      <c r="Q548">
        <v>99.81</v>
      </c>
      <c r="R548">
        <v>101.71</v>
      </c>
      <c r="S548">
        <v>200.65</v>
      </c>
    </row>
    <row r="549" spans="1:19" x14ac:dyDescent="0.25">
      <c r="A549" s="6">
        <v>44690</v>
      </c>
      <c r="B549">
        <v>203.31</v>
      </c>
      <c r="C549">
        <v>253.63</v>
      </c>
      <c r="D549">
        <v>290.76</v>
      </c>
      <c r="E549">
        <v>301.97000000000003</v>
      </c>
      <c r="F549">
        <v>259.81</v>
      </c>
      <c r="G549">
        <v>103.09</v>
      </c>
      <c r="H549">
        <v>105.94</v>
      </c>
      <c r="I549">
        <v>102.79</v>
      </c>
      <c r="J549">
        <v>84.46</v>
      </c>
      <c r="K549">
        <v>24.468371073775415</v>
      </c>
      <c r="L549">
        <v>66769.119999999995</v>
      </c>
      <c r="M549">
        <v>53443.64</v>
      </c>
      <c r="N549">
        <v>23.155000000000001</v>
      </c>
      <c r="O549">
        <v>6.1839999999999999E-2</v>
      </c>
      <c r="P549">
        <v>7.0259999999999998</v>
      </c>
      <c r="Q549">
        <v>96.99</v>
      </c>
      <c r="R549">
        <v>93.784999999999997</v>
      </c>
      <c r="S549">
        <v>204.4</v>
      </c>
    </row>
    <row r="550" spans="1:19" x14ac:dyDescent="0.25">
      <c r="A550" s="6">
        <v>44691</v>
      </c>
      <c r="B550">
        <v>203.31</v>
      </c>
      <c r="C550">
        <v>253.63</v>
      </c>
      <c r="D550">
        <v>290.76</v>
      </c>
      <c r="E550">
        <v>301.97000000000003</v>
      </c>
      <c r="F550">
        <v>259.81</v>
      </c>
      <c r="G550">
        <v>99.76</v>
      </c>
      <c r="H550">
        <v>102.46</v>
      </c>
      <c r="I550">
        <v>100.43</v>
      </c>
      <c r="J550">
        <v>85.02</v>
      </c>
      <c r="K550">
        <v>23.6</v>
      </c>
      <c r="L550">
        <v>66966.73</v>
      </c>
      <c r="M550">
        <v>52346.49</v>
      </c>
      <c r="N550">
        <v>22.98</v>
      </c>
      <c r="O550">
        <v>6.191E-2</v>
      </c>
      <c r="P550">
        <v>7.3849999999999998</v>
      </c>
      <c r="Q550">
        <v>96.47</v>
      </c>
      <c r="R550">
        <v>98.8</v>
      </c>
      <c r="S550">
        <v>197.15</v>
      </c>
    </row>
    <row r="551" spans="1:19" x14ac:dyDescent="0.25">
      <c r="A551" s="6">
        <v>44692</v>
      </c>
      <c r="B551">
        <v>203.31</v>
      </c>
      <c r="C551">
        <v>253.63</v>
      </c>
      <c r="D551">
        <v>290.76</v>
      </c>
      <c r="E551">
        <v>301.97000000000003</v>
      </c>
      <c r="F551">
        <v>259.81</v>
      </c>
      <c r="G551">
        <v>105.71</v>
      </c>
      <c r="H551">
        <v>107.51</v>
      </c>
      <c r="I551">
        <v>104.56</v>
      </c>
      <c r="J551">
        <v>86.79</v>
      </c>
      <c r="K551">
        <v>23.9</v>
      </c>
      <c r="L551">
        <v>68416.41</v>
      </c>
      <c r="M551">
        <v>53208.07</v>
      </c>
      <c r="N551">
        <v>23.375</v>
      </c>
      <c r="O551">
        <v>6.2129999999999998E-2</v>
      </c>
      <c r="P551">
        <v>7.64</v>
      </c>
      <c r="Q551">
        <v>94.55</v>
      </c>
      <c r="R551">
        <v>94.01</v>
      </c>
      <c r="S551">
        <v>191.65</v>
      </c>
    </row>
    <row r="552" spans="1:19" x14ac:dyDescent="0.25">
      <c r="A552" s="6">
        <v>44693</v>
      </c>
      <c r="B552">
        <v>203.31</v>
      </c>
      <c r="C552">
        <v>253.63</v>
      </c>
      <c r="D552">
        <v>290.76</v>
      </c>
      <c r="E552">
        <v>301.97000000000003</v>
      </c>
      <c r="F552">
        <v>259.81</v>
      </c>
      <c r="G552">
        <v>106.13</v>
      </c>
      <c r="H552">
        <v>107.45</v>
      </c>
      <c r="I552">
        <v>104.66</v>
      </c>
      <c r="J552">
        <v>86.3</v>
      </c>
      <c r="K552">
        <v>23.45</v>
      </c>
      <c r="L552">
        <v>67251.89</v>
      </c>
      <c r="M552">
        <v>50129.22</v>
      </c>
      <c r="N552">
        <v>23.53</v>
      </c>
      <c r="O552">
        <v>6.2050000000000001E-2</v>
      </c>
      <c r="P552">
        <v>7.7389999999999999</v>
      </c>
      <c r="Q552">
        <v>95.5</v>
      </c>
      <c r="R552">
        <v>106.7</v>
      </c>
      <c r="S552">
        <v>183.45</v>
      </c>
    </row>
    <row r="553" spans="1:19" x14ac:dyDescent="0.25">
      <c r="A553" s="6">
        <v>44694</v>
      </c>
      <c r="B553">
        <v>208.26</v>
      </c>
      <c r="C553">
        <v>260.79000000000002</v>
      </c>
      <c r="D553">
        <v>295.60000000000002</v>
      </c>
      <c r="E553">
        <v>324.60000000000002</v>
      </c>
      <c r="F553">
        <v>262.18</v>
      </c>
      <c r="G553">
        <v>110.49</v>
      </c>
      <c r="H553">
        <v>111.55</v>
      </c>
      <c r="I553">
        <v>107.23</v>
      </c>
      <c r="J553">
        <v>88.86</v>
      </c>
      <c r="K553">
        <v>24.5</v>
      </c>
      <c r="L553">
        <v>68650.66</v>
      </c>
      <c r="M553">
        <v>53656.29</v>
      </c>
      <c r="N553">
        <v>23.433</v>
      </c>
      <c r="O553">
        <v>6.182E-2</v>
      </c>
      <c r="P553">
        <v>7.6630000000000003</v>
      </c>
      <c r="Q553">
        <v>98.27</v>
      </c>
      <c r="R553">
        <v>96.88</v>
      </c>
      <c r="S553">
        <v>186.9</v>
      </c>
    </row>
    <row r="554" spans="1:19" x14ac:dyDescent="0.25">
      <c r="A554" s="6">
        <v>44697</v>
      </c>
      <c r="B554">
        <v>208.26</v>
      </c>
      <c r="C554">
        <v>260.79000000000002</v>
      </c>
      <c r="D554">
        <v>295.60000000000002</v>
      </c>
      <c r="E554">
        <v>324.60000000000002</v>
      </c>
      <c r="F554">
        <v>262.18</v>
      </c>
      <c r="G554">
        <v>114.2</v>
      </c>
      <c r="H554">
        <v>114.24</v>
      </c>
      <c r="I554">
        <v>108.4</v>
      </c>
      <c r="J554">
        <v>90.95</v>
      </c>
      <c r="K554">
        <v>24.75</v>
      </c>
      <c r="L554">
        <v>69211.759999999995</v>
      </c>
      <c r="M554">
        <v>53928.31</v>
      </c>
      <c r="N554">
        <v>20.024999999999999</v>
      </c>
      <c r="O554">
        <v>6.1839999999999999E-2</v>
      </c>
      <c r="P554">
        <v>7.9560000000000004</v>
      </c>
      <c r="Q554">
        <v>97.31</v>
      </c>
      <c r="R554">
        <v>92.86</v>
      </c>
      <c r="S554">
        <v>187.6</v>
      </c>
    </row>
    <row r="555" spans="1:19" x14ac:dyDescent="0.25">
      <c r="A555" s="6">
        <v>44698</v>
      </c>
      <c r="B555">
        <v>208.26</v>
      </c>
      <c r="C555">
        <v>260.79000000000002</v>
      </c>
      <c r="D555">
        <v>295.60000000000002</v>
      </c>
      <c r="E555">
        <v>324.60000000000002</v>
      </c>
      <c r="F555">
        <v>262.18</v>
      </c>
      <c r="G555">
        <v>112.4</v>
      </c>
      <c r="H555">
        <v>111.93</v>
      </c>
      <c r="I555">
        <v>106.88</v>
      </c>
      <c r="J555">
        <v>92.11</v>
      </c>
      <c r="K555">
        <v>25</v>
      </c>
      <c r="L555">
        <v>69696.39</v>
      </c>
      <c r="M555">
        <v>53379.839999999997</v>
      </c>
      <c r="N555">
        <v>20.074999999999999</v>
      </c>
      <c r="O555">
        <v>6.2829999999999997E-2</v>
      </c>
      <c r="P555">
        <v>8.3040000000000003</v>
      </c>
      <c r="Q555">
        <v>99.12</v>
      </c>
      <c r="R555">
        <v>94.174999999999997</v>
      </c>
      <c r="S555">
        <v>195.3</v>
      </c>
    </row>
    <row r="556" spans="1:19" x14ac:dyDescent="0.25">
      <c r="A556" s="6">
        <v>44699</v>
      </c>
      <c r="B556">
        <v>208.26</v>
      </c>
      <c r="C556">
        <v>260.79000000000002</v>
      </c>
      <c r="D556">
        <v>295.60000000000002</v>
      </c>
      <c r="E556">
        <v>324.60000000000002</v>
      </c>
      <c r="F556">
        <v>262.18</v>
      </c>
      <c r="G556">
        <v>109.59</v>
      </c>
      <c r="H556">
        <v>109.11</v>
      </c>
      <c r="I556">
        <v>105.53</v>
      </c>
      <c r="J556">
        <v>90.65</v>
      </c>
      <c r="K556">
        <v>25.1</v>
      </c>
      <c r="L556">
        <v>69083.44</v>
      </c>
      <c r="M556">
        <v>52524.99</v>
      </c>
      <c r="N556">
        <v>21.164999999999999</v>
      </c>
      <c r="O556">
        <v>6.2370000000000002E-2</v>
      </c>
      <c r="P556">
        <v>8.3680000000000003</v>
      </c>
      <c r="Q556">
        <v>95.11</v>
      </c>
      <c r="R556">
        <v>94.54</v>
      </c>
      <c r="S556">
        <v>195</v>
      </c>
    </row>
    <row r="557" spans="1:19" x14ac:dyDescent="0.25">
      <c r="A557" s="6">
        <v>44700</v>
      </c>
      <c r="B557">
        <v>208.26</v>
      </c>
      <c r="C557">
        <v>260.79000000000002</v>
      </c>
      <c r="D557">
        <v>295.60000000000002</v>
      </c>
      <c r="E557">
        <v>324.60000000000002</v>
      </c>
      <c r="F557">
        <v>262.18</v>
      </c>
      <c r="G557">
        <v>112.21</v>
      </c>
      <c r="H557">
        <v>112.04</v>
      </c>
      <c r="I557">
        <v>106.99</v>
      </c>
      <c r="J557">
        <v>91.14</v>
      </c>
      <c r="K557">
        <v>24.85</v>
      </c>
      <c r="L557">
        <v>68245.84</v>
      </c>
      <c r="M557">
        <v>52329.79</v>
      </c>
      <c r="N557">
        <v>21.79</v>
      </c>
      <c r="O557">
        <v>6.3079999999999997E-2</v>
      </c>
      <c r="P557">
        <v>8.3079999999999998</v>
      </c>
      <c r="Q557">
        <v>95.9</v>
      </c>
      <c r="R557">
        <v>91.025000000000006</v>
      </c>
      <c r="S557">
        <v>194.3</v>
      </c>
    </row>
    <row r="558" spans="1:19" x14ac:dyDescent="0.25">
      <c r="A558" s="6">
        <v>44701</v>
      </c>
      <c r="B558">
        <v>222.35</v>
      </c>
      <c r="C558">
        <v>274.11</v>
      </c>
      <c r="D558">
        <v>314.74</v>
      </c>
      <c r="E558">
        <v>347.18</v>
      </c>
      <c r="F558">
        <v>252.02</v>
      </c>
      <c r="G558">
        <v>113.23</v>
      </c>
      <c r="H558">
        <v>112.55</v>
      </c>
      <c r="I558">
        <v>107.21</v>
      </c>
      <c r="J558">
        <v>91.86</v>
      </c>
      <c r="K558">
        <v>25.7</v>
      </c>
      <c r="L558">
        <v>67575.28</v>
      </c>
      <c r="M558">
        <v>52213.2</v>
      </c>
      <c r="N558">
        <v>21.824999999999999</v>
      </c>
      <c r="O558">
        <v>6.3079999999999997E-2</v>
      </c>
      <c r="P558">
        <v>8.0830000000000002</v>
      </c>
      <c r="Q558">
        <v>97.62</v>
      </c>
      <c r="R558">
        <v>87.9</v>
      </c>
      <c r="S558">
        <v>194.1</v>
      </c>
    </row>
    <row r="559" spans="1:19" x14ac:dyDescent="0.25">
      <c r="A559" s="6">
        <v>44704</v>
      </c>
      <c r="B559">
        <v>222.35</v>
      </c>
      <c r="C559">
        <v>274.11</v>
      </c>
      <c r="D559">
        <v>314.74</v>
      </c>
      <c r="E559">
        <v>347.18</v>
      </c>
      <c r="F559">
        <v>252.02</v>
      </c>
      <c r="G559">
        <v>110.29</v>
      </c>
      <c r="H559">
        <v>113.42</v>
      </c>
      <c r="I559">
        <v>107.32</v>
      </c>
      <c r="J559">
        <v>93.89</v>
      </c>
      <c r="K559">
        <v>25.55</v>
      </c>
      <c r="L559">
        <v>68367.37</v>
      </c>
      <c r="M559">
        <v>54138.27</v>
      </c>
      <c r="N559">
        <v>22.6</v>
      </c>
      <c r="O559">
        <v>6.343E-2</v>
      </c>
      <c r="P559">
        <v>8.7439999999999998</v>
      </c>
      <c r="Q559">
        <v>98.11</v>
      </c>
      <c r="R559">
        <v>83.29</v>
      </c>
      <c r="S559">
        <v>193.8</v>
      </c>
    </row>
    <row r="560" spans="1:19" x14ac:dyDescent="0.25">
      <c r="A560" s="6">
        <v>44705</v>
      </c>
      <c r="B560">
        <v>222.35</v>
      </c>
      <c r="C560">
        <v>274.11</v>
      </c>
      <c r="D560">
        <v>314.74</v>
      </c>
      <c r="E560">
        <v>347.18</v>
      </c>
      <c r="F560">
        <v>252.02</v>
      </c>
      <c r="G560">
        <v>109.77</v>
      </c>
      <c r="H560">
        <v>113.56</v>
      </c>
      <c r="I560">
        <v>107.17</v>
      </c>
      <c r="J560">
        <v>94.4</v>
      </c>
      <c r="K560">
        <v>25.6</v>
      </c>
      <c r="L560">
        <v>67690.720000000001</v>
      </c>
      <c r="M560">
        <v>53888.34</v>
      </c>
      <c r="N560">
        <v>22.07</v>
      </c>
      <c r="O560">
        <v>6.3869999999999996E-2</v>
      </c>
      <c r="P560">
        <v>8.7959999999999994</v>
      </c>
      <c r="Q560">
        <v>98.36</v>
      </c>
      <c r="R560">
        <v>84.504999999999995</v>
      </c>
      <c r="S560">
        <v>191.9</v>
      </c>
    </row>
    <row r="561" spans="1:19" x14ac:dyDescent="0.25">
      <c r="A561" s="6">
        <v>44706</v>
      </c>
      <c r="B561">
        <v>222.35</v>
      </c>
      <c r="C561">
        <v>274.11</v>
      </c>
      <c r="D561">
        <v>314.74</v>
      </c>
      <c r="E561">
        <v>347.18</v>
      </c>
      <c r="F561">
        <v>252.02</v>
      </c>
      <c r="G561">
        <v>110.33</v>
      </c>
      <c r="H561">
        <v>114.03</v>
      </c>
      <c r="I561">
        <v>107.17</v>
      </c>
      <c r="J561">
        <v>96.3</v>
      </c>
      <c r="K561">
        <v>25.95</v>
      </c>
      <c r="L561">
        <v>67585.25</v>
      </c>
      <c r="M561">
        <v>52959.16</v>
      </c>
      <c r="N561">
        <v>22.22</v>
      </c>
      <c r="O561">
        <v>6.3509999999999997E-2</v>
      </c>
      <c r="P561">
        <v>8.9710000000000001</v>
      </c>
      <c r="Q561">
        <v>97.52</v>
      </c>
      <c r="R561">
        <v>88.08</v>
      </c>
      <c r="S561">
        <v>185.3</v>
      </c>
    </row>
    <row r="562" spans="1:19" x14ac:dyDescent="0.25">
      <c r="A562" s="6">
        <v>44707</v>
      </c>
      <c r="B562">
        <v>222.35</v>
      </c>
      <c r="C562">
        <v>274.11</v>
      </c>
      <c r="D562">
        <v>314.74</v>
      </c>
      <c r="E562">
        <v>347.18</v>
      </c>
      <c r="F562">
        <v>252.02</v>
      </c>
      <c r="G562">
        <v>114.09</v>
      </c>
      <c r="H562">
        <v>117.4</v>
      </c>
      <c r="I562">
        <v>107.64</v>
      </c>
      <c r="J562">
        <v>96.64</v>
      </c>
      <c r="K562">
        <v>26.05</v>
      </c>
      <c r="L562">
        <v>69483.759999999995</v>
      </c>
      <c r="M562">
        <v>55317.32</v>
      </c>
      <c r="N562">
        <v>22.484999999999999</v>
      </c>
      <c r="O562">
        <v>6.3700000000000007E-2</v>
      </c>
      <c r="P562">
        <v>8.9079999999999995</v>
      </c>
      <c r="Q562">
        <v>99.53</v>
      </c>
      <c r="R562">
        <v>85.97</v>
      </c>
      <c r="S562">
        <v>180.25</v>
      </c>
    </row>
    <row r="563" spans="1:19" x14ac:dyDescent="0.25">
      <c r="A563" s="6">
        <v>44708</v>
      </c>
      <c r="B563">
        <v>192.68</v>
      </c>
      <c r="C563">
        <v>246.64</v>
      </c>
      <c r="D563">
        <v>290.52</v>
      </c>
      <c r="E563">
        <v>317.45999999999998</v>
      </c>
      <c r="F563">
        <v>251.72</v>
      </c>
      <c r="G563">
        <v>115.07</v>
      </c>
      <c r="H563">
        <v>119.43</v>
      </c>
      <c r="I563">
        <v>107.75</v>
      </c>
      <c r="J563">
        <v>97.59</v>
      </c>
      <c r="K563">
        <v>26.35</v>
      </c>
      <c r="L563">
        <v>70485.460000000006</v>
      </c>
      <c r="M563">
        <v>55306.76</v>
      </c>
      <c r="N563">
        <v>22.625</v>
      </c>
      <c r="O563">
        <v>6.4170000000000005E-2</v>
      </c>
      <c r="P563">
        <v>8.7270000000000003</v>
      </c>
      <c r="Q563">
        <v>102.7</v>
      </c>
      <c r="R563">
        <v>86.875</v>
      </c>
      <c r="S563">
        <v>184.05</v>
      </c>
    </row>
    <row r="564" spans="1:19" x14ac:dyDescent="0.25">
      <c r="A564" s="6">
        <v>44711</v>
      </c>
      <c r="B564">
        <v>192.68</v>
      </c>
      <c r="C564">
        <v>246.64</v>
      </c>
      <c r="D564">
        <v>290.52</v>
      </c>
      <c r="E564">
        <v>317.45999999999998</v>
      </c>
      <c r="F564">
        <v>251.72</v>
      </c>
      <c r="G564">
        <v>117.61</v>
      </c>
      <c r="H564">
        <v>121.67</v>
      </c>
      <c r="I564">
        <v>107.94</v>
      </c>
      <c r="J564">
        <v>96.795000000000002</v>
      </c>
      <c r="K564">
        <v>26.05</v>
      </c>
      <c r="L564">
        <v>71958.149999999994</v>
      </c>
      <c r="M564">
        <v>56301.94</v>
      </c>
      <c r="N564">
        <v>22.845405405406382</v>
      </c>
      <c r="O564">
        <v>6.4519999999999994E-2</v>
      </c>
      <c r="P564">
        <v>8.6859999999999999</v>
      </c>
      <c r="Q564">
        <v>102.545</v>
      </c>
      <c r="R564">
        <v>90.44</v>
      </c>
      <c r="S564">
        <v>192.35</v>
      </c>
    </row>
    <row r="565" spans="1:19" x14ac:dyDescent="0.25">
      <c r="A565" s="6">
        <v>44712</v>
      </c>
      <c r="B565">
        <v>192.68</v>
      </c>
      <c r="C565">
        <v>246.64</v>
      </c>
      <c r="D565">
        <v>290.52</v>
      </c>
      <c r="E565">
        <v>317.45999999999998</v>
      </c>
      <c r="F565">
        <v>251.72</v>
      </c>
      <c r="G565">
        <v>114.67</v>
      </c>
      <c r="H565">
        <v>122.84</v>
      </c>
      <c r="I565">
        <v>108.13</v>
      </c>
      <c r="J565">
        <v>96</v>
      </c>
      <c r="K565">
        <v>26.25</v>
      </c>
      <c r="L565">
        <v>72094.87</v>
      </c>
      <c r="M565">
        <v>53684.97</v>
      </c>
      <c r="N565">
        <v>24.074999999999999</v>
      </c>
      <c r="O565">
        <v>6.3939999999999997E-2</v>
      </c>
      <c r="P565">
        <v>8.1449999999999996</v>
      </c>
      <c r="Q565">
        <v>102.39</v>
      </c>
      <c r="R565">
        <v>94.004999999999995</v>
      </c>
      <c r="S565">
        <v>194.65</v>
      </c>
    </row>
    <row r="566" spans="1:19" x14ac:dyDescent="0.25">
      <c r="A566" s="6">
        <v>44713</v>
      </c>
      <c r="B566">
        <v>194.96</v>
      </c>
      <c r="C566">
        <v>255.32</v>
      </c>
      <c r="D566">
        <v>303.74</v>
      </c>
      <c r="E566">
        <v>333.07</v>
      </c>
      <c r="F566">
        <v>249.34</v>
      </c>
      <c r="G566">
        <v>115.26</v>
      </c>
      <c r="H566">
        <v>116.29</v>
      </c>
      <c r="I566">
        <v>110.91</v>
      </c>
      <c r="J566">
        <v>97.84</v>
      </c>
      <c r="K566">
        <v>26.5</v>
      </c>
      <c r="L566">
        <v>70849.38</v>
      </c>
      <c r="M566">
        <v>51997.82</v>
      </c>
      <c r="N566">
        <v>24.015000000000001</v>
      </c>
      <c r="O566">
        <v>6.4210000000000003E-2</v>
      </c>
      <c r="P566">
        <v>8.6959999999999997</v>
      </c>
      <c r="Q566">
        <v>101.99</v>
      </c>
      <c r="R566">
        <v>85.55</v>
      </c>
      <c r="S566">
        <v>190.6</v>
      </c>
    </row>
    <row r="567" spans="1:19" x14ac:dyDescent="0.25">
      <c r="A567" s="6">
        <v>44714</v>
      </c>
      <c r="B567">
        <v>194.96</v>
      </c>
      <c r="C567">
        <v>255.32</v>
      </c>
      <c r="D567">
        <v>303.74</v>
      </c>
      <c r="E567">
        <v>333.07</v>
      </c>
      <c r="F567">
        <v>249.34</v>
      </c>
      <c r="G567">
        <v>116.87</v>
      </c>
      <c r="H567">
        <v>117.61</v>
      </c>
      <c r="I567">
        <v>112.02</v>
      </c>
      <c r="J567">
        <v>97.67</v>
      </c>
      <c r="K567">
        <v>26.25</v>
      </c>
      <c r="L567">
        <v>71035</v>
      </c>
      <c r="M567">
        <v>53844.98</v>
      </c>
      <c r="N567">
        <v>24.015000000000001</v>
      </c>
      <c r="O567">
        <v>6.4630000000000007E-2</v>
      </c>
      <c r="P567">
        <v>8.4849999999999994</v>
      </c>
      <c r="Q567">
        <v>102.9</v>
      </c>
      <c r="R567">
        <v>83.944999999999993</v>
      </c>
      <c r="S567">
        <v>188.1</v>
      </c>
    </row>
    <row r="568" spans="1:19" x14ac:dyDescent="0.25">
      <c r="A568" s="6">
        <v>44715</v>
      </c>
      <c r="B568">
        <v>194.96</v>
      </c>
      <c r="C568">
        <v>255.32</v>
      </c>
      <c r="D568">
        <v>303.74</v>
      </c>
      <c r="E568">
        <v>333.07</v>
      </c>
      <c r="F568">
        <v>249.34</v>
      </c>
      <c r="G568">
        <v>118.87</v>
      </c>
      <c r="H568">
        <v>119.72</v>
      </c>
      <c r="I568">
        <v>113.83</v>
      </c>
      <c r="J568">
        <v>99.09</v>
      </c>
      <c r="K568">
        <v>26.34806866952772</v>
      </c>
      <c r="L568">
        <v>70920.45</v>
      </c>
      <c r="M568">
        <v>52115.87</v>
      </c>
      <c r="N568">
        <v>24.015000000000001</v>
      </c>
      <c r="O568">
        <v>6.4339999999999994E-2</v>
      </c>
      <c r="P568">
        <v>8.5229999999999997</v>
      </c>
      <c r="Q568">
        <v>100.94</v>
      </c>
      <c r="R568">
        <v>83.1</v>
      </c>
      <c r="S568">
        <v>182.3</v>
      </c>
    </row>
    <row r="569" spans="1:19" x14ac:dyDescent="0.25">
      <c r="A569" s="6">
        <v>44718</v>
      </c>
      <c r="B569">
        <v>194.96</v>
      </c>
      <c r="C569">
        <v>255.32</v>
      </c>
      <c r="D569">
        <v>303.74</v>
      </c>
      <c r="E569">
        <v>333.07</v>
      </c>
      <c r="F569">
        <v>249.34</v>
      </c>
      <c r="G569">
        <v>118.5</v>
      </c>
      <c r="H569">
        <v>119.51</v>
      </c>
      <c r="I569">
        <v>114.01</v>
      </c>
      <c r="J569">
        <v>98.84</v>
      </c>
      <c r="K569">
        <v>26.25</v>
      </c>
      <c r="L569">
        <v>71120.09</v>
      </c>
      <c r="M569">
        <v>51073.66</v>
      </c>
      <c r="N569">
        <v>23.355</v>
      </c>
      <c r="O569">
        <v>6.4780000000000004E-2</v>
      </c>
      <c r="P569">
        <v>9.3219999999999992</v>
      </c>
      <c r="Q569">
        <v>100.86</v>
      </c>
      <c r="R569">
        <v>82.56</v>
      </c>
      <c r="S569">
        <v>175.25</v>
      </c>
    </row>
    <row r="570" spans="1:19" x14ac:dyDescent="0.25">
      <c r="A570" s="6">
        <v>44719</v>
      </c>
      <c r="B570">
        <v>194.96</v>
      </c>
      <c r="C570">
        <v>255.32</v>
      </c>
      <c r="D570">
        <v>303.74</v>
      </c>
      <c r="E570">
        <v>333.07</v>
      </c>
      <c r="F570">
        <v>249.34</v>
      </c>
      <c r="G570">
        <v>119.41</v>
      </c>
      <c r="H570">
        <v>120.57</v>
      </c>
      <c r="I570">
        <v>115.29</v>
      </c>
      <c r="J570">
        <v>103.37</v>
      </c>
      <c r="K570">
        <v>26.05</v>
      </c>
      <c r="L570">
        <v>70318.23</v>
      </c>
      <c r="M570">
        <v>50448.26</v>
      </c>
      <c r="N570">
        <v>22.87</v>
      </c>
      <c r="O570">
        <v>6.4939999999999998E-2</v>
      </c>
      <c r="P570">
        <v>9.2929999999999993</v>
      </c>
      <c r="Q570">
        <v>101.76</v>
      </c>
      <c r="R570">
        <v>79.61</v>
      </c>
      <c r="S570">
        <v>178</v>
      </c>
    </row>
    <row r="571" spans="1:19" x14ac:dyDescent="0.25">
      <c r="A571" s="6">
        <v>44720</v>
      </c>
      <c r="B571">
        <v>194.96</v>
      </c>
      <c r="C571">
        <v>255.32</v>
      </c>
      <c r="D571">
        <v>303.74</v>
      </c>
      <c r="E571">
        <v>333.07</v>
      </c>
      <c r="F571">
        <v>249.34</v>
      </c>
      <c r="G571">
        <v>122.11</v>
      </c>
      <c r="H571">
        <v>123.58</v>
      </c>
      <c r="I571">
        <v>117.5</v>
      </c>
      <c r="J571">
        <v>104.59</v>
      </c>
      <c r="K571">
        <v>27.1</v>
      </c>
      <c r="L571">
        <v>69950.210000000006</v>
      </c>
      <c r="M571">
        <v>49740.41</v>
      </c>
      <c r="N571">
        <v>22.774999999999999</v>
      </c>
      <c r="O571">
        <v>6.5360000000000001E-2</v>
      </c>
      <c r="P571">
        <v>8.6989999999999998</v>
      </c>
      <c r="Q571">
        <v>101.38</v>
      </c>
      <c r="R571">
        <v>79.405000000000001</v>
      </c>
      <c r="S571">
        <v>175.85</v>
      </c>
    </row>
    <row r="572" spans="1:19" x14ac:dyDescent="0.25">
      <c r="A572" s="6">
        <v>44721</v>
      </c>
      <c r="B572">
        <v>194.96</v>
      </c>
      <c r="C572">
        <v>255.32</v>
      </c>
      <c r="D572">
        <v>303.74</v>
      </c>
      <c r="E572">
        <v>333.07</v>
      </c>
      <c r="F572">
        <v>249.34</v>
      </c>
      <c r="G572">
        <v>121.51</v>
      </c>
      <c r="H572">
        <v>123.07</v>
      </c>
      <c r="I572">
        <v>117.09</v>
      </c>
      <c r="J572">
        <v>102.33</v>
      </c>
      <c r="K572">
        <v>27.5</v>
      </c>
      <c r="L572">
        <v>68910.8</v>
      </c>
      <c r="M572">
        <v>48134.19</v>
      </c>
      <c r="N572">
        <v>23.16</v>
      </c>
      <c r="O572">
        <v>6.4409999999999995E-2</v>
      </c>
      <c r="P572">
        <v>8.9629999999999992</v>
      </c>
      <c r="Q572">
        <v>99.5</v>
      </c>
      <c r="R572">
        <v>84.88</v>
      </c>
      <c r="S572">
        <v>184.8</v>
      </c>
    </row>
    <row r="573" spans="1:19" x14ac:dyDescent="0.25">
      <c r="A573" s="6">
        <v>44722</v>
      </c>
      <c r="B573">
        <v>171.75</v>
      </c>
      <c r="C573">
        <v>231.88</v>
      </c>
      <c r="D573">
        <v>282.79000000000002</v>
      </c>
      <c r="E573">
        <v>312.42</v>
      </c>
      <c r="F573">
        <v>235.58</v>
      </c>
      <c r="G573">
        <v>120.67</v>
      </c>
      <c r="H573">
        <v>122.01</v>
      </c>
      <c r="I573">
        <v>116.67</v>
      </c>
      <c r="J573">
        <v>100.46</v>
      </c>
      <c r="K573">
        <v>27.2</v>
      </c>
      <c r="L573">
        <v>67803.509999999995</v>
      </c>
      <c r="M573">
        <v>49033.120000000003</v>
      </c>
      <c r="N573">
        <v>23.164999999999999</v>
      </c>
      <c r="O573">
        <v>6.3130000000000006E-2</v>
      </c>
      <c r="P573">
        <v>8.85</v>
      </c>
      <c r="Q573">
        <v>97.78</v>
      </c>
      <c r="R573">
        <v>82.465000000000003</v>
      </c>
      <c r="S573">
        <v>182.2</v>
      </c>
    </row>
    <row r="574" spans="1:19" x14ac:dyDescent="0.25">
      <c r="A574" s="6">
        <v>44725</v>
      </c>
      <c r="B574">
        <v>171.75</v>
      </c>
      <c r="C574">
        <v>231.88</v>
      </c>
      <c r="D574">
        <v>282.79000000000002</v>
      </c>
      <c r="E574">
        <v>312.42</v>
      </c>
      <c r="F574">
        <v>235.58</v>
      </c>
      <c r="G574">
        <v>120.93</v>
      </c>
      <c r="H574">
        <v>122.27</v>
      </c>
      <c r="I574">
        <v>116.64</v>
      </c>
      <c r="J574">
        <v>95.85</v>
      </c>
      <c r="K574">
        <v>26.9</v>
      </c>
      <c r="L574">
        <v>66381.03</v>
      </c>
      <c r="M574">
        <v>47426.28</v>
      </c>
      <c r="N574">
        <v>23.035</v>
      </c>
      <c r="O574">
        <v>6.2050000000000001E-2</v>
      </c>
      <c r="P574">
        <v>8.609</v>
      </c>
      <c r="Q574">
        <v>96.82</v>
      </c>
      <c r="R574">
        <v>83.4</v>
      </c>
      <c r="S574">
        <v>177.35</v>
      </c>
    </row>
    <row r="575" spans="1:19" x14ac:dyDescent="0.25">
      <c r="A575" s="6">
        <v>44726</v>
      </c>
      <c r="B575">
        <v>171.75</v>
      </c>
      <c r="C575">
        <v>231.88</v>
      </c>
      <c r="D575">
        <v>282.79000000000002</v>
      </c>
      <c r="E575">
        <v>312.42</v>
      </c>
      <c r="F575">
        <v>235.58</v>
      </c>
      <c r="G575">
        <v>118.93</v>
      </c>
      <c r="H575">
        <v>121.17</v>
      </c>
      <c r="I575">
        <v>115.71</v>
      </c>
      <c r="J575">
        <v>96.1</v>
      </c>
      <c r="K575">
        <v>26.75</v>
      </c>
      <c r="L575">
        <v>65683.520000000004</v>
      </c>
      <c r="M575">
        <v>46400.29</v>
      </c>
      <c r="N575">
        <v>23.175000000000001</v>
      </c>
      <c r="O575">
        <v>6.2300000000000001E-2</v>
      </c>
      <c r="P575">
        <v>7.1890000000000001</v>
      </c>
      <c r="Q575">
        <v>94.05</v>
      </c>
      <c r="R575">
        <v>97.04</v>
      </c>
      <c r="S575">
        <v>175.7</v>
      </c>
    </row>
    <row r="576" spans="1:19" x14ac:dyDescent="0.25">
      <c r="A576" s="6">
        <v>44727</v>
      </c>
      <c r="B576">
        <v>171.75</v>
      </c>
      <c r="C576">
        <v>231.88</v>
      </c>
      <c r="D576">
        <v>282.79000000000002</v>
      </c>
      <c r="E576">
        <v>312.42</v>
      </c>
      <c r="F576">
        <v>235.58</v>
      </c>
      <c r="G576">
        <v>115.31</v>
      </c>
      <c r="H576">
        <v>118.51</v>
      </c>
      <c r="I576">
        <v>114.35</v>
      </c>
      <c r="J576">
        <v>94.89</v>
      </c>
      <c r="K576">
        <v>26.5</v>
      </c>
      <c r="L576">
        <v>67502.09</v>
      </c>
      <c r="M576">
        <v>48385.919999999998</v>
      </c>
      <c r="N576">
        <v>23.395</v>
      </c>
      <c r="O576">
        <v>6.3299999999999995E-2</v>
      </c>
      <c r="P576">
        <v>7.42</v>
      </c>
      <c r="Q576">
        <v>95.63</v>
      </c>
      <c r="R576">
        <v>120.33</v>
      </c>
      <c r="S576">
        <v>174.85</v>
      </c>
    </row>
    <row r="577" spans="1:19" x14ac:dyDescent="0.25">
      <c r="A577" s="6">
        <v>44728</v>
      </c>
      <c r="B577">
        <v>171.75</v>
      </c>
      <c r="C577">
        <v>231.88</v>
      </c>
      <c r="D577">
        <v>282.79000000000002</v>
      </c>
      <c r="E577">
        <v>312.42</v>
      </c>
      <c r="F577">
        <v>235.58</v>
      </c>
      <c r="G577">
        <v>117.59</v>
      </c>
      <c r="H577">
        <v>119.81</v>
      </c>
      <c r="I577">
        <v>115.34</v>
      </c>
      <c r="J577">
        <v>91.39</v>
      </c>
      <c r="K577">
        <v>25.3</v>
      </c>
      <c r="L577">
        <v>65669.855261042714</v>
      </c>
      <c r="M577">
        <v>46941.261606425047</v>
      </c>
      <c r="N577">
        <v>34.65</v>
      </c>
      <c r="O577">
        <v>6.2489999999999997E-2</v>
      </c>
      <c r="P577">
        <v>7.4640000000000004</v>
      </c>
      <c r="Q577">
        <v>94.85</v>
      </c>
      <c r="R577">
        <v>124.36499999999999</v>
      </c>
      <c r="S577">
        <v>168.7</v>
      </c>
    </row>
    <row r="578" spans="1:19" x14ac:dyDescent="0.25">
      <c r="A578" s="6">
        <v>44729</v>
      </c>
      <c r="B578">
        <v>152.38</v>
      </c>
      <c r="C578">
        <v>208.65</v>
      </c>
      <c r="D578">
        <v>270.89</v>
      </c>
      <c r="E578">
        <v>312.3</v>
      </c>
      <c r="F578">
        <v>215.13</v>
      </c>
      <c r="G578">
        <v>109.56</v>
      </c>
      <c r="H578">
        <v>113.12</v>
      </c>
      <c r="I578">
        <v>112.72</v>
      </c>
      <c r="J578">
        <v>86.12</v>
      </c>
      <c r="K578">
        <v>25</v>
      </c>
      <c r="L578">
        <v>65390.879999999997</v>
      </c>
      <c r="M578">
        <v>48457.17</v>
      </c>
      <c r="N578">
        <v>33.954999999999998</v>
      </c>
      <c r="O578">
        <v>6.2390000000000001E-2</v>
      </c>
      <c r="P578">
        <v>6.944</v>
      </c>
      <c r="Q578">
        <v>90.33</v>
      </c>
      <c r="R578">
        <v>117.74</v>
      </c>
      <c r="S578">
        <v>172.75</v>
      </c>
    </row>
    <row r="579" spans="1:19" x14ac:dyDescent="0.25">
      <c r="A579" s="6">
        <v>44732</v>
      </c>
      <c r="B579">
        <v>152.38</v>
      </c>
      <c r="C579">
        <v>208.65</v>
      </c>
      <c r="D579">
        <v>270.89</v>
      </c>
      <c r="E579">
        <v>312.3</v>
      </c>
      <c r="F579">
        <v>215.13</v>
      </c>
      <c r="G579">
        <v>108.84</v>
      </c>
      <c r="H579">
        <v>114.13</v>
      </c>
      <c r="I579">
        <v>113.03</v>
      </c>
      <c r="J579">
        <v>88.800000000000011</v>
      </c>
      <c r="K579">
        <v>24.2</v>
      </c>
      <c r="L579">
        <v>66350.31</v>
      </c>
      <c r="M579">
        <v>48323.45</v>
      </c>
      <c r="N579">
        <v>36.727837837839616</v>
      </c>
      <c r="O579">
        <v>6.2330000000000003E-2</v>
      </c>
      <c r="P579">
        <v>6.7130000000000001</v>
      </c>
      <c r="Q579">
        <v>92.07</v>
      </c>
      <c r="R579">
        <v>121.65</v>
      </c>
      <c r="S579">
        <v>168.9</v>
      </c>
    </row>
    <row r="580" spans="1:19" x14ac:dyDescent="0.25">
      <c r="A580" s="6">
        <v>44733</v>
      </c>
      <c r="B580">
        <v>152.38</v>
      </c>
      <c r="C580">
        <v>208.65</v>
      </c>
      <c r="D580">
        <v>270.89</v>
      </c>
      <c r="E580">
        <v>312.3</v>
      </c>
      <c r="F580">
        <v>215.13</v>
      </c>
      <c r="G580">
        <v>110.65</v>
      </c>
      <c r="H580">
        <v>114.65</v>
      </c>
      <c r="I580">
        <v>113.34</v>
      </c>
      <c r="J580">
        <v>91.48</v>
      </c>
      <c r="K580">
        <v>24.85</v>
      </c>
      <c r="L580">
        <v>66747.23</v>
      </c>
      <c r="M580">
        <v>48658.86</v>
      </c>
      <c r="N580">
        <v>37.325000000000003</v>
      </c>
      <c r="O580">
        <v>6.2770000000000006E-2</v>
      </c>
      <c r="P580">
        <v>6.8079999999999998</v>
      </c>
      <c r="Q580">
        <v>93.81</v>
      </c>
      <c r="R580">
        <v>125.56</v>
      </c>
      <c r="S580">
        <v>174.05</v>
      </c>
    </row>
    <row r="581" spans="1:19" x14ac:dyDescent="0.25">
      <c r="A581" s="6">
        <v>44734</v>
      </c>
      <c r="B581">
        <v>152.38</v>
      </c>
      <c r="C581">
        <v>208.65</v>
      </c>
      <c r="D581">
        <v>270.89</v>
      </c>
      <c r="E581">
        <v>312.3</v>
      </c>
      <c r="F581">
        <v>215.13</v>
      </c>
      <c r="G581">
        <v>106.19</v>
      </c>
      <c r="H581">
        <v>111.74</v>
      </c>
      <c r="I581">
        <v>112.34</v>
      </c>
      <c r="J581">
        <v>87.86</v>
      </c>
      <c r="K581">
        <v>24.35</v>
      </c>
      <c r="L581">
        <v>65712.679999999993</v>
      </c>
      <c r="M581">
        <v>47650.02</v>
      </c>
      <c r="N581">
        <v>37.11</v>
      </c>
      <c r="O581">
        <v>6.2810000000000005E-2</v>
      </c>
      <c r="P581">
        <v>6.8579999999999997</v>
      </c>
      <c r="Q581">
        <v>93.96</v>
      </c>
      <c r="R581">
        <v>127.17</v>
      </c>
      <c r="S581">
        <v>169.75</v>
      </c>
    </row>
    <row r="582" spans="1:19" x14ac:dyDescent="0.25">
      <c r="A582" s="6">
        <v>44735</v>
      </c>
      <c r="B582">
        <v>152.38</v>
      </c>
      <c r="C582">
        <v>208.65</v>
      </c>
      <c r="D582">
        <v>270.89</v>
      </c>
      <c r="E582">
        <v>312.3</v>
      </c>
      <c r="F582">
        <v>215.13</v>
      </c>
      <c r="G582">
        <v>104.27</v>
      </c>
      <c r="H582">
        <v>110.05</v>
      </c>
      <c r="I582">
        <v>111.86</v>
      </c>
      <c r="J582">
        <v>85.21</v>
      </c>
      <c r="K582">
        <v>24.7</v>
      </c>
      <c r="L582">
        <v>65295.42</v>
      </c>
      <c r="M582">
        <v>47031.81</v>
      </c>
      <c r="N582">
        <v>37.130000000000003</v>
      </c>
      <c r="O582">
        <v>6.2630000000000005E-2</v>
      </c>
      <c r="P582">
        <v>6.2389999999999999</v>
      </c>
      <c r="Q582">
        <v>96.68</v>
      </c>
      <c r="R582">
        <v>133.345</v>
      </c>
      <c r="S582">
        <v>171</v>
      </c>
    </row>
    <row r="583" spans="1:19" x14ac:dyDescent="0.25">
      <c r="A583" s="6">
        <v>44736</v>
      </c>
      <c r="B583">
        <v>180.69</v>
      </c>
      <c r="C583">
        <v>269.37</v>
      </c>
      <c r="D583">
        <v>323.82</v>
      </c>
      <c r="E583">
        <v>354.25</v>
      </c>
      <c r="F583">
        <v>216.24</v>
      </c>
      <c r="G583">
        <v>107.62</v>
      </c>
      <c r="H583">
        <v>113.12</v>
      </c>
      <c r="I583">
        <v>112.3</v>
      </c>
      <c r="J583">
        <v>86.9</v>
      </c>
      <c r="K583">
        <v>24.5</v>
      </c>
      <c r="L583">
        <v>66348.75</v>
      </c>
      <c r="M583">
        <v>47129.7</v>
      </c>
      <c r="N583">
        <v>37.094999999999999</v>
      </c>
      <c r="O583">
        <v>6.3240000000000005E-2</v>
      </c>
      <c r="P583">
        <v>6.22</v>
      </c>
      <c r="Q583">
        <v>97.91</v>
      </c>
      <c r="R583">
        <v>128.505</v>
      </c>
      <c r="S583">
        <v>174.1</v>
      </c>
    </row>
    <row r="584" spans="1:19" x14ac:dyDescent="0.25">
      <c r="A584" s="6">
        <v>44739</v>
      </c>
      <c r="B584">
        <v>180.69</v>
      </c>
      <c r="C584">
        <v>269.37</v>
      </c>
      <c r="D584">
        <v>323.82</v>
      </c>
      <c r="E584">
        <v>354.25</v>
      </c>
      <c r="F584">
        <v>216.24</v>
      </c>
      <c r="G584">
        <v>109.57</v>
      </c>
      <c r="H584">
        <v>115.09</v>
      </c>
      <c r="I584">
        <v>112.7</v>
      </c>
      <c r="J584">
        <v>89.03</v>
      </c>
      <c r="K584">
        <v>25.55</v>
      </c>
      <c r="L584">
        <v>67826.78</v>
      </c>
      <c r="M584">
        <v>47719.22</v>
      </c>
      <c r="N584">
        <v>37.090000000000003</v>
      </c>
      <c r="O584">
        <v>6.3009999999999997E-2</v>
      </c>
      <c r="P584">
        <v>6.5010000000000003</v>
      </c>
      <c r="Q584">
        <v>98.68</v>
      </c>
      <c r="R584">
        <v>129.46</v>
      </c>
      <c r="S584">
        <v>174.9</v>
      </c>
    </row>
    <row r="585" spans="1:19" x14ac:dyDescent="0.25">
      <c r="A585" s="6">
        <v>44740</v>
      </c>
      <c r="B585">
        <v>180.69</v>
      </c>
      <c r="C585">
        <v>269.37</v>
      </c>
      <c r="D585">
        <v>323.82</v>
      </c>
      <c r="E585">
        <v>354.25</v>
      </c>
      <c r="F585">
        <v>216.24</v>
      </c>
      <c r="G585">
        <v>111.76</v>
      </c>
      <c r="H585">
        <v>117.98</v>
      </c>
      <c r="I585">
        <v>113.11</v>
      </c>
      <c r="J585">
        <v>91.5</v>
      </c>
      <c r="K585">
        <v>26.25</v>
      </c>
      <c r="L585">
        <v>68058.12</v>
      </c>
      <c r="M585">
        <v>48092.4</v>
      </c>
      <c r="N585">
        <v>37</v>
      </c>
      <c r="O585">
        <v>6.2120000000000002E-2</v>
      </c>
      <c r="P585">
        <v>6.5510000000000002</v>
      </c>
      <c r="Q585">
        <v>96.75</v>
      </c>
      <c r="R585">
        <v>129.17500000000001</v>
      </c>
      <c r="S585">
        <v>167.15</v>
      </c>
    </row>
    <row r="586" spans="1:19" x14ac:dyDescent="0.25">
      <c r="A586" s="6">
        <v>44741</v>
      </c>
      <c r="B586">
        <v>180.69</v>
      </c>
      <c r="C586">
        <v>269.37</v>
      </c>
      <c r="D586">
        <v>323.82</v>
      </c>
      <c r="E586">
        <v>354.25</v>
      </c>
      <c r="F586">
        <v>216.24</v>
      </c>
      <c r="G586">
        <v>109.78</v>
      </c>
      <c r="H586">
        <v>116.26</v>
      </c>
      <c r="I586">
        <v>113.02</v>
      </c>
      <c r="J586">
        <v>88.12</v>
      </c>
      <c r="K586">
        <v>22.65</v>
      </c>
      <c r="L586">
        <v>67747.41</v>
      </c>
      <c r="M586">
        <v>47577.07</v>
      </c>
      <c r="N586">
        <v>37.159999999999997</v>
      </c>
      <c r="O586">
        <v>6.1559999999999997E-2</v>
      </c>
      <c r="P586">
        <v>6.4980000000000002</v>
      </c>
      <c r="Q586">
        <v>96.41</v>
      </c>
      <c r="R586">
        <v>139.58799999999999</v>
      </c>
      <c r="S586">
        <v>161.30000000000001</v>
      </c>
    </row>
    <row r="587" spans="1:19" x14ac:dyDescent="0.25">
      <c r="A587" s="6">
        <v>44742</v>
      </c>
      <c r="B587">
        <v>180.69</v>
      </c>
      <c r="C587">
        <v>269.37</v>
      </c>
      <c r="D587">
        <v>323.82</v>
      </c>
      <c r="E587">
        <v>354.25</v>
      </c>
      <c r="F587">
        <v>216.24</v>
      </c>
      <c r="G587">
        <v>105.76</v>
      </c>
      <c r="H587">
        <v>114.81</v>
      </c>
      <c r="I587">
        <v>113.24</v>
      </c>
      <c r="J587">
        <v>85.64</v>
      </c>
      <c r="K587">
        <v>22.5</v>
      </c>
      <c r="L587">
        <v>66223.31</v>
      </c>
      <c r="M587">
        <v>47290.559999999998</v>
      </c>
      <c r="N587">
        <v>38.659999999999997</v>
      </c>
      <c r="O587">
        <v>6.1400000000000003E-2</v>
      </c>
      <c r="P587">
        <v>5.4240000000000004</v>
      </c>
      <c r="Q587">
        <v>94.04</v>
      </c>
      <c r="R587">
        <v>144.51499999999999</v>
      </c>
      <c r="S587">
        <v>158.75</v>
      </c>
    </row>
    <row r="588" spans="1:19" x14ac:dyDescent="0.25">
      <c r="A588" s="6">
        <v>44743</v>
      </c>
      <c r="B588">
        <v>155.08000000000001</v>
      </c>
      <c r="C588">
        <v>235.17</v>
      </c>
      <c r="D588">
        <v>301.85000000000002</v>
      </c>
      <c r="E588">
        <v>332.33</v>
      </c>
      <c r="F588">
        <v>215.96</v>
      </c>
      <c r="G588">
        <v>108.43</v>
      </c>
      <c r="H588">
        <v>111.63</v>
      </c>
      <c r="I588">
        <v>107.89</v>
      </c>
      <c r="J588">
        <v>87.55</v>
      </c>
      <c r="K588">
        <v>23.404291845494299</v>
      </c>
      <c r="L588">
        <v>65661.73</v>
      </c>
      <c r="M588">
        <v>46246.23</v>
      </c>
      <c r="N588">
        <v>38.674999999999997</v>
      </c>
      <c r="O588">
        <v>6.0940000000000001E-2</v>
      </c>
      <c r="P588">
        <v>5.73</v>
      </c>
      <c r="Q588">
        <v>95.23</v>
      </c>
      <c r="R588">
        <v>147.785</v>
      </c>
      <c r="S588">
        <v>159.75</v>
      </c>
    </row>
    <row r="589" spans="1:19" x14ac:dyDescent="0.25">
      <c r="A589" s="6">
        <v>44746</v>
      </c>
      <c r="B589">
        <v>155.08000000000001</v>
      </c>
      <c r="C589">
        <v>235.17</v>
      </c>
      <c r="D589">
        <v>301.85000000000002</v>
      </c>
      <c r="E589">
        <v>332.33</v>
      </c>
      <c r="F589">
        <v>215.96</v>
      </c>
      <c r="G589">
        <v>110.4</v>
      </c>
      <c r="H589">
        <v>113.5</v>
      </c>
      <c r="I589">
        <v>104.31</v>
      </c>
      <c r="J589">
        <v>86.18</v>
      </c>
      <c r="K589">
        <v>22.5</v>
      </c>
      <c r="L589">
        <v>67024.820000000007</v>
      </c>
      <c r="M589">
        <v>48397.02</v>
      </c>
      <c r="N589">
        <v>39.017432432432543</v>
      </c>
      <c r="O589">
        <v>6.1179999999999998E-2</v>
      </c>
      <c r="P589">
        <v>5.8529999999999998</v>
      </c>
      <c r="Q589">
        <v>95.625</v>
      </c>
      <c r="R589">
        <v>156.43</v>
      </c>
      <c r="S589">
        <v>158.75</v>
      </c>
    </row>
    <row r="590" spans="1:19" x14ac:dyDescent="0.25">
      <c r="A590" s="6">
        <v>44747</v>
      </c>
      <c r="B590">
        <v>155.08000000000001</v>
      </c>
      <c r="C590">
        <v>235.17</v>
      </c>
      <c r="D590">
        <v>301.85000000000002</v>
      </c>
      <c r="E590">
        <v>332.33</v>
      </c>
      <c r="F590">
        <v>215.96</v>
      </c>
      <c r="G590">
        <v>99.5</v>
      </c>
      <c r="H590">
        <v>102.77</v>
      </c>
      <c r="I590">
        <v>100.73</v>
      </c>
      <c r="J590">
        <v>84.81</v>
      </c>
      <c r="K590">
        <v>22.85</v>
      </c>
      <c r="L590">
        <v>65005.81</v>
      </c>
      <c r="M590">
        <v>45891.74</v>
      </c>
      <c r="N590">
        <v>40.094999999999999</v>
      </c>
      <c r="O590">
        <v>6.0470000000000003E-2</v>
      </c>
      <c r="P590">
        <v>5.5229999999999997</v>
      </c>
      <c r="Q590">
        <v>96.02</v>
      </c>
      <c r="R590">
        <v>165.07499999999999</v>
      </c>
      <c r="S590">
        <v>154.5</v>
      </c>
    </row>
    <row r="591" spans="1:19" x14ac:dyDescent="0.25">
      <c r="A591" s="6">
        <v>44748</v>
      </c>
      <c r="B591">
        <v>155.08000000000001</v>
      </c>
      <c r="C591">
        <v>235.17</v>
      </c>
      <c r="D591">
        <v>301.85000000000002</v>
      </c>
      <c r="E591">
        <v>332.33</v>
      </c>
      <c r="F591">
        <v>215.96</v>
      </c>
      <c r="G591">
        <v>98.53</v>
      </c>
      <c r="H591">
        <v>100.69</v>
      </c>
      <c r="I591">
        <v>98.98</v>
      </c>
      <c r="J591">
        <v>83.28</v>
      </c>
      <c r="K591">
        <v>21.75</v>
      </c>
      <c r="L591">
        <v>65756.36</v>
      </c>
      <c r="M591">
        <v>47514.16</v>
      </c>
      <c r="N591">
        <v>38.61</v>
      </c>
      <c r="O591">
        <v>5.9459999999999999E-2</v>
      </c>
      <c r="P591">
        <v>5.51</v>
      </c>
      <c r="Q591">
        <v>95.5</v>
      </c>
      <c r="R591">
        <v>171</v>
      </c>
      <c r="S591">
        <v>159.69999999999999</v>
      </c>
    </row>
    <row r="592" spans="1:19" x14ac:dyDescent="0.25">
      <c r="A592" s="6">
        <v>44749</v>
      </c>
      <c r="B592">
        <v>155.08000000000001</v>
      </c>
      <c r="C592">
        <v>235.17</v>
      </c>
      <c r="D592">
        <v>301.85000000000002</v>
      </c>
      <c r="E592">
        <v>332.33</v>
      </c>
      <c r="F592">
        <v>215.96</v>
      </c>
      <c r="G592">
        <v>102.73</v>
      </c>
      <c r="H592">
        <v>104.65</v>
      </c>
      <c r="I592">
        <v>102.02</v>
      </c>
      <c r="J592">
        <v>85.94</v>
      </c>
      <c r="K592">
        <v>21.9</v>
      </c>
      <c r="L592">
        <v>67909.289999999994</v>
      </c>
      <c r="M592">
        <v>47866.1</v>
      </c>
      <c r="N592">
        <v>39.57</v>
      </c>
      <c r="O592">
        <v>5.9819999999999998E-2</v>
      </c>
      <c r="P592">
        <v>6.2969999999999997</v>
      </c>
      <c r="Q592">
        <v>96.68</v>
      </c>
      <c r="R592">
        <v>183.185</v>
      </c>
      <c r="S592">
        <v>163.69999999999999</v>
      </c>
    </row>
    <row r="593" spans="1:19" x14ac:dyDescent="0.25">
      <c r="A593" s="6">
        <v>44750</v>
      </c>
      <c r="B593">
        <v>167.09</v>
      </c>
      <c r="C593">
        <v>251.57</v>
      </c>
      <c r="D593">
        <v>322.37</v>
      </c>
      <c r="E593">
        <v>348.09</v>
      </c>
      <c r="F593">
        <v>215.06</v>
      </c>
      <c r="G593">
        <v>104.79</v>
      </c>
      <c r="H593">
        <v>107.02</v>
      </c>
      <c r="I593">
        <v>104.22</v>
      </c>
      <c r="J593">
        <v>86.08</v>
      </c>
      <c r="K593">
        <v>22.3</v>
      </c>
      <c r="L593">
        <v>68327.399999999994</v>
      </c>
      <c r="M593">
        <v>49875.39</v>
      </c>
      <c r="N593">
        <v>39.384999999999998</v>
      </c>
      <c r="O593">
        <v>5.9249999999999997E-2</v>
      </c>
      <c r="P593">
        <v>6.0339999999999998</v>
      </c>
      <c r="Q593">
        <v>95.87</v>
      </c>
      <c r="R593">
        <v>175.21</v>
      </c>
      <c r="S593">
        <v>163.85</v>
      </c>
    </row>
    <row r="594" spans="1:19" x14ac:dyDescent="0.25">
      <c r="A594" s="6">
        <v>44753</v>
      </c>
      <c r="B594">
        <v>167.09</v>
      </c>
      <c r="C594">
        <v>251.57</v>
      </c>
      <c r="D594">
        <v>322.37</v>
      </c>
      <c r="E594">
        <v>348.09</v>
      </c>
      <c r="F594">
        <v>215.06</v>
      </c>
      <c r="G594">
        <v>104.09</v>
      </c>
      <c r="H594">
        <v>107.1</v>
      </c>
      <c r="I594">
        <v>104.28</v>
      </c>
      <c r="J594">
        <v>85.64</v>
      </c>
      <c r="K594">
        <v>21.85</v>
      </c>
      <c r="L594">
        <v>67226.75</v>
      </c>
      <c r="M594">
        <v>48452.73</v>
      </c>
      <c r="N594">
        <v>38.840000000000003</v>
      </c>
      <c r="O594">
        <v>5.8409999999999997E-2</v>
      </c>
      <c r="P594">
        <v>6.319</v>
      </c>
      <c r="Q594">
        <v>94.54</v>
      </c>
      <c r="R594">
        <v>164.52</v>
      </c>
      <c r="S594">
        <v>163.44999999999999</v>
      </c>
    </row>
    <row r="595" spans="1:19" x14ac:dyDescent="0.25">
      <c r="A595" s="6">
        <v>44754</v>
      </c>
      <c r="B595">
        <v>167.09</v>
      </c>
      <c r="C595">
        <v>251.57</v>
      </c>
      <c r="D595">
        <v>322.37</v>
      </c>
      <c r="E595">
        <v>348.09</v>
      </c>
      <c r="F595">
        <v>215.06</v>
      </c>
      <c r="G595">
        <v>95.84</v>
      </c>
      <c r="H595">
        <v>99.49</v>
      </c>
      <c r="I595">
        <v>99.14</v>
      </c>
      <c r="J595">
        <v>84.5</v>
      </c>
      <c r="K595">
        <v>21.85</v>
      </c>
      <c r="L595">
        <v>67163.710000000006</v>
      </c>
      <c r="M595">
        <v>46847.05</v>
      </c>
      <c r="N595">
        <v>38.630000000000003</v>
      </c>
      <c r="O595">
        <v>5.8700000000000002E-2</v>
      </c>
      <c r="P595">
        <v>6.0209999999999999</v>
      </c>
      <c r="Q595">
        <v>93.34</v>
      </c>
      <c r="R595">
        <v>172.61</v>
      </c>
      <c r="S595">
        <v>163</v>
      </c>
    </row>
    <row r="596" spans="1:19" x14ac:dyDescent="0.25">
      <c r="A596" s="6">
        <v>44755</v>
      </c>
      <c r="B596">
        <v>167.09</v>
      </c>
      <c r="C596">
        <v>251.57</v>
      </c>
      <c r="D596">
        <v>322.37</v>
      </c>
      <c r="E596">
        <v>348.09</v>
      </c>
      <c r="F596">
        <v>215.06</v>
      </c>
      <c r="G596">
        <v>96.3</v>
      </c>
      <c r="H596">
        <v>99.57</v>
      </c>
      <c r="I596">
        <v>100</v>
      </c>
      <c r="J596">
        <v>84.84</v>
      </c>
      <c r="K596">
        <v>21.85</v>
      </c>
      <c r="L596">
        <v>66142.69</v>
      </c>
      <c r="M596">
        <v>46644.9</v>
      </c>
      <c r="N596">
        <v>39.204999999999998</v>
      </c>
      <c r="O596">
        <v>5.91E-2</v>
      </c>
      <c r="P596">
        <v>6.5890000000000004</v>
      </c>
      <c r="Q596">
        <v>94.49</v>
      </c>
      <c r="R596">
        <v>180.505</v>
      </c>
      <c r="S596">
        <v>163.55000000000001</v>
      </c>
    </row>
    <row r="597" spans="1:19" x14ac:dyDescent="0.25">
      <c r="A597" s="6">
        <v>44756</v>
      </c>
      <c r="B597">
        <v>167.09</v>
      </c>
      <c r="C597">
        <v>251.57</v>
      </c>
      <c r="D597">
        <v>322.37</v>
      </c>
      <c r="E597">
        <v>348.09</v>
      </c>
      <c r="F597">
        <v>215.06</v>
      </c>
      <c r="G597">
        <v>95.78</v>
      </c>
      <c r="H597">
        <v>99.1</v>
      </c>
      <c r="I597">
        <v>99.7</v>
      </c>
      <c r="J597">
        <v>83.14</v>
      </c>
      <c r="K597">
        <v>22.05</v>
      </c>
      <c r="L597">
        <v>64712.88</v>
      </c>
      <c r="M597">
        <v>43361.33</v>
      </c>
      <c r="N597">
        <v>39.215000000000003</v>
      </c>
      <c r="O597">
        <v>5.8209999999999998E-2</v>
      </c>
      <c r="P597">
        <v>6.5110000000000001</v>
      </c>
      <c r="Q597">
        <v>93.62</v>
      </c>
      <c r="R597">
        <v>175.035</v>
      </c>
      <c r="S597">
        <v>162.15</v>
      </c>
    </row>
    <row r="598" spans="1:19" x14ac:dyDescent="0.25">
      <c r="A598" s="6">
        <v>44757</v>
      </c>
      <c r="B598">
        <v>163.97</v>
      </c>
      <c r="C598">
        <v>249.99</v>
      </c>
      <c r="D598">
        <v>317.43</v>
      </c>
      <c r="E598">
        <v>342.5</v>
      </c>
      <c r="F598">
        <v>214.23</v>
      </c>
      <c r="G598">
        <v>97.59</v>
      </c>
      <c r="H598">
        <v>101.16</v>
      </c>
      <c r="I598">
        <v>101.03</v>
      </c>
      <c r="J598">
        <v>84.54</v>
      </c>
      <c r="K598">
        <v>22.1</v>
      </c>
      <c r="L598">
        <v>65088.9</v>
      </c>
      <c r="M598">
        <v>42908.639999999999</v>
      </c>
      <c r="N598">
        <v>39.081000000000003</v>
      </c>
      <c r="O598">
        <v>5.8549999999999998E-2</v>
      </c>
      <c r="P598">
        <v>6.9260000000000002</v>
      </c>
      <c r="Q598">
        <v>95.83</v>
      </c>
      <c r="R598">
        <v>159.565</v>
      </c>
      <c r="S598">
        <v>163.1</v>
      </c>
    </row>
    <row r="599" spans="1:19" x14ac:dyDescent="0.25">
      <c r="A599" s="6">
        <v>44760</v>
      </c>
      <c r="B599">
        <v>163.97</v>
      </c>
      <c r="C599">
        <v>249.99</v>
      </c>
      <c r="D599">
        <v>317.43</v>
      </c>
      <c r="E599">
        <v>342.5</v>
      </c>
      <c r="F599">
        <v>214.23</v>
      </c>
      <c r="G599">
        <v>102.6</v>
      </c>
      <c r="H599">
        <v>106.27</v>
      </c>
      <c r="I599">
        <v>103.58</v>
      </c>
      <c r="J599">
        <v>86.1</v>
      </c>
      <c r="K599">
        <v>22.8</v>
      </c>
      <c r="L599">
        <v>67016.14</v>
      </c>
      <c r="M599">
        <v>44606.44</v>
      </c>
      <c r="N599">
        <v>36.594999999999999</v>
      </c>
      <c r="O599">
        <v>5.8380000000000001E-2</v>
      </c>
      <c r="P599">
        <v>7.3819999999999997</v>
      </c>
      <c r="Q599">
        <v>94.88</v>
      </c>
      <c r="R599">
        <v>157.26</v>
      </c>
      <c r="S599">
        <v>166.55</v>
      </c>
    </row>
    <row r="600" spans="1:19" x14ac:dyDescent="0.25">
      <c r="A600" s="6">
        <v>44761</v>
      </c>
      <c r="B600">
        <v>163.97</v>
      </c>
      <c r="C600">
        <v>249.99</v>
      </c>
      <c r="D600">
        <v>317.43</v>
      </c>
      <c r="E600">
        <v>342.5</v>
      </c>
      <c r="F600">
        <v>214.23</v>
      </c>
      <c r="G600">
        <v>104.22</v>
      </c>
      <c r="H600">
        <v>107.35</v>
      </c>
      <c r="I600">
        <v>103.78</v>
      </c>
      <c r="J600">
        <v>88.27</v>
      </c>
      <c r="K600">
        <v>22.85</v>
      </c>
      <c r="L600">
        <v>67785.039999999994</v>
      </c>
      <c r="M600">
        <v>44124.800000000003</v>
      </c>
      <c r="N600">
        <v>37.484999999999999</v>
      </c>
      <c r="O600">
        <v>5.849E-2</v>
      </c>
      <c r="P600">
        <v>7.15</v>
      </c>
      <c r="Q600">
        <v>96.81</v>
      </c>
      <c r="R600">
        <v>154.45500000000001</v>
      </c>
      <c r="S600">
        <v>165.25</v>
      </c>
    </row>
    <row r="601" spans="1:19" x14ac:dyDescent="0.25">
      <c r="A601" s="6">
        <v>44762</v>
      </c>
      <c r="B601">
        <v>163.97</v>
      </c>
      <c r="C601">
        <v>249.99</v>
      </c>
      <c r="D601">
        <v>317.43</v>
      </c>
      <c r="E601">
        <v>342.5</v>
      </c>
      <c r="F601">
        <v>214.23</v>
      </c>
      <c r="G601">
        <v>102.26</v>
      </c>
      <c r="H601">
        <v>106.92</v>
      </c>
      <c r="I601">
        <v>103.54</v>
      </c>
      <c r="J601">
        <v>89.24</v>
      </c>
      <c r="K601">
        <v>22.8</v>
      </c>
      <c r="L601">
        <v>67652.460000000006</v>
      </c>
      <c r="M601">
        <v>44004.43</v>
      </c>
      <c r="N601">
        <v>38.17</v>
      </c>
      <c r="O601">
        <v>5.8259999999999999E-2</v>
      </c>
      <c r="P601">
        <v>7.899</v>
      </c>
      <c r="Q601">
        <v>98.44</v>
      </c>
      <c r="R601">
        <v>155.04</v>
      </c>
      <c r="S601">
        <v>164.55</v>
      </c>
    </row>
    <row r="602" spans="1:19" x14ac:dyDescent="0.25">
      <c r="A602" s="6">
        <v>44763</v>
      </c>
      <c r="B602">
        <v>163.97</v>
      </c>
      <c r="C602">
        <v>249.99</v>
      </c>
      <c r="D602">
        <v>317.43</v>
      </c>
      <c r="E602">
        <v>342.5</v>
      </c>
      <c r="F602">
        <v>214.23</v>
      </c>
      <c r="G602">
        <v>96.35</v>
      </c>
      <c r="H602">
        <v>103.86</v>
      </c>
      <c r="I602">
        <v>102.55</v>
      </c>
      <c r="J602">
        <v>87.75</v>
      </c>
      <c r="K602">
        <v>21.7</v>
      </c>
      <c r="L602">
        <v>67907.240000000005</v>
      </c>
      <c r="M602">
        <v>43613.37</v>
      </c>
      <c r="N602">
        <v>38.094999999999999</v>
      </c>
      <c r="O602">
        <v>5.858E-2</v>
      </c>
      <c r="P602">
        <v>7.8150000000000004</v>
      </c>
      <c r="Q602">
        <v>99.47</v>
      </c>
      <c r="R602">
        <v>155.6</v>
      </c>
      <c r="S602">
        <v>163.44999999999999</v>
      </c>
    </row>
    <row r="603" spans="1:19" x14ac:dyDescent="0.25">
      <c r="A603" s="6">
        <v>44764</v>
      </c>
      <c r="B603">
        <v>144.63</v>
      </c>
      <c r="C603">
        <v>213.02</v>
      </c>
      <c r="D603">
        <v>285.76</v>
      </c>
      <c r="E603">
        <v>302.73</v>
      </c>
      <c r="F603">
        <v>225.35</v>
      </c>
      <c r="G603">
        <v>94.7</v>
      </c>
      <c r="H603">
        <v>103.2</v>
      </c>
      <c r="I603">
        <v>102.32</v>
      </c>
      <c r="J603">
        <v>87.08</v>
      </c>
      <c r="K603">
        <v>21.85</v>
      </c>
      <c r="L603">
        <v>68069.58</v>
      </c>
      <c r="M603">
        <v>45967.41</v>
      </c>
      <c r="N603">
        <v>38.99</v>
      </c>
      <c r="O603">
        <v>5.9360000000000003E-2</v>
      </c>
      <c r="P603">
        <v>8.1950000000000003</v>
      </c>
      <c r="Q603">
        <v>99.11</v>
      </c>
      <c r="R603">
        <v>159.86500000000001</v>
      </c>
      <c r="S603">
        <v>160.94999999999999</v>
      </c>
    </row>
    <row r="604" spans="1:19" x14ac:dyDescent="0.25">
      <c r="A604" s="6">
        <v>44767</v>
      </c>
      <c r="B604">
        <v>144.63</v>
      </c>
      <c r="C604">
        <v>213.02</v>
      </c>
      <c r="D604">
        <v>285.76</v>
      </c>
      <c r="E604">
        <v>302.73</v>
      </c>
      <c r="F604">
        <v>225.35</v>
      </c>
      <c r="G604">
        <v>96.7</v>
      </c>
      <c r="H604">
        <v>105.15</v>
      </c>
      <c r="I604">
        <v>102.63</v>
      </c>
      <c r="J604">
        <v>89.98</v>
      </c>
      <c r="K604">
        <v>22</v>
      </c>
      <c r="L604">
        <v>67749.789999999994</v>
      </c>
      <c r="M604">
        <v>44507.1</v>
      </c>
      <c r="N604">
        <v>39.39</v>
      </c>
      <c r="O604">
        <v>5.9490000000000001E-2</v>
      </c>
      <c r="P604">
        <v>8.5709999999999997</v>
      </c>
      <c r="Q604">
        <v>98.97</v>
      </c>
      <c r="R604">
        <v>176.61500000000001</v>
      </c>
      <c r="S604">
        <v>158.5</v>
      </c>
    </row>
    <row r="605" spans="1:19" x14ac:dyDescent="0.25">
      <c r="A605" s="6">
        <v>44768</v>
      </c>
      <c r="B605">
        <v>144.63</v>
      </c>
      <c r="C605">
        <v>213.02</v>
      </c>
      <c r="D605">
        <v>285.76</v>
      </c>
      <c r="E605">
        <v>302.73</v>
      </c>
      <c r="F605">
        <v>225.35</v>
      </c>
      <c r="G605">
        <v>94.98</v>
      </c>
      <c r="H605">
        <v>104.4</v>
      </c>
      <c r="I605">
        <v>102.66</v>
      </c>
      <c r="J605">
        <v>89.63</v>
      </c>
      <c r="K605">
        <v>22.6</v>
      </c>
      <c r="L605">
        <v>68421.8</v>
      </c>
      <c r="M605">
        <v>45560.45</v>
      </c>
      <c r="N605">
        <v>40.21</v>
      </c>
      <c r="O605">
        <v>5.8999999999999997E-2</v>
      </c>
      <c r="P605">
        <v>8.8249999999999993</v>
      </c>
      <c r="Q605">
        <v>97.64</v>
      </c>
      <c r="R605">
        <v>199.92</v>
      </c>
      <c r="S605">
        <v>154.15</v>
      </c>
    </row>
    <row r="606" spans="1:19" x14ac:dyDescent="0.25">
      <c r="A606" s="6">
        <v>44769</v>
      </c>
      <c r="B606">
        <v>144.63</v>
      </c>
      <c r="C606">
        <v>213.02</v>
      </c>
      <c r="D606">
        <v>285.76</v>
      </c>
      <c r="E606">
        <v>302.73</v>
      </c>
      <c r="F606">
        <v>225.35</v>
      </c>
      <c r="G606">
        <v>97.26</v>
      </c>
      <c r="H606">
        <v>106.62</v>
      </c>
      <c r="I606">
        <v>102.75</v>
      </c>
      <c r="J606">
        <v>91.57</v>
      </c>
      <c r="K606">
        <v>22.6</v>
      </c>
      <c r="L606">
        <v>68424.97</v>
      </c>
      <c r="M606">
        <v>45636.4</v>
      </c>
      <c r="N606">
        <v>43.13</v>
      </c>
      <c r="O606">
        <v>5.9839999999999997E-2</v>
      </c>
      <c r="P606">
        <v>8.5540000000000003</v>
      </c>
      <c r="Q606">
        <v>97.51</v>
      </c>
      <c r="R606">
        <v>205.22499999999999</v>
      </c>
      <c r="S606">
        <v>154.80000000000001</v>
      </c>
    </row>
    <row r="607" spans="1:19" x14ac:dyDescent="0.25">
      <c r="A607" s="6">
        <v>44770</v>
      </c>
      <c r="B607">
        <v>144.63</v>
      </c>
      <c r="C607">
        <v>213.02</v>
      </c>
      <c r="D607">
        <v>285.76</v>
      </c>
      <c r="E607">
        <v>302.73</v>
      </c>
      <c r="F607">
        <v>225.35</v>
      </c>
      <c r="G607">
        <v>96.42</v>
      </c>
      <c r="H607">
        <v>107.14</v>
      </c>
      <c r="I607">
        <v>102.8</v>
      </c>
      <c r="J607">
        <v>92.64</v>
      </c>
      <c r="K607">
        <v>22.65</v>
      </c>
      <c r="L607">
        <v>68610.75</v>
      </c>
      <c r="M607">
        <v>46292.2</v>
      </c>
      <c r="N607">
        <v>41.54</v>
      </c>
      <c r="O607">
        <v>6.062E-2</v>
      </c>
      <c r="P607">
        <v>8.1340000000000003</v>
      </c>
      <c r="Q607">
        <v>102.56</v>
      </c>
      <c r="R607">
        <v>198.93</v>
      </c>
      <c r="S607">
        <v>154.94999999999999</v>
      </c>
    </row>
    <row r="608" spans="1:19" x14ac:dyDescent="0.25">
      <c r="A608" s="6">
        <v>44771</v>
      </c>
      <c r="B608">
        <v>166.43</v>
      </c>
      <c r="C608">
        <v>239.95</v>
      </c>
      <c r="D608">
        <v>316.32</v>
      </c>
      <c r="E608">
        <v>321.62</v>
      </c>
      <c r="F608">
        <v>224.48</v>
      </c>
      <c r="G608">
        <v>98.62</v>
      </c>
      <c r="H608">
        <v>110.01</v>
      </c>
      <c r="I608">
        <v>103.12</v>
      </c>
      <c r="J608">
        <v>96.93</v>
      </c>
      <c r="K608">
        <v>22.15</v>
      </c>
      <c r="L608">
        <v>68934.009999999995</v>
      </c>
      <c r="M608">
        <v>47158.64</v>
      </c>
      <c r="N608">
        <v>42.225000000000001</v>
      </c>
      <c r="O608">
        <v>6.0049999999999999E-2</v>
      </c>
      <c r="P608">
        <v>8.2289999999999992</v>
      </c>
      <c r="Q608">
        <v>101.99</v>
      </c>
      <c r="R608">
        <v>190.91499999999999</v>
      </c>
      <c r="S608">
        <v>159.6</v>
      </c>
    </row>
    <row r="609" spans="1:19" x14ac:dyDescent="0.25">
      <c r="A609" s="6">
        <v>44774</v>
      </c>
      <c r="B609">
        <v>166.43</v>
      </c>
      <c r="C609">
        <v>239.95</v>
      </c>
      <c r="D609">
        <v>316.32</v>
      </c>
      <c r="E609">
        <v>321.62</v>
      </c>
      <c r="F609">
        <v>224.48</v>
      </c>
      <c r="G609">
        <v>93.89</v>
      </c>
      <c r="H609">
        <v>100.03</v>
      </c>
      <c r="I609">
        <v>97.87</v>
      </c>
      <c r="J609">
        <v>94.48</v>
      </c>
      <c r="K609">
        <v>22.2</v>
      </c>
      <c r="L609">
        <v>68642.59</v>
      </c>
      <c r="M609">
        <v>46999.56</v>
      </c>
      <c r="N609">
        <v>44.83</v>
      </c>
      <c r="O609">
        <v>6.0650000000000003E-2</v>
      </c>
      <c r="P609">
        <v>8.2829999999999995</v>
      </c>
      <c r="Q609">
        <v>100.4</v>
      </c>
      <c r="R609">
        <v>200.79499999999999</v>
      </c>
      <c r="S609">
        <v>166.8</v>
      </c>
    </row>
    <row r="610" spans="1:19" x14ac:dyDescent="0.25">
      <c r="A610" s="6">
        <v>44775</v>
      </c>
      <c r="B610">
        <v>166.43</v>
      </c>
      <c r="C610">
        <v>239.95</v>
      </c>
      <c r="D610">
        <v>316.32</v>
      </c>
      <c r="E610">
        <v>321.62</v>
      </c>
      <c r="F610">
        <v>224.48</v>
      </c>
      <c r="G610">
        <v>94.42</v>
      </c>
      <c r="H610">
        <v>100.54</v>
      </c>
      <c r="I610">
        <v>99.4</v>
      </c>
      <c r="J610">
        <v>94.07</v>
      </c>
      <c r="K610">
        <v>21.75</v>
      </c>
      <c r="L610">
        <v>68002.23</v>
      </c>
      <c r="M610">
        <v>47264.94</v>
      </c>
      <c r="N610">
        <v>45.28</v>
      </c>
      <c r="O610">
        <v>5.9389999999999998E-2</v>
      </c>
      <c r="P610">
        <v>7.7060000000000004</v>
      </c>
      <c r="Q610">
        <v>100.66</v>
      </c>
      <c r="R610">
        <v>205.17500000000001</v>
      </c>
      <c r="S610">
        <v>166.2</v>
      </c>
    </row>
    <row r="611" spans="1:19" x14ac:dyDescent="0.25">
      <c r="A611" s="6">
        <v>44776</v>
      </c>
      <c r="B611">
        <v>166.43</v>
      </c>
      <c r="C611">
        <v>239.95</v>
      </c>
      <c r="D611">
        <v>316.32</v>
      </c>
      <c r="E611">
        <v>321.62</v>
      </c>
      <c r="F611">
        <v>224.48</v>
      </c>
      <c r="G611">
        <v>90.66</v>
      </c>
      <c r="H611">
        <v>96.78</v>
      </c>
      <c r="I611">
        <v>95.97</v>
      </c>
      <c r="J611">
        <v>91.02</v>
      </c>
      <c r="K611">
        <v>21.7</v>
      </c>
      <c r="L611">
        <v>68610.570000000007</v>
      </c>
      <c r="M611">
        <v>46213.34</v>
      </c>
      <c r="N611">
        <v>45.95</v>
      </c>
      <c r="O611">
        <v>5.9659999999999998E-2</v>
      </c>
      <c r="P611">
        <v>8.266</v>
      </c>
      <c r="Q611">
        <v>103.02</v>
      </c>
      <c r="R611">
        <v>199.19499999999999</v>
      </c>
      <c r="S611">
        <v>166.35</v>
      </c>
    </row>
    <row r="612" spans="1:19" x14ac:dyDescent="0.25">
      <c r="A612" s="6">
        <v>44777</v>
      </c>
      <c r="B612">
        <v>166.43</v>
      </c>
      <c r="C612">
        <v>239.95</v>
      </c>
      <c r="D612">
        <v>316.32</v>
      </c>
      <c r="E612">
        <v>321.62</v>
      </c>
      <c r="F612">
        <v>224.48</v>
      </c>
      <c r="G612">
        <v>88.54</v>
      </c>
      <c r="H612">
        <v>94.12</v>
      </c>
      <c r="I612">
        <v>94.08</v>
      </c>
      <c r="J612">
        <v>87.19</v>
      </c>
      <c r="K612">
        <v>21.8</v>
      </c>
      <c r="L612">
        <v>68717.02</v>
      </c>
      <c r="M612">
        <v>46269.38</v>
      </c>
      <c r="N612">
        <v>44.604999999999997</v>
      </c>
      <c r="O612">
        <v>6.0159999999999998E-2</v>
      </c>
      <c r="P612">
        <v>8.1219999999999999</v>
      </c>
      <c r="Q612">
        <v>107.44</v>
      </c>
      <c r="R612">
        <v>199.25</v>
      </c>
      <c r="S612">
        <v>163.30000000000001</v>
      </c>
    </row>
    <row r="613" spans="1:19" x14ac:dyDescent="0.25">
      <c r="A613" s="6">
        <v>44778</v>
      </c>
      <c r="B613">
        <v>142.01</v>
      </c>
      <c r="C613">
        <v>210.93</v>
      </c>
      <c r="D613">
        <v>278.17</v>
      </c>
      <c r="E613">
        <v>319.38</v>
      </c>
      <c r="F613">
        <v>219.98</v>
      </c>
      <c r="G613">
        <v>89.01</v>
      </c>
      <c r="H613">
        <v>94.92</v>
      </c>
      <c r="I613">
        <v>94.41</v>
      </c>
      <c r="J613">
        <v>88.45</v>
      </c>
      <c r="K613">
        <v>21.45</v>
      </c>
      <c r="L613">
        <v>69519.27</v>
      </c>
      <c r="M613">
        <v>47378.42</v>
      </c>
      <c r="N613">
        <v>44.66</v>
      </c>
      <c r="O613">
        <v>5.9580000000000001E-2</v>
      </c>
      <c r="P613">
        <v>8.0640000000000001</v>
      </c>
      <c r="Q613">
        <v>105.02</v>
      </c>
      <c r="R613">
        <v>196.32</v>
      </c>
      <c r="S613">
        <v>165.5</v>
      </c>
    </row>
    <row r="614" spans="1:19" x14ac:dyDescent="0.25">
      <c r="A614" s="6">
        <v>44781</v>
      </c>
      <c r="B614">
        <v>142.01</v>
      </c>
      <c r="C614">
        <v>210.93</v>
      </c>
      <c r="D614">
        <v>278.17</v>
      </c>
      <c r="E614">
        <v>319.38</v>
      </c>
      <c r="F614">
        <v>219.98</v>
      </c>
      <c r="G614">
        <v>90.76</v>
      </c>
      <c r="H614">
        <v>96.65</v>
      </c>
      <c r="I614">
        <v>96.04</v>
      </c>
      <c r="J614">
        <v>88.95</v>
      </c>
      <c r="K614">
        <v>21.8</v>
      </c>
      <c r="L614">
        <v>70266.13</v>
      </c>
      <c r="M614">
        <v>49550.720000000001</v>
      </c>
      <c r="N614">
        <v>44.47</v>
      </c>
      <c r="O614">
        <v>6.0159999999999998E-2</v>
      </c>
      <c r="P614">
        <v>7.5890000000000004</v>
      </c>
      <c r="Q614">
        <v>104.3</v>
      </c>
      <c r="R614">
        <v>193.05500000000001</v>
      </c>
      <c r="S614">
        <v>165.9</v>
      </c>
    </row>
    <row r="615" spans="1:19" x14ac:dyDescent="0.25">
      <c r="A615" s="6">
        <v>44782</v>
      </c>
      <c r="B615">
        <v>142.01</v>
      </c>
      <c r="C615">
        <v>210.93</v>
      </c>
      <c r="D615">
        <v>278.17</v>
      </c>
      <c r="E615">
        <v>319.38</v>
      </c>
      <c r="F615">
        <v>219.98</v>
      </c>
      <c r="G615">
        <v>90.5</v>
      </c>
      <c r="H615">
        <v>96.31</v>
      </c>
      <c r="I615">
        <v>95.97</v>
      </c>
      <c r="J615">
        <v>90.59</v>
      </c>
      <c r="K615">
        <v>22.55</v>
      </c>
      <c r="L615">
        <v>70467.847837837413</v>
      </c>
      <c r="M615">
        <v>49142.542486485094</v>
      </c>
      <c r="N615">
        <v>44.62</v>
      </c>
      <c r="O615">
        <v>6.0220000000000003E-2</v>
      </c>
      <c r="P615">
        <v>7.8330000000000002</v>
      </c>
      <c r="Q615">
        <v>104.91</v>
      </c>
      <c r="R615">
        <v>192.185</v>
      </c>
      <c r="S615">
        <v>165</v>
      </c>
    </row>
    <row r="616" spans="1:19" x14ac:dyDescent="0.25">
      <c r="A616" s="6">
        <v>44783</v>
      </c>
      <c r="B616">
        <v>142.01</v>
      </c>
      <c r="C616">
        <v>210.93</v>
      </c>
      <c r="D616">
        <v>278.17</v>
      </c>
      <c r="E616">
        <v>319.38</v>
      </c>
      <c r="F616">
        <v>219.98</v>
      </c>
      <c r="G616">
        <v>91.93</v>
      </c>
      <c r="H616">
        <v>97.4</v>
      </c>
      <c r="I616">
        <v>96.87</v>
      </c>
      <c r="J616">
        <v>91.45</v>
      </c>
      <c r="K616">
        <v>22.4</v>
      </c>
      <c r="L616">
        <v>69744.899999999994</v>
      </c>
      <c r="M616">
        <v>49245.85</v>
      </c>
      <c r="N616">
        <v>44.71</v>
      </c>
      <c r="O616">
        <v>6.182E-2</v>
      </c>
      <c r="P616">
        <v>8.202</v>
      </c>
      <c r="Q616">
        <v>106.05</v>
      </c>
      <c r="R616">
        <v>205.36500000000001</v>
      </c>
      <c r="S616">
        <v>165</v>
      </c>
    </row>
    <row r="617" spans="1:19" x14ac:dyDescent="0.25">
      <c r="A617" s="6">
        <v>44784</v>
      </c>
      <c r="B617">
        <v>142.01</v>
      </c>
      <c r="C617">
        <v>210.93</v>
      </c>
      <c r="D617">
        <v>278.17</v>
      </c>
      <c r="E617">
        <v>319.38</v>
      </c>
      <c r="F617">
        <v>219.98</v>
      </c>
      <c r="G617">
        <v>94.34</v>
      </c>
      <c r="H617">
        <v>99.6</v>
      </c>
      <c r="I617">
        <v>98.18</v>
      </c>
      <c r="J617">
        <v>93.19</v>
      </c>
      <c r="K617">
        <v>22.55</v>
      </c>
      <c r="L617">
        <v>71264.77</v>
      </c>
      <c r="M617">
        <v>49703.41</v>
      </c>
      <c r="N617">
        <v>45.335000000000001</v>
      </c>
      <c r="O617">
        <v>6.1420000000000002E-2</v>
      </c>
      <c r="P617">
        <v>8.8740000000000006</v>
      </c>
      <c r="Q617">
        <v>106.63</v>
      </c>
      <c r="R617">
        <v>208.11</v>
      </c>
      <c r="S617">
        <v>163.80000000000001</v>
      </c>
    </row>
    <row r="618" spans="1:19" x14ac:dyDescent="0.25">
      <c r="A618" s="6">
        <v>44785</v>
      </c>
      <c r="B618">
        <v>135.46</v>
      </c>
      <c r="C618">
        <v>211.07</v>
      </c>
      <c r="D618">
        <v>279.91000000000003</v>
      </c>
      <c r="E618">
        <v>303.62</v>
      </c>
      <c r="F618">
        <v>222.25</v>
      </c>
      <c r="G618">
        <v>92.09</v>
      </c>
      <c r="H618">
        <v>98.15</v>
      </c>
      <c r="I618">
        <v>96.48</v>
      </c>
      <c r="J618">
        <v>94</v>
      </c>
      <c r="K618">
        <v>22.75</v>
      </c>
      <c r="L618">
        <v>70731.320000000007</v>
      </c>
      <c r="M618">
        <v>48424.59</v>
      </c>
      <c r="N618">
        <v>45.39</v>
      </c>
      <c r="O618">
        <v>6.1539999999999997E-2</v>
      </c>
      <c r="P618">
        <v>8.7680000000000007</v>
      </c>
      <c r="Q618">
        <v>109.68</v>
      </c>
      <c r="R618">
        <v>206.11</v>
      </c>
      <c r="S618">
        <v>165.15</v>
      </c>
    </row>
    <row r="619" spans="1:19" x14ac:dyDescent="0.25">
      <c r="A619" s="6">
        <v>44788</v>
      </c>
      <c r="B619">
        <v>135.46</v>
      </c>
      <c r="C619">
        <v>211.07</v>
      </c>
      <c r="D619">
        <v>279.91000000000003</v>
      </c>
      <c r="E619">
        <v>303.62</v>
      </c>
      <c r="F619">
        <v>222.25</v>
      </c>
      <c r="G619">
        <v>89.41</v>
      </c>
      <c r="H619">
        <v>95.1</v>
      </c>
      <c r="I619">
        <v>94.97</v>
      </c>
      <c r="J619">
        <v>92.32</v>
      </c>
      <c r="K619">
        <v>22.7</v>
      </c>
      <c r="L619">
        <v>70740.63</v>
      </c>
      <c r="M619">
        <v>47755.85</v>
      </c>
      <c r="N619">
        <v>45.442999999999998</v>
      </c>
      <c r="O619">
        <v>6.0749999999999998E-2</v>
      </c>
      <c r="P619">
        <v>8.7279999999999998</v>
      </c>
      <c r="Q619">
        <v>109.6</v>
      </c>
      <c r="R619">
        <v>220.11</v>
      </c>
      <c r="S619">
        <v>171.85</v>
      </c>
    </row>
    <row r="620" spans="1:19" x14ac:dyDescent="0.25">
      <c r="A620" s="6">
        <v>44789</v>
      </c>
      <c r="B620">
        <v>135.46</v>
      </c>
      <c r="C620">
        <v>211.07</v>
      </c>
      <c r="D620">
        <v>279.91000000000003</v>
      </c>
      <c r="E620">
        <v>303.62</v>
      </c>
      <c r="F620">
        <v>222.25</v>
      </c>
      <c r="G620">
        <v>86.53</v>
      </c>
      <c r="H620">
        <v>92.34</v>
      </c>
      <c r="I620">
        <v>93.46</v>
      </c>
      <c r="J620">
        <v>91.46</v>
      </c>
      <c r="K620">
        <v>22.8</v>
      </c>
      <c r="L620">
        <v>71504.69</v>
      </c>
      <c r="M620">
        <v>48631.38</v>
      </c>
      <c r="N620">
        <v>56.715000000000003</v>
      </c>
      <c r="O620">
        <v>6.1030000000000001E-2</v>
      </c>
      <c r="P620">
        <v>9.3290000000000006</v>
      </c>
      <c r="Q620">
        <v>111.06</v>
      </c>
      <c r="R620">
        <v>225.91499999999999</v>
      </c>
      <c r="S620">
        <v>171.85</v>
      </c>
    </row>
    <row r="621" spans="1:19" x14ac:dyDescent="0.25">
      <c r="A621" s="6">
        <v>44790</v>
      </c>
      <c r="B621">
        <v>135.46</v>
      </c>
      <c r="C621">
        <v>211.07</v>
      </c>
      <c r="D621">
        <v>279.91000000000003</v>
      </c>
      <c r="E621">
        <v>303.62</v>
      </c>
      <c r="F621">
        <v>222.25</v>
      </c>
      <c r="G621">
        <v>88.11</v>
      </c>
      <c r="H621">
        <v>93.65</v>
      </c>
      <c r="I621">
        <v>94.04</v>
      </c>
      <c r="J621">
        <v>92.2</v>
      </c>
      <c r="K621">
        <v>22.95</v>
      </c>
      <c r="L621">
        <v>70967.350000000006</v>
      </c>
      <c r="M621">
        <v>47533.71</v>
      </c>
      <c r="N621">
        <v>56.82</v>
      </c>
      <c r="O621">
        <v>6.003E-2</v>
      </c>
      <c r="P621">
        <v>9.2439999999999998</v>
      </c>
      <c r="Q621">
        <v>111.7</v>
      </c>
      <c r="R621">
        <v>225.83500000000001</v>
      </c>
      <c r="S621">
        <v>172.6</v>
      </c>
    </row>
    <row r="622" spans="1:19" x14ac:dyDescent="0.25">
      <c r="A622" s="6">
        <v>44791</v>
      </c>
      <c r="B622">
        <v>135.46</v>
      </c>
      <c r="C622">
        <v>211.07</v>
      </c>
      <c r="D622">
        <v>279.91000000000003</v>
      </c>
      <c r="E622">
        <v>303.62</v>
      </c>
      <c r="F622">
        <v>222.25</v>
      </c>
      <c r="G622">
        <v>90.5</v>
      </c>
      <c r="H622">
        <v>96.59</v>
      </c>
      <c r="I622">
        <v>95.18</v>
      </c>
      <c r="J622">
        <v>94.38</v>
      </c>
      <c r="K622">
        <v>22.85</v>
      </c>
      <c r="L622">
        <v>71011.38</v>
      </c>
      <c r="M622">
        <v>47273.33</v>
      </c>
      <c r="N622">
        <v>57.6</v>
      </c>
      <c r="O622">
        <v>5.926E-2</v>
      </c>
      <c r="P622">
        <v>9.1880000000000006</v>
      </c>
      <c r="Q622">
        <v>112.62</v>
      </c>
      <c r="R622">
        <v>241.005</v>
      </c>
      <c r="S622">
        <v>166.35</v>
      </c>
    </row>
    <row r="623" spans="1:19" x14ac:dyDescent="0.25">
      <c r="A623" s="6">
        <v>44792</v>
      </c>
      <c r="B623">
        <v>161.43</v>
      </c>
      <c r="C623">
        <v>244.45</v>
      </c>
      <c r="D623">
        <v>314.10000000000002</v>
      </c>
      <c r="E623">
        <v>346.77</v>
      </c>
      <c r="F623">
        <v>210.12</v>
      </c>
      <c r="G623">
        <v>90.77</v>
      </c>
      <c r="H623">
        <v>96.72</v>
      </c>
      <c r="I623">
        <v>95.39</v>
      </c>
      <c r="J623">
        <v>94.08</v>
      </c>
      <c r="K623">
        <v>23.5</v>
      </c>
      <c r="L623">
        <v>69719.429999999993</v>
      </c>
      <c r="M623">
        <v>45649.97</v>
      </c>
      <c r="N623">
        <v>57.02</v>
      </c>
      <c r="O623">
        <v>5.8779999999999999E-2</v>
      </c>
      <c r="P623">
        <v>9.3360000000000003</v>
      </c>
      <c r="Q623">
        <v>109.09</v>
      </c>
      <c r="R623">
        <v>244.55</v>
      </c>
      <c r="S623">
        <v>163.75</v>
      </c>
    </row>
    <row r="624" spans="1:19" x14ac:dyDescent="0.25">
      <c r="A624" s="6">
        <v>44795</v>
      </c>
      <c r="B624">
        <v>161.43</v>
      </c>
      <c r="C624">
        <v>244.45</v>
      </c>
      <c r="D624">
        <v>314.10000000000002</v>
      </c>
      <c r="E624">
        <v>346.77</v>
      </c>
      <c r="F624">
        <v>210.12</v>
      </c>
      <c r="G624">
        <v>90.23</v>
      </c>
      <c r="H624">
        <v>95.81</v>
      </c>
      <c r="I624">
        <v>95.39</v>
      </c>
      <c r="J624">
        <v>94.01</v>
      </c>
      <c r="K624">
        <v>24</v>
      </c>
      <c r="L624">
        <v>69195.600000000006</v>
      </c>
      <c r="M624">
        <v>45481.99</v>
      </c>
      <c r="N624">
        <v>57.82</v>
      </c>
      <c r="O624">
        <v>5.8790000000000002E-2</v>
      </c>
      <c r="P624">
        <v>9.6470000000000002</v>
      </c>
      <c r="Q624">
        <v>107.83</v>
      </c>
      <c r="R624">
        <v>276.75</v>
      </c>
      <c r="S624">
        <v>157.1</v>
      </c>
    </row>
    <row r="625" spans="1:19" x14ac:dyDescent="0.25">
      <c r="A625" s="6">
        <v>44796</v>
      </c>
      <c r="B625">
        <v>161.43</v>
      </c>
      <c r="C625">
        <v>244.45</v>
      </c>
      <c r="D625">
        <v>314.10000000000002</v>
      </c>
      <c r="E625">
        <v>346.77</v>
      </c>
      <c r="F625">
        <v>210.12</v>
      </c>
      <c r="G625">
        <v>93.74</v>
      </c>
      <c r="H625">
        <v>99.17</v>
      </c>
      <c r="I625">
        <v>96.41</v>
      </c>
      <c r="J625">
        <v>98</v>
      </c>
      <c r="K625">
        <v>24.5</v>
      </c>
      <c r="L625">
        <v>69772.27</v>
      </c>
      <c r="M625">
        <v>46511.48</v>
      </c>
      <c r="N625">
        <v>56.33</v>
      </c>
      <c r="O625">
        <v>5.883E-2</v>
      </c>
      <c r="P625">
        <v>9.1549999999999994</v>
      </c>
      <c r="Q625">
        <v>106.45</v>
      </c>
      <c r="R625">
        <v>269.05</v>
      </c>
      <c r="S625">
        <v>157.9</v>
      </c>
    </row>
    <row r="626" spans="1:19" x14ac:dyDescent="0.25">
      <c r="A626" s="6">
        <v>44797</v>
      </c>
      <c r="B626">
        <v>161.43</v>
      </c>
      <c r="C626">
        <v>244.45</v>
      </c>
      <c r="D626">
        <v>314.10000000000002</v>
      </c>
      <c r="E626">
        <v>346.77</v>
      </c>
      <c r="F626">
        <v>210.12</v>
      </c>
      <c r="G626">
        <v>94.89</v>
      </c>
      <c r="H626">
        <v>100.34</v>
      </c>
      <c r="I626">
        <v>96.46</v>
      </c>
      <c r="J626">
        <v>98.58</v>
      </c>
      <c r="K626">
        <v>24.6</v>
      </c>
      <c r="L626">
        <v>69808.710000000006</v>
      </c>
      <c r="M626">
        <v>46719.16</v>
      </c>
      <c r="N626">
        <v>66.254999999999995</v>
      </c>
      <c r="O626">
        <v>5.885E-2</v>
      </c>
      <c r="P626">
        <v>9.3000000000000007</v>
      </c>
      <c r="Q626">
        <v>106.92</v>
      </c>
      <c r="R626">
        <v>292.14999999999998</v>
      </c>
      <c r="S626">
        <v>159.85</v>
      </c>
    </row>
    <row r="627" spans="1:19" x14ac:dyDescent="0.25">
      <c r="A627" s="6">
        <v>44798</v>
      </c>
      <c r="B627">
        <v>161.43</v>
      </c>
      <c r="C627">
        <v>244.45</v>
      </c>
      <c r="D627">
        <v>314.10000000000002</v>
      </c>
      <c r="E627">
        <v>346.77</v>
      </c>
      <c r="F627">
        <v>210.12</v>
      </c>
      <c r="G627">
        <v>92.52</v>
      </c>
      <c r="H627">
        <v>98.46</v>
      </c>
      <c r="I627">
        <v>96.23</v>
      </c>
      <c r="J627">
        <v>99.09</v>
      </c>
      <c r="K627">
        <v>25.75</v>
      </c>
      <c r="L627">
        <v>70340.7</v>
      </c>
      <c r="M627">
        <v>47369.18</v>
      </c>
      <c r="N627">
        <v>69.954999999999998</v>
      </c>
      <c r="O627">
        <v>5.9619999999999999E-2</v>
      </c>
      <c r="P627">
        <v>9.375</v>
      </c>
      <c r="Q627">
        <v>107.01</v>
      </c>
      <c r="R627">
        <v>321.41500000000002</v>
      </c>
      <c r="S627">
        <v>159.1</v>
      </c>
    </row>
    <row r="628" spans="1:19" x14ac:dyDescent="0.25">
      <c r="A628" s="6">
        <v>44799</v>
      </c>
      <c r="B628">
        <v>156.81</v>
      </c>
      <c r="C628">
        <v>250.45</v>
      </c>
      <c r="D628">
        <v>317.77</v>
      </c>
      <c r="E628">
        <v>361.63</v>
      </c>
      <c r="F628">
        <v>214.47</v>
      </c>
      <c r="G628">
        <v>93.06</v>
      </c>
      <c r="H628">
        <v>99.01</v>
      </c>
      <c r="I628">
        <v>96.53</v>
      </c>
      <c r="J628">
        <v>97.87</v>
      </c>
      <c r="K628">
        <v>25.55</v>
      </c>
      <c r="L628">
        <v>70173.09</v>
      </c>
      <c r="M628">
        <v>47665.19</v>
      </c>
      <c r="N628">
        <v>68.8</v>
      </c>
      <c r="O628">
        <v>5.9209999999999999E-2</v>
      </c>
      <c r="P628">
        <v>9.2959999999999994</v>
      </c>
      <c r="Q628">
        <v>103.59</v>
      </c>
      <c r="R628">
        <v>339.19499999999999</v>
      </c>
      <c r="S628">
        <v>159.44999999999999</v>
      </c>
    </row>
    <row r="629" spans="1:19" x14ac:dyDescent="0.25">
      <c r="A629" s="6">
        <v>44802</v>
      </c>
      <c r="B629">
        <v>156.81</v>
      </c>
      <c r="C629">
        <v>250.45</v>
      </c>
      <c r="D629">
        <v>317.77</v>
      </c>
      <c r="E629">
        <v>361.63</v>
      </c>
      <c r="F629">
        <v>214.47</v>
      </c>
      <c r="G629">
        <v>97.01</v>
      </c>
      <c r="H629">
        <v>102.93</v>
      </c>
      <c r="I629">
        <v>96.88</v>
      </c>
      <c r="J629">
        <v>100.12</v>
      </c>
      <c r="K629">
        <v>25.55</v>
      </c>
      <c r="L629">
        <v>69207.02</v>
      </c>
      <c r="M629">
        <v>45543.48</v>
      </c>
      <c r="N629">
        <v>68.665000000000006</v>
      </c>
      <c r="O629">
        <v>5.9360000000000003E-2</v>
      </c>
      <c r="P629">
        <v>9.3529999999999998</v>
      </c>
      <c r="Q629">
        <v>101.59</v>
      </c>
      <c r="R629">
        <v>272.60500000000002</v>
      </c>
      <c r="S629">
        <v>158.05000000000001</v>
      </c>
    </row>
    <row r="630" spans="1:19" x14ac:dyDescent="0.25">
      <c r="A630" s="6">
        <v>44803</v>
      </c>
      <c r="B630">
        <v>156.81</v>
      </c>
      <c r="C630">
        <v>250.45</v>
      </c>
      <c r="D630">
        <v>317.77</v>
      </c>
      <c r="E630">
        <v>361.63</v>
      </c>
      <c r="F630">
        <v>214.47</v>
      </c>
      <c r="G630">
        <v>91.64</v>
      </c>
      <c r="H630">
        <v>97.84</v>
      </c>
      <c r="I630">
        <v>96.51</v>
      </c>
      <c r="J630">
        <v>96.31</v>
      </c>
      <c r="K630">
        <v>25.05</v>
      </c>
      <c r="L630">
        <v>67900.479999999996</v>
      </c>
      <c r="M630">
        <v>43857.9</v>
      </c>
      <c r="N630">
        <v>58.744999999999997</v>
      </c>
      <c r="O630">
        <v>5.8860000000000003E-2</v>
      </c>
      <c r="P630">
        <v>9.0419999999999998</v>
      </c>
      <c r="Q630">
        <v>100.51</v>
      </c>
      <c r="R630">
        <v>252.93700000000001</v>
      </c>
      <c r="S630">
        <v>161</v>
      </c>
    </row>
    <row r="631" spans="1:19" x14ac:dyDescent="0.25">
      <c r="A631" s="6">
        <v>44804</v>
      </c>
      <c r="B631">
        <v>156.81</v>
      </c>
      <c r="C631">
        <v>250.45</v>
      </c>
      <c r="D631">
        <v>317.77</v>
      </c>
      <c r="E631">
        <v>361.63</v>
      </c>
      <c r="F631">
        <v>214.47</v>
      </c>
      <c r="G631">
        <v>89.55</v>
      </c>
      <c r="H631">
        <v>96.49</v>
      </c>
      <c r="I631">
        <v>96.6</v>
      </c>
      <c r="J631">
        <v>95.59</v>
      </c>
      <c r="K631">
        <v>24.7</v>
      </c>
      <c r="L631">
        <v>67257.14</v>
      </c>
      <c r="M631">
        <v>44157.42</v>
      </c>
      <c r="N631">
        <v>53.95</v>
      </c>
      <c r="O631">
        <v>5.8400000000000001E-2</v>
      </c>
      <c r="P631">
        <v>9.1270000000000007</v>
      </c>
      <c r="Q631">
        <v>100.85</v>
      </c>
      <c r="R631">
        <v>239.905</v>
      </c>
      <c r="S631">
        <v>160.19999999999999</v>
      </c>
    </row>
    <row r="632" spans="1:19" x14ac:dyDescent="0.25">
      <c r="A632" s="6">
        <v>44805</v>
      </c>
      <c r="B632">
        <v>156.81</v>
      </c>
      <c r="C632">
        <v>250.45</v>
      </c>
      <c r="D632">
        <v>317.77</v>
      </c>
      <c r="E632">
        <v>361.63</v>
      </c>
      <c r="F632">
        <v>214.47</v>
      </c>
      <c r="G632">
        <v>86.61</v>
      </c>
      <c r="H632">
        <v>92.36</v>
      </c>
      <c r="I632">
        <v>92.08</v>
      </c>
      <c r="J632">
        <v>93.87</v>
      </c>
      <c r="K632">
        <v>24.95</v>
      </c>
      <c r="L632">
        <v>66021.710000000006</v>
      </c>
      <c r="M632">
        <v>42165.48</v>
      </c>
      <c r="N632">
        <v>59.155000000000001</v>
      </c>
      <c r="O632">
        <v>5.7849999999999999E-2</v>
      </c>
      <c r="P632">
        <v>9.2620000000000005</v>
      </c>
      <c r="Q632">
        <v>102.04</v>
      </c>
      <c r="R632">
        <v>243.005</v>
      </c>
      <c r="S632">
        <v>160.19999999999999</v>
      </c>
    </row>
    <row r="633" spans="1:19" x14ac:dyDescent="0.25">
      <c r="A633" s="6">
        <v>44806</v>
      </c>
      <c r="B633">
        <v>149.02000000000001</v>
      </c>
      <c r="C633">
        <v>245.77</v>
      </c>
      <c r="D633">
        <v>313.05</v>
      </c>
      <c r="E633">
        <v>335.58</v>
      </c>
      <c r="F633">
        <v>223.82</v>
      </c>
      <c r="G633">
        <v>86.87</v>
      </c>
      <c r="H633">
        <v>93.02</v>
      </c>
      <c r="I633">
        <v>92.6</v>
      </c>
      <c r="J633">
        <v>95.59</v>
      </c>
      <c r="K633">
        <v>24.8</v>
      </c>
      <c r="L633">
        <v>67378.31</v>
      </c>
      <c r="M633">
        <v>44022.06</v>
      </c>
      <c r="N633">
        <v>55.244999999999997</v>
      </c>
      <c r="O633">
        <v>5.7750000000000003E-2</v>
      </c>
      <c r="P633">
        <v>8.7859999999999996</v>
      </c>
      <c r="Q633">
        <v>101.28</v>
      </c>
      <c r="R633">
        <v>214.66499999999999</v>
      </c>
      <c r="S633">
        <v>158</v>
      </c>
    </row>
    <row r="634" spans="1:19" x14ac:dyDescent="0.25">
      <c r="A634" s="6">
        <v>44809</v>
      </c>
      <c r="B634">
        <v>149.02000000000001</v>
      </c>
      <c r="C634">
        <v>245.77</v>
      </c>
      <c r="D634">
        <v>313.05</v>
      </c>
      <c r="E634">
        <v>335.58</v>
      </c>
      <c r="F634">
        <v>223.82</v>
      </c>
      <c r="G634">
        <v>88.96</v>
      </c>
      <c r="H634">
        <v>95.74</v>
      </c>
      <c r="I634">
        <v>92.864999999999995</v>
      </c>
      <c r="J634">
        <v>95.27000000000001</v>
      </c>
      <c r="K634">
        <v>25.75</v>
      </c>
      <c r="L634">
        <v>67399.39</v>
      </c>
      <c r="M634">
        <v>44650.51</v>
      </c>
      <c r="N634">
        <v>48.154324324306799</v>
      </c>
      <c r="O634">
        <v>5.824E-2</v>
      </c>
      <c r="P634">
        <v>8.7140000000000004</v>
      </c>
      <c r="Q634">
        <v>100.595</v>
      </c>
      <c r="R634">
        <v>227.2525</v>
      </c>
      <c r="S634">
        <v>160.65</v>
      </c>
    </row>
    <row r="635" spans="1:19" x14ac:dyDescent="0.25">
      <c r="A635" s="6">
        <v>44810</v>
      </c>
      <c r="B635">
        <v>149.02000000000001</v>
      </c>
      <c r="C635">
        <v>245.77</v>
      </c>
      <c r="D635">
        <v>313.05</v>
      </c>
      <c r="E635">
        <v>335.58</v>
      </c>
      <c r="F635">
        <v>223.82</v>
      </c>
      <c r="G635">
        <v>86.88</v>
      </c>
      <c r="H635">
        <v>92.83</v>
      </c>
      <c r="I635">
        <v>93.13</v>
      </c>
      <c r="J635">
        <v>94.95</v>
      </c>
      <c r="K635">
        <v>26.05</v>
      </c>
      <c r="L635">
        <v>67538.77</v>
      </c>
      <c r="M635">
        <v>44380.34</v>
      </c>
      <c r="N635">
        <v>54.69</v>
      </c>
      <c r="O635">
        <v>5.781E-2</v>
      </c>
      <c r="P635">
        <v>8.1449999999999996</v>
      </c>
      <c r="Q635">
        <v>99.91</v>
      </c>
      <c r="R635">
        <v>239.84</v>
      </c>
      <c r="S635">
        <v>159.4</v>
      </c>
    </row>
    <row r="636" spans="1:19" x14ac:dyDescent="0.25">
      <c r="A636" s="6">
        <v>44811</v>
      </c>
      <c r="B636">
        <v>149.02000000000001</v>
      </c>
      <c r="C636">
        <v>245.77</v>
      </c>
      <c r="D636">
        <v>313.05</v>
      </c>
      <c r="E636">
        <v>335.58</v>
      </c>
      <c r="F636">
        <v>223.82</v>
      </c>
      <c r="G636">
        <v>81.94</v>
      </c>
      <c r="H636">
        <v>88</v>
      </c>
      <c r="I636">
        <v>89.36</v>
      </c>
      <c r="J636">
        <v>94.14</v>
      </c>
      <c r="K636">
        <v>25.75</v>
      </c>
      <c r="L636">
        <v>66715.83</v>
      </c>
      <c r="M636">
        <v>44443.06</v>
      </c>
      <c r="N636">
        <v>55.2</v>
      </c>
      <c r="O636">
        <v>5.7840000000000003E-2</v>
      </c>
      <c r="P636">
        <v>7.8419999999999996</v>
      </c>
      <c r="Q636">
        <v>102.3</v>
      </c>
      <c r="R636">
        <v>213.88499999999999</v>
      </c>
      <c r="S636">
        <v>158.69999999999999</v>
      </c>
    </row>
    <row r="637" spans="1:19" x14ac:dyDescent="0.25">
      <c r="A637" s="6">
        <v>44812</v>
      </c>
      <c r="B637">
        <v>149.02000000000001</v>
      </c>
      <c r="C637">
        <v>245.77</v>
      </c>
      <c r="D637">
        <v>313.05</v>
      </c>
      <c r="E637">
        <v>335.58</v>
      </c>
      <c r="F637">
        <v>223.82</v>
      </c>
      <c r="G637">
        <v>83.54</v>
      </c>
      <c r="H637">
        <v>88.62</v>
      </c>
      <c r="I637">
        <v>90.17</v>
      </c>
      <c r="J637">
        <v>94.91</v>
      </c>
      <c r="K637">
        <v>25.25</v>
      </c>
      <c r="L637">
        <v>67260.23</v>
      </c>
      <c r="M637">
        <v>44893.34</v>
      </c>
      <c r="N637">
        <v>52.835000000000001</v>
      </c>
      <c r="O637">
        <v>5.7070000000000003E-2</v>
      </c>
      <c r="P637">
        <v>7.9539999999999997</v>
      </c>
      <c r="Q637">
        <v>103.21</v>
      </c>
      <c r="R637">
        <v>220.54</v>
      </c>
      <c r="S637">
        <v>160</v>
      </c>
    </row>
    <row r="638" spans="1:19" x14ac:dyDescent="0.25">
      <c r="A638" s="6">
        <v>44813</v>
      </c>
      <c r="B638">
        <v>146.72999999999999</v>
      </c>
      <c r="C638">
        <v>239.97</v>
      </c>
      <c r="D638">
        <v>305.48</v>
      </c>
      <c r="E638">
        <v>324.56</v>
      </c>
      <c r="F638">
        <v>213.11</v>
      </c>
      <c r="G638">
        <v>86.79</v>
      </c>
      <c r="H638">
        <v>92.84</v>
      </c>
      <c r="I638">
        <v>92.78</v>
      </c>
      <c r="J638">
        <v>96.5</v>
      </c>
      <c r="K638">
        <v>25.7</v>
      </c>
      <c r="L638">
        <v>68708.479999999996</v>
      </c>
      <c r="M638">
        <v>46097.71</v>
      </c>
      <c r="N638">
        <v>53.9</v>
      </c>
      <c r="O638">
        <v>5.7750000000000003E-2</v>
      </c>
      <c r="P638">
        <v>7.9960000000000004</v>
      </c>
      <c r="Q638">
        <v>103.4</v>
      </c>
      <c r="R638">
        <v>207.09</v>
      </c>
      <c r="S638">
        <v>159.4</v>
      </c>
    </row>
    <row r="639" spans="1:19" x14ac:dyDescent="0.25">
      <c r="A639" s="6">
        <v>44816</v>
      </c>
      <c r="B639">
        <v>146.72999999999999</v>
      </c>
      <c r="C639">
        <v>239.97</v>
      </c>
      <c r="D639">
        <v>305.48</v>
      </c>
      <c r="E639">
        <v>324.56</v>
      </c>
      <c r="F639">
        <v>213.11</v>
      </c>
      <c r="G639">
        <v>87.78</v>
      </c>
      <c r="H639">
        <v>94</v>
      </c>
      <c r="I639">
        <v>93.36</v>
      </c>
      <c r="J639">
        <v>97.61</v>
      </c>
      <c r="K639">
        <v>26.08918918918971</v>
      </c>
      <c r="L639">
        <v>69772.41</v>
      </c>
      <c r="M639">
        <v>47063.040000000001</v>
      </c>
      <c r="N639">
        <v>53.125</v>
      </c>
      <c r="O639">
        <v>5.8369999999999998E-2</v>
      </c>
      <c r="P639">
        <v>8.2490000000000006</v>
      </c>
      <c r="Q639">
        <v>104.09</v>
      </c>
      <c r="R639">
        <v>190.59</v>
      </c>
      <c r="S639">
        <v>163.1</v>
      </c>
    </row>
    <row r="640" spans="1:19" x14ac:dyDescent="0.25">
      <c r="A640" s="6">
        <v>44817</v>
      </c>
      <c r="B640">
        <v>146.72999999999999</v>
      </c>
      <c r="C640">
        <v>239.97</v>
      </c>
      <c r="D640">
        <v>305.48</v>
      </c>
      <c r="E640">
        <v>324.56</v>
      </c>
      <c r="F640">
        <v>213.11</v>
      </c>
      <c r="G640">
        <v>87.31</v>
      </c>
      <c r="H640">
        <v>93.17</v>
      </c>
      <c r="I640">
        <v>92.51</v>
      </c>
      <c r="J640">
        <v>95.33</v>
      </c>
      <c r="K640">
        <v>25.8</v>
      </c>
      <c r="L640">
        <v>68273.710000000006</v>
      </c>
      <c r="M640">
        <v>45774.69</v>
      </c>
      <c r="N640">
        <v>53.034999999999997</v>
      </c>
      <c r="O640">
        <v>5.7270000000000001E-2</v>
      </c>
      <c r="P640">
        <v>8.2840000000000007</v>
      </c>
      <c r="Q640">
        <v>99.86</v>
      </c>
      <c r="R640">
        <v>198.61</v>
      </c>
      <c r="S640">
        <v>163.05000000000001</v>
      </c>
    </row>
    <row r="641" spans="1:19" x14ac:dyDescent="0.25">
      <c r="A641" s="6">
        <v>44818</v>
      </c>
      <c r="B641">
        <v>146.72999999999999</v>
      </c>
      <c r="C641">
        <v>239.97</v>
      </c>
      <c r="D641">
        <v>305.48</v>
      </c>
      <c r="E641">
        <v>324.56</v>
      </c>
      <c r="F641">
        <v>213.11</v>
      </c>
      <c r="G641">
        <v>88.48</v>
      </c>
      <c r="H641">
        <v>94.1</v>
      </c>
      <c r="I641">
        <v>93.35</v>
      </c>
      <c r="J641">
        <v>97.67</v>
      </c>
      <c r="K641">
        <v>25.7</v>
      </c>
      <c r="L641">
        <v>67964.02</v>
      </c>
      <c r="M641">
        <v>45917.78</v>
      </c>
      <c r="N641">
        <v>53.075000000000003</v>
      </c>
      <c r="O641">
        <v>5.7200000000000001E-2</v>
      </c>
      <c r="P641">
        <v>9.1140000000000008</v>
      </c>
      <c r="Q641">
        <v>99.86</v>
      </c>
      <c r="R641">
        <v>217.88</v>
      </c>
      <c r="S641">
        <v>163.19999999999999</v>
      </c>
    </row>
    <row r="642" spans="1:19" x14ac:dyDescent="0.25">
      <c r="A642" s="6">
        <v>44819</v>
      </c>
      <c r="B642">
        <v>146.72999999999999</v>
      </c>
      <c r="C642">
        <v>239.97</v>
      </c>
      <c r="D642">
        <v>305.48</v>
      </c>
      <c r="E642">
        <v>324.56</v>
      </c>
      <c r="F642">
        <v>213.11</v>
      </c>
      <c r="G642">
        <v>85.1</v>
      </c>
      <c r="H642">
        <v>90.84</v>
      </c>
      <c r="I642">
        <v>91.98</v>
      </c>
      <c r="J642">
        <v>94.83</v>
      </c>
      <c r="K642">
        <v>25.7</v>
      </c>
      <c r="L642">
        <v>67568.259999999995</v>
      </c>
      <c r="M642">
        <v>45033.36</v>
      </c>
      <c r="N642">
        <v>53.508000000000003</v>
      </c>
      <c r="O642">
        <v>5.6860000000000001E-2</v>
      </c>
      <c r="P642">
        <v>8.3239999999999998</v>
      </c>
      <c r="Q642">
        <v>98.39</v>
      </c>
      <c r="R642">
        <v>214.285</v>
      </c>
      <c r="S642">
        <v>162.6</v>
      </c>
    </row>
    <row r="643" spans="1:19" x14ac:dyDescent="0.25">
      <c r="A643" s="6">
        <v>44820</v>
      </c>
      <c r="B643">
        <v>131.83000000000001</v>
      </c>
      <c r="C643">
        <v>205.34</v>
      </c>
      <c r="D643">
        <v>268.75</v>
      </c>
      <c r="E643">
        <v>281.10000000000002</v>
      </c>
      <c r="F643">
        <v>211.47</v>
      </c>
      <c r="G643">
        <v>85.11</v>
      </c>
      <c r="H643">
        <v>91.35</v>
      </c>
      <c r="I643">
        <v>92.26</v>
      </c>
      <c r="J643">
        <v>93.21</v>
      </c>
      <c r="K643">
        <v>24.55</v>
      </c>
      <c r="L643">
        <v>66584.34</v>
      </c>
      <c r="M643">
        <v>44562.81</v>
      </c>
      <c r="N643">
        <v>42.16</v>
      </c>
      <c r="O643">
        <v>5.6739999999999999E-2</v>
      </c>
      <c r="P643">
        <v>7.7640000000000002</v>
      </c>
      <c r="Q643">
        <v>97.27</v>
      </c>
      <c r="R643">
        <v>187.79499999999999</v>
      </c>
      <c r="S643">
        <v>156.85</v>
      </c>
    </row>
    <row r="644" spans="1:19" x14ac:dyDescent="0.25">
      <c r="A644" s="6">
        <v>44823</v>
      </c>
      <c r="B644">
        <v>131.83000000000001</v>
      </c>
      <c r="C644">
        <v>205.34</v>
      </c>
      <c r="D644">
        <v>268.75</v>
      </c>
      <c r="E644">
        <v>281.10000000000002</v>
      </c>
      <c r="F644">
        <v>211.47</v>
      </c>
      <c r="G644">
        <v>85.73</v>
      </c>
      <c r="H644">
        <v>92</v>
      </c>
      <c r="I644">
        <v>92.46</v>
      </c>
      <c r="J644">
        <v>93.2</v>
      </c>
      <c r="K644">
        <v>24.55</v>
      </c>
      <c r="L644">
        <v>66474.86</v>
      </c>
      <c r="M644">
        <v>44380.31</v>
      </c>
      <c r="N644">
        <v>41.97</v>
      </c>
      <c r="O644">
        <v>5.6550000000000003E-2</v>
      </c>
      <c r="P644">
        <v>7.7519999999999998</v>
      </c>
      <c r="Q644">
        <v>97.02</v>
      </c>
      <c r="R644">
        <v>182.26</v>
      </c>
      <c r="S644">
        <v>152.94999999999999</v>
      </c>
    </row>
    <row r="645" spans="1:19" x14ac:dyDescent="0.25">
      <c r="A645" s="6">
        <v>44824</v>
      </c>
      <c r="B645">
        <v>131.83000000000001</v>
      </c>
      <c r="C645">
        <v>205.34</v>
      </c>
      <c r="D645">
        <v>268.75</v>
      </c>
      <c r="E645">
        <v>281.10000000000002</v>
      </c>
      <c r="F645">
        <v>211.47</v>
      </c>
      <c r="G645">
        <v>84.45</v>
      </c>
      <c r="H645">
        <v>89.4</v>
      </c>
      <c r="I645">
        <v>91.9</v>
      </c>
      <c r="J645">
        <v>92.44</v>
      </c>
      <c r="K645">
        <v>24.65</v>
      </c>
      <c r="L645">
        <v>66602.84</v>
      </c>
      <c r="M645">
        <v>44017.11</v>
      </c>
      <c r="N645">
        <v>43.284999999999997</v>
      </c>
      <c r="O645">
        <v>5.6500000000000002E-2</v>
      </c>
      <c r="P645">
        <v>7.7720000000000002</v>
      </c>
      <c r="Q645">
        <v>94.85</v>
      </c>
      <c r="R645">
        <v>194.26</v>
      </c>
      <c r="S645">
        <v>153.25</v>
      </c>
    </row>
    <row r="646" spans="1:19" x14ac:dyDescent="0.25">
      <c r="A646" s="6">
        <v>44825</v>
      </c>
      <c r="B646">
        <v>131.83000000000001</v>
      </c>
      <c r="C646">
        <v>205.34</v>
      </c>
      <c r="D646">
        <v>268.75</v>
      </c>
      <c r="E646">
        <v>281.10000000000002</v>
      </c>
      <c r="F646">
        <v>211.47</v>
      </c>
      <c r="G646">
        <v>82.94</v>
      </c>
      <c r="H646">
        <v>88.8</v>
      </c>
      <c r="I646">
        <v>91.81</v>
      </c>
      <c r="J646">
        <v>90.95</v>
      </c>
      <c r="K646">
        <v>24.5</v>
      </c>
      <c r="L646">
        <v>66208.710000000006</v>
      </c>
      <c r="M646">
        <v>43316.160000000003</v>
      </c>
      <c r="N646">
        <v>38.914999999999999</v>
      </c>
      <c r="O646">
        <v>5.6329999999999998E-2</v>
      </c>
      <c r="P646">
        <v>7.827</v>
      </c>
      <c r="Q646">
        <v>93.61</v>
      </c>
      <c r="R646">
        <v>189.78</v>
      </c>
      <c r="S646">
        <v>151.1</v>
      </c>
    </row>
    <row r="647" spans="1:19" x14ac:dyDescent="0.25">
      <c r="A647" s="6">
        <v>44826</v>
      </c>
      <c r="B647">
        <v>131.83000000000001</v>
      </c>
      <c r="C647">
        <v>205.34</v>
      </c>
      <c r="D647">
        <v>268.75</v>
      </c>
      <c r="E647">
        <v>281.10000000000002</v>
      </c>
      <c r="F647">
        <v>211.47</v>
      </c>
      <c r="G647">
        <v>83.49</v>
      </c>
      <c r="H647">
        <v>89.53</v>
      </c>
      <c r="I647">
        <v>92.18</v>
      </c>
      <c r="J647">
        <v>90.57</v>
      </c>
      <c r="K647">
        <v>24.75</v>
      </c>
      <c r="L647">
        <v>65276.97</v>
      </c>
      <c r="M647">
        <v>43287.51</v>
      </c>
      <c r="N647">
        <v>39.909999999999997</v>
      </c>
      <c r="O647">
        <v>5.6820000000000002E-2</v>
      </c>
      <c r="P647">
        <v>7.1929999999999996</v>
      </c>
      <c r="Q647">
        <v>94.06</v>
      </c>
      <c r="R647">
        <v>187.47</v>
      </c>
      <c r="S647">
        <v>151.94999999999999</v>
      </c>
    </row>
    <row r="648" spans="1:19" x14ac:dyDescent="0.25">
      <c r="A648" s="6">
        <v>44827</v>
      </c>
      <c r="B648">
        <v>123.13</v>
      </c>
      <c r="C648">
        <v>199.2</v>
      </c>
      <c r="D648">
        <v>259.31</v>
      </c>
      <c r="E648">
        <v>269.06</v>
      </c>
      <c r="F648">
        <v>207.46</v>
      </c>
      <c r="G648">
        <v>78.739999999999995</v>
      </c>
      <c r="H648">
        <v>85.03</v>
      </c>
      <c r="I648">
        <v>91.02</v>
      </c>
      <c r="J648">
        <v>85.75</v>
      </c>
      <c r="K648">
        <v>23.9</v>
      </c>
      <c r="L648">
        <v>63416.66</v>
      </c>
      <c r="M648">
        <v>40308.720000000001</v>
      </c>
      <c r="N648">
        <v>37.57</v>
      </c>
      <c r="O648">
        <v>5.5870000000000003E-2</v>
      </c>
      <c r="P648">
        <v>6.992</v>
      </c>
      <c r="Q648">
        <v>93.24</v>
      </c>
      <c r="R648">
        <v>185.495</v>
      </c>
      <c r="S648">
        <v>147.1</v>
      </c>
    </row>
    <row r="649" spans="1:19" x14ac:dyDescent="0.25">
      <c r="A649" s="6">
        <v>44830</v>
      </c>
      <c r="B649">
        <v>123.13</v>
      </c>
      <c r="C649">
        <v>199.2</v>
      </c>
      <c r="D649">
        <v>259.31</v>
      </c>
      <c r="E649">
        <v>269.06</v>
      </c>
      <c r="F649">
        <v>207.46</v>
      </c>
      <c r="G649">
        <v>76.709999999999994</v>
      </c>
      <c r="H649">
        <v>82.86</v>
      </c>
      <c r="I649">
        <v>90.5</v>
      </c>
      <c r="J649">
        <v>83.98</v>
      </c>
      <c r="K649">
        <v>23.25</v>
      </c>
      <c r="L649">
        <v>63625.66</v>
      </c>
      <c r="M649">
        <v>41015.279999999999</v>
      </c>
      <c r="N649">
        <v>37.69</v>
      </c>
      <c r="O649">
        <v>5.5259999999999997E-2</v>
      </c>
      <c r="P649">
        <v>7.0140000000000002</v>
      </c>
      <c r="Q649">
        <v>91.59</v>
      </c>
      <c r="R649">
        <v>173.83500000000001</v>
      </c>
      <c r="S649">
        <v>142.75</v>
      </c>
    </row>
    <row r="650" spans="1:19" x14ac:dyDescent="0.25">
      <c r="A650" s="6">
        <v>44831</v>
      </c>
      <c r="B650">
        <v>123.13</v>
      </c>
      <c r="C650">
        <v>199.2</v>
      </c>
      <c r="D650">
        <v>259.31</v>
      </c>
      <c r="E650">
        <v>269.06</v>
      </c>
      <c r="F650">
        <v>207.46</v>
      </c>
      <c r="G650">
        <v>78.5</v>
      </c>
      <c r="H650">
        <v>84.87</v>
      </c>
      <c r="I650">
        <v>90.72</v>
      </c>
      <c r="J650">
        <v>85.74</v>
      </c>
      <c r="K650">
        <v>23.35</v>
      </c>
      <c r="L650">
        <v>64025.95</v>
      </c>
      <c r="M650">
        <v>41840.14</v>
      </c>
      <c r="N650">
        <v>42.47</v>
      </c>
      <c r="O650">
        <v>5.5480000000000002E-2</v>
      </c>
      <c r="P650">
        <v>6.76</v>
      </c>
      <c r="Q650">
        <v>91.5</v>
      </c>
      <c r="R650">
        <v>186.1</v>
      </c>
      <c r="S650">
        <v>141.69999999999999</v>
      </c>
    </row>
    <row r="651" spans="1:19" x14ac:dyDescent="0.25">
      <c r="A651" s="6">
        <v>44832</v>
      </c>
      <c r="B651">
        <v>123.13</v>
      </c>
      <c r="C651">
        <v>199.2</v>
      </c>
      <c r="D651">
        <v>259.31</v>
      </c>
      <c r="E651">
        <v>269.06</v>
      </c>
      <c r="F651">
        <v>207.46</v>
      </c>
      <c r="G651">
        <v>82.15</v>
      </c>
      <c r="H651">
        <v>89.32</v>
      </c>
      <c r="I651">
        <v>90.9</v>
      </c>
      <c r="J651">
        <v>88.86</v>
      </c>
      <c r="K651">
        <v>22.7</v>
      </c>
      <c r="L651">
        <v>63808.32</v>
      </c>
      <c r="M651">
        <v>42934.8</v>
      </c>
      <c r="N651">
        <v>41.204999999999998</v>
      </c>
      <c r="O651">
        <v>5.5989999999999998E-2</v>
      </c>
      <c r="P651">
        <v>6.8680000000000003</v>
      </c>
      <c r="Q651">
        <v>93.05</v>
      </c>
      <c r="R651">
        <v>207.185</v>
      </c>
      <c r="S651">
        <v>140.55000000000001</v>
      </c>
    </row>
    <row r="652" spans="1:19" x14ac:dyDescent="0.25">
      <c r="A652" s="6">
        <v>44833</v>
      </c>
      <c r="B652">
        <v>123.13</v>
      </c>
      <c r="C652">
        <v>199.2</v>
      </c>
      <c r="D652">
        <v>259.31</v>
      </c>
      <c r="E652">
        <v>269.06</v>
      </c>
      <c r="F652">
        <v>207.46</v>
      </c>
      <c r="G652">
        <v>81.23</v>
      </c>
      <c r="H652">
        <v>88.49</v>
      </c>
      <c r="I652">
        <v>90.81</v>
      </c>
      <c r="J652">
        <v>88.68</v>
      </c>
      <c r="K652">
        <v>23.05</v>
      </c>
      <c r="L652">
        <v>63263.94</v>
      </c>
      <c r="M652">
        <v>44522.52</v>
      </c>
      <c r="N652">
        <v>39.104999999999997</v>
      </c>
      <c r="O652">
        <v>5.5500000000000001E-2</v>
      </c>
      <c r="P652">
        <v>6.8739999999999997</v>
      </c>
      <c r="Q652">
        <v>90.75</v>
      </c>
      <c r="R652">
        <v>187.66499999999999</v>
      </c>
      <c r="S652">
        <v>139.75</v>
      </c>
    </row>
    <row r="653" spans="1:19" x14ac:dyDescent="0.25">
      <c r="A653" s="6">
        <v>44834</v>
      </c>
      <c r="B653">
        <v>137.4</v>
      </c>
      <c r="C653">
        <v>209.12</v>
      </c>
      <c r="D653">
        <v>269.39</v>
      </c>
      <c r="E653">
        <v>267.5</v>
      </c>
      <c r="F653">
        <v>183.88</v>
      </c>
      <c r="G653">
        <v>79.489999999999995</v>
      </c>
      <c r="H653">
        <v>87.96</v>
      </c>
      <c r="I653">
        <v>90.91</v>
      </c>
      <c r="J653">
        <v>87.31</v>
      </c>
      <c r="K653">
        <v>23.45</v>
      </c>
      <c r="L653">
        <v>63726.37</v>
      </c>
      <c r="M653">
        <v>45555.99</v>
      </c>
      <c r="N653">
        <v>38.725000000000001</v>
      </c>
      <c r="O653">
        <v>5.5059999999999998E-2</v>
      </c>
      <c r="P653">
        <v>6.766</v>
      </c>
      <c r="Q653">
        <v>90.35</v>
      </c>
      <c r="R653">
        <v>188.8</v>
      </c>
      <c r="S653">
        <v>142.05000000000001</v>
      </c>
    </row>
    <row r="654" spans="1:19" x14ac:dyDescent="0.25">
      <c r="A654" s="6">
        <v>44837</v>
      </c>
      <c r="B654">
        <v>137.4</v>
      </c>
      <c r="C654">
        <v>209.12</v>
      </c>
      <c r="D654">
        <v>269.39</v>
      </c>
      <c r="E654">
        <v>267.5</v>
      </c>
      <c r="F654">
        <v>183.88</v>
      </c>
      <c r="G654">
        <v>83.63</v>
      </c>
      <c r="H654">
        <v>88.86</v>
      </c>
      <c r="I654">
        <v>88.03</v>
      </c>
      <c r="J654">
        <v>91.92</v>
      </c>
      <c r="K654">
        <v>23.35</v>
      </c>
      <c r="L654">
        <v>64227.23</v>
      </c>
      <c r="M654">
        <v>46013.49</v>
      </c>
      <c r="N654">
        <v>38.869999999999997</v>
      </c>
      <c r="O654">
        <v>5.602E-2</v>
      </c>
      <c r="P654">
        <v>6.47</v>
      </c>
      <c r="Q654">
        <v>92.82</v>
      </c>
      <c r="R654">
        <v>169.91</v>
      </c>
      <c r="S654">
        <v>139.9</v>
      </c>
    </row>
    <row r="655" spans="1:19" x14ac:dyDescent="0.25">
      <c r="A655" s="6">
        <v>44838</v>
      </c>
      <c r="B655">
        <v>137.4</v>
      </c>
      <c r="C655">
        <v>209.12</v>
      </c>
      <c r="D655">
        <v>269.39</v>
      </c>
      <c r="E655">
        <v>267.5</v>
      </c>
      <c r="F655">
        <v>183.88</v>
      </c>
      <c r="G655">
        <v>86.52</v>
      </c>
      <c r="H655">
        <v>91.8</v>
      </c>
      <c r="I655">
        <v>90.9</v>
      </c>
      <c r="J655">
        <v>95.27</v>
      </c>
      <c r="K655">
        <v>23.341081081081029</v>
      </c>
      <c r="L655">
        <v>66312.83</v>
      </c>
      <c r="M655">
        <v>49331.97</v>
      </c>
      <c r="N655">
        <v>38.195</v>
      </c>
      <c r="O655">
        <v>5.6669999999999998E-2</v>
      </c>
      <c r="P655">
        <v>6.8369999999999997</v>
      </c>
      <c r="Q655">
        <v>94.16</v>
      </c>
      <c r="R655">
        <v>161.94999999999999</v>
      </c>
      <c r="S655">
        <v>143.5</v>
      </c>
    </row>
    <row r="656" spans="1:19" x14ac:dyDescent="0.25">
      <c r="A656" s="6">
        <v>44839</v>
      </c>
      <c r="B656">
        <v>137.4</v>
      </c>
      <c r="C656">
        <v>209.12</v>
      </c>
      <c r="D656">
        <v>269.39</v>
      </c>
      <c r="E656">
        <v>267.5</v>
      </c>
      <c r="F656">
        <v>183.88</v>
      </c>
      <c r="G656">
        <v>87.76</v>
      </c>
      <c r="H656">
        <v>93.37</v>
      </c>
      <c r="I656">
        <v>92.12</v>
      </c>
      <c r="J656">
        <v>99.12</v>
      </c>
      <c r="K656">
        <v>23.8</v>
      </c>
      <c r="L656">
        <v>65612.759999999995</v>
      </c>
      <c r="M656">
        <v>48616.47</v>
      </c>
      <c r="N656">
        <v>35.049999999999997</v>
      </c>
      <c r="O656">
        <v>5.62E-2</v>
      </c>
      <c r="P656">
        <v>6.93</v>
      </c>
      <c r="Q656">
        <v>93.41</v>
      </c>
      <c r="R656">
        <v>173.69499999999999</v>
      </c>
      <c r="S656">
        <v>145.80000000000001</v>
      </c>
    </row>
    <row r="657" spans="1:19" x14ac:dyDescent="0.25">
      <c r="A657" s="6">
        <v>44840</v>
      </c>
      <c r="B657">
        <v>137.4</v>
      </c>
      <c r="C657">
        <v>209.12</v>
      </c>
      <c r="D657">
        <v>269.39</v>
      </c>
      <c r="E657">
        <v>267.5</v>
      </c>
      <c r="F657">
        <v>183.88</v>
      </c>
      <c r="G657">
        <v>88.45</v>
      </c>
      <c r="H657">
        <v>94.42</v>
      </c>
      <c r="I657">
        <v>92.98</v>
      </c>
      <c r="J657">
        <v>102.06</v>
      </c>
      <c r="K657">
        <v>23.95</v>
      </c>
      <c r="L657">
        <v>65832.67</v>
      </c>
      <c r="M657">
        <v>49436.91</v>
      </c>
      <c r="N657">
        <v>35.854999999999997</v>
      </c>
      <c r="O657">
        <v>5.5570000000000001E-2</v>
      </c>
      <c r="P657">
        <v>6.9720000000000004</v>
      </c>
      <c r="Q657">
        <v>93.35</v>
      </c>
      <c r="R657">
        <v>175.71</v>
      </c>
      <c r="S657">
        <v>145.80000000000001</v>
      </c>
    </row>
    <row r="658" spans="1:19" x14ac:dyDescent="0.25">
      <c r="A658" s="6">
        <v>44841</v>
      </c>
      <c r="B658">
        <v>133.80000000000001</v>
      </c>
      <c r="C658">
        <v>194.27</v>
      </c>
      <c r="D658">
        <v>251.91</v>
      </c>
      <c r="E658">
        <v>252.2</v>
      </c>
      <c r="F658">
        <v>190.43</v>
      </c>
      <c r="G658">
        <v>92.64</v>
      </c>
      <c r="H658">
        <v>97.92</v>
      </c>
      <c r="I658">
        <v>95.8</v>
      </c>
      <c r="J658">
        <v>101.03</v>
      </c>
      <c r="K658">
        <v>23.75</v>
      </c>
      <c r="L658">
        <v>65675.48</v>
      </c>
      <c r="M658">
        <v>48966.41</v>
      </c>
      <c r="N658">
        <v>34.46</v>
      </c>
      <c r="O658">
        <v>5.5129999999999998E-2</v>
      </c>
      <c r="P658">
        <v>6.7480000000000002</v>
      </c>
      <c r="Q658">
        <v>90.02</v>
      </c>
      <c r="R658">
        <v>156.20500000000001</v>
      </c>
      <c r="S658">
        <v>146.05000000000001</v>
      </c>
    </row>
    <row r="659" spans="1:19" x14ac:dyDescent="0.25">
      <c r="A659" s="6">
        <v>44844</v>
      </c>
      <c r="B659">
        <v>133.80000000000001</v>
      </c>
      <c r="C659">
        <v>194.27</v>
      </c>
      <c r="D659">
        <v>251.91</v>
      </c>
      <c r="E659">
        <v>252.2</v>
      </c>
      <c r="F659">
        <v>190.43</v>
      </c>
      <c r="G659">
        <v>91.13</v>
      </c>
      <c r="H659">
        <v>96.19</v>
      </c>
      <c r="I659">
        <v>94.42</v>
      </c>
      <c r="J659">
        <v>98.84</v>
      </c>
      <c r="K659">
        <v>23.55</v>
      </c>
      <c r="L659">
        <v>64769.2</v>
      </c>
      <c r="M659">
        <v>47318.96</v>
      </c>
      <c r="N659">
        <v>34.26</v>
      </c>
      <c r="O659">
        <v>5.5239999999999997E-2</v>
      </c>
      <c r="P659">
        <v>6.4349999999999996</v>
      </c>
      <c r="Q659">
        <v>90.26</v>
      </c>
      <c r="R659">
        <v>154.12</v>
      </c>
      <c r="S659">
        <v>143.1</v>
      </c>
    </row>
    <row r="660" spans="1:19" x14ac:dyDescent="0.25">
      <c r="A660" s="6">
        <v>44845</v>
      </c>
      <c r="B660">
        <v>133.80000000000001</v>
      </c>
      <c r="C660">
        <v>194.27</v>
      </c>
      <c r="D660">
        <v>251.91</v>
      </c>
      <c r="E660">
        <v>252.2</v>
      </c>
      <c r="F660">
        <v>190.43</v>
      </c>
      <c r="G660">
        <v>89.35</v>
      </c>
      <c r="H660">
        <v>94.29</v>
      </c>
      <c r="I660">
        <v>92.93</v>
      </c>
      <c r="J660">
        <v>98</v>
      </c>
      <c r="K660">
        <v>23.45</v>
      </c>
      <c r="L660">
        <v>64588.09</v>
      </c>
      <c r="M660">
        <v>47571.49</v>
      </c>
      <c r="N660">
        <v>34.784999999999997</v>
      </c>
      <c r="O660">
        <v>5.4980000000000001E-2</v>
      </c>
      <c r="P660">
        <v>6.5960000000000001</v>
      </c>
      <c r="Q660">
        <v>90.79</v>
      </c>
      <c r="R660">
        <v>156.78</v>
      </c>
      <c r="S660">
        <v>141</v>
      </c>
    </row>
    <row r="661" spans="1:19" x14ac:dyDescent="0.25">
      <c r="A661" s="6">
        <v>44846</v>
      </c>
      <c r="B661">
        <v>133.80000000000001</v>
      </c>
      <c r="C661">
        <v>194.27</v>
      </c>
      <c r="D661">
        <v>251.91</v>
      </c>
      <c r="E661">
        <v>252.2</v>
      </c>
      <c r="F661">
        <v>190.43</v>
      </c>
      <c r="G661">
        <v>87.27</v>
      </c>
      <c r="H661">
        <v>92.45</v>
      </c>
      <c r="I661">
        <v>91.58</v>
      </c>
      <c r="J661">
        <v>98.43</v>
      </c>
      <c r="K661">
        <v>23.45</v>
      </c>
      <c r="L661">
        <v>64528.23</v>
      </c>
      <c r="M661">
        <v>47532.03</v>
      </c>
      <c r="N661">
        <v>34.704999999999998</v>
      </c>
      <c r="O661">
        <v>5.4620000000000002E-2</v>
      </c>
      <c r="P661">
        <v>6.4349999999999996</v>
      </c>
      <c r="Q661">
        <v>90.61</v>
      </c>
      <c r="R661">
        <v>160.19</v>
      </c>
      <c r="S661">
        <v>142</v>
      </c>
    </row>
    <row r="662" spans="1:19" x14ac:dyDescent="0.25">
      <c r="A662" s="6">
        <v>44847</v>
      </c>
      <c r="B662">
        <v>133.80000000000001</v>
      </c>
      <c r="C662">
        <v>194.27</v>
      </c>
      <c r="D662">
        <v>251.91</v>
      </c>
      <c r="E662">
        <v>252.2</v>
      </c>
      <c r="F662">
        <v>190.43</v>
      </c>
      <c r="G662">
        <v>89.11</v>
      </c>
      <c r="H662">
        <v>94.57</v>
      </c>
      <c r="I662">
        <v>92.42</v>
      </c>
      <c r="J662">
        <v>101.87</v>
      </c>
      <c r="K662">
        <v>23.3</v>
      </c>
      <c r="L662">
        <v>64392.43</v>
      </c>
      <c r="M662">
        <v>46296.38</v>
      </c>
      <c r="N662">
        <v>34.835000000000001</v>
      </c>
      <c r="O662">
        <v>5.4699999999999999E-2</v>
      </c>
      <c r="P662">
        <v>6.7409999999999997</v>
      </c>
      <c r="Q662">
        <v>92.47</v>
      </c>
      <c r="R662">
        <v>153.81</v>
      </c>
      <c r="S662">
        <v>140.25</v>
      </c>
    </row>
    <row r="663" spans="1:19" x14ac:dyDescent="0.25">
      <c r="A663" s="6">
        <v>44848</v>
      </c>
      <c r="B663">
        <v>124.23</v>
      </c>
      <c r="C663">
        <v>176.57</v>
      </c>
      <c r="D663">
        <v>228.71</v>
      </c>
      <c r="E663">
        <v>228.94</v>
      </c>
      <c r="F663">
        <v>185.92</v>
      </c>
      <c r="G663">
        <v>85.61</v>
      </c>
      <c r="H663">
        <v>90.15</v>
      </c>
      <c r="I663">
        <v>90.79</v>
      </c>
      <c r="J663">
        <v>99.19</v>
      </c>
      <c r="K663">
        <v>23.85</v>
      </c>
      <c r="L663">
        <v>64271.360000000001</v>
      </c>
      <c r="M663">
        <v>45453.23</v>
      </c>
      <c r="N663">
        <v>34.779000000000003</v>
      </c>
      <c r="O663">
        <v>5.4440000000000002E-2</v>
      </c>
      <c r="P663">
        <v>6.4530000000000003</v>
      </c>
      <c r="Q663">
        <v>90.15</v>
      </c>
      <c r="R663">
        <v>141.995</v>
      </c>
      <c r="S663">
        <v>139.94999999999999</v>
      </c>
    </row>
    <row r="664" spans="1:19" x14ac:dyDescent="0.25">
      <c r="A664" s="6">
        <v>44851</v>
      </c>
      <c r="B664">
        <v>124.23</v>
      </c>
      <c r="C664">
        <v>176.57</v>
      </c>
      <c r="D664">
        <v>228.71</v>
      </c>
      <c r="E664">
        <v>228.94</v>
      </c>
      <c r="F664">
        <v>185.92</v>
      </c>
      <c r="G664">
        <v>85.46</v>
      </c>
      <c r="H664">
        <v>90.18</v>
      </c>
      <c r="I664">
        <v>90.71</v>
      </c>
      <c r="J664">
        <v>100.62</v>
      </c>
      <c r="K664">
        <v>23.75</v>
      </c>
      <c r="L664">
        <v>66190.75</v>
      </c>
      <c r="M664">
        <v>47122.38</v>
      </c>
      <c r="N664">
        <v>30.92</v>
      </c>
      <c r="O664">
        <v>5.5289999999999999E-2</v>
      </c>
      <c r="P664">
        <v>5.9989999999999997</v>
      </c>
      <c r="Q664">
        <v>91.78</v>
      </c>
      <c r="R664">
        <v>127.98</v>
      </c>
      <c r="S664">
        <v>139.05000000000001</v>
      </c>
    </row>
    <row r="665" spans="1:19" x14ac:dyDescent="0.25">
      <c r="A665" s="6">
        <v>44852</v>
      </c>
      <c r="B665">
        <v>124.23</v>
      </c>
      <c r="C665">
        <v>176.57</v>
      </c>
      <c r="D665">
        <v>228.71</v>
      </c>
      <c r="E665">
        <v>228.94</v>
      </c>
      <c r="F665">
        <v>185.92</v>
      </c>
      <c r="G665">
        <v>82.82</v>
      </c>
      <c r="H665">
        <v>88.6</v>
      </c>
      <c r="I665">
        <v>89.92</v>
      </c>
      <c r="J665">
        <v>100.8</v>
      </c>
      <c r="K665">
        <v>23.85</v>
      </c>
      <c r="L665">
        <v>66350.98</v>
      </c>
      <c r="M665">
        <v>46559.87</v>
      </c>
      <c r="N665">
        <v>29.69</v>
      </c>
      <c r="O665">
        <v>5.5190000000000003E-2</v>
      </c>
      <c r="P665">
        <v>5.7450000000000001</v>
      </c>
      <c r="Q665">
        <v>92.71</v>
      </c>
      <c r="R665">
        <v>113.22</v>
      </c>
      <c r="S665">
        <v>139.69999999999999</v>
      </c>
    </row>
    <row r="666" spans="1:19" x14ac:dyDescent="0.25">
      <c r="A666" s="6">
        <v>44853</v>
      </c>
      <c r="B666">
        <v>124.23</v>
      </c>
      <c r="C666">
        <v>176.57</v>
      </c>
      <c r="D666">
        <v>228.71</v>
      </c>
      <c r="E666">
        <v>228.94</v>
      </c>
      <c r="F666">
        <v>185.92</v>
      </c>
      <c r="G666">
        <v>85.55</v>
      </c>
      <c r="H666">
        <v>90.56</v>
      </c>
      <c r="I666">
        <v>90.53</v>
      </c>
      <c r="J666">
        <v>103.79</v>
      </c>
      <c r="K666">
        <v>23.95</v>
      </c>
      <c r="L666">
        <v>65652.5</v>
      </c>
      <c r="M666">
        <v>45309.86</v>
      </c>
      <c r="N666">
        <v>30.315000000000001</v>
      </c>
      <c r="O666">
        <v>5.4640000000000001E-2</v>
      </c>
      <c r="P666">
        <v>5.4619999999999997</v>
      </c>
      <c r="Q666">
        <v>91.63</v>
      </c>
      <c r="R666">
        <v>112.51</v>
      </c>
      <c r="S666">
        <v>140.94999999999999</v>
      </c>
    </row>
    <row r="667" spans="1:19" x14ac:dyDescent="0.25">
      <c r="A667" s="6">
        <v>44854</v>
      </c>
      <c r="B667">
        <v>124.23</v>
      </c>
      <c r="C667">
        <v>176.57</v>
      </c>
      <c r="D667">
        <v>228.71</v>
      </c>
      <c r="E667">
        <v>228.94</v>
      </c>
      <c r="F667">
        <v>185.92</v>
      </c>
      <c r="G667">
        <v>85.98</v>
      </c>
      <c r="H667">
        <v>90.45</v>
      </c>
      <c r="I667">
        <v>90.54</v>
      </c>
      <c r="J667">
        <v>103.93</v>
      </c>
      <c r="K667">
        <v>23.65</v>
      </c>
      <c r="L667">
        <v>65794.28</v>
      </c>
      <c r="M667">
        <v>45810.45</v>
      </c>
      <c r="N667">
        <v>32.35</v>
      </c>
      <c r="O667">
        <v>5.466E-2</v>
      </c>
      <c r="P667">
        <v>5.3579999999999997</v>
      </c>
      <c r="Q667">
        <v>90.33</v>
      </c>
      <c r="R667">
        <v>127.145</v>
      </c>
      <c r="S667">
        <v>140.69999999999999</v>
      </c>
    </row>
    <row r="668" spans="1:19" x14ac:dyDescent="0.25">
      <c r="A668" s="6">
        <v>44855</v>
      </c>
      <c r="B668">
        <v>115.27</v>
      </c>
      <c r="C668">
        <v>165.67</v>
      </c>
      <c r="D668">
        <v>216.02</v>
      </c>
      <c r="E668">
        <v>229.33</v>
      </c>
      <c r="F668">
        <v>176.76</v>
      </c>
      <c r="G668">
        <v>85.05</v>
      </c>
      <c r="H668">
        <v>91.34</v>
      </c>
      <c r="I668">
        <v>90.95</v>
      </c>
      <c r="J668">
        <v>105.86</v>
      </c>
      <c r="K668">
        <v>23.8</v>
      </c>
      <c r="L668">
        <v>65539.240000000005</v>
      </c>
      <c r="M668">
        <v>46418.32</v>
      </c>
      <c r="N668">
        <v>32.47</v>
      </c>
      <c r="O668">
        <v>5.5169999999999997E-2</v>
      </c>
      <c r="P668">
        <v>4.9589999999999996</v>
      </c>
      <c r="Q668">
        <v>93.05</v>
      </c>
      <c r="R668">
        <v>113.575</v>
      </c>
      <c r="S668">
        <v>134.5</v>
      </c>
    </row>
    <row r="669" spans="1:19" x14ac:dyDescent="0.25">
      <c r="A669" s="6">
        <v>44858</v>
      </c>
      <c r="B669">
        <v>115.27</v>
      </c>
      <c r="C669">
        <v>165.67</v>
      </c>
      <c r="D669">
        <v>216.02</v>
      </c>
      <c r="E669">
        <v>229.33</v>
      </c>
      <c r="F669">
        <v>176.76</v>
      </c>
      <c r="G669">
        <v>84.58</v>
      </c>
      <c r="H669">
        <v>91.21</v>
      </c>
      <c r="I669">
        <v>90.88</v>
      </c>
      <c r="J669">
        <v>106.6</v>
      </c>
      <c r="K669">
        <v>22.35</v>
      </c>
      <c r="L669">
        <v>64975.95</v>
      </c>
      <c r="M669">
        <v>46602.85</v>
      </c>
      <c r="N669">
        <v>31.29</v>
      </c>
      <c r="O669">
        <v>5.432E-2</v>
      </c>
      <c r="P669">
        <v>5.1989999999999998</v>
      </c>
      <c r="Q669">
        <v>93.24</v>
      </c>
      <c r="R669">
        <v>99.17</v>
      </c>
      <c r="S669">
        <v>136.44999999999999</v>
      </c>
    </row>
    <row r="670" spans="1:19" x14ac:dyDescent="0.25">
      <c r="A670" s="6">
        <v>44859</v>
      </c>
      <c r="B670">
        <v>115.27</v>
      </c>
      <c r="C670">
        <v>165.67</v>
      </c>
      <c r="D670">
        <v>216.02</v>
      </c>
      <c r="E670">
        <v>229.33</v>
      </c>
      <c r="F670">
        <v>176.76</v>
      </c>
      <c r="G670">
        <v>85.32</v>
      </c>
      <c r="H670">
        <v>91.74</v>
      </c>
      <c r="I670">
        <v>90.84</v>
      </c>
      <c r="J670">
        <v>105.88</v>
      </c>
      <c r="K670">
        <v>22.9</v>
      </c>
      <c r="L670">
        <v>65850.84</v>
      </c>
      <c r="M670">
        <v>46449.97</v>
      </c>
      <c r="N670">
        <v>31.02</v>
      </c>
      <c r="O670">
        <v>5.491E-2</v>
      </c>
      <c r="P670">
        <v>5.6130000000000004</v>
      </c>
      <c r="Q670">
        <v>95.16</v>
      </c>
      <c r="R670">
        <v>99.795000000000002</v>
      </c>
      <c r="S670">
        <v>139.19999999999999</v>
      </c>
    </row>
    <row r="671" spans="1:19" x14ac:dyDescent="0.25">
      <c r="A671" s="6">
        <v>44860</v>
      </c>
      <c r="B671">
        <v>115.27</v>
      </c>
      <c r="C671">
        <v>165.67</v>
      </c>
      <c r="D671">
        <v>216.02</v>
      </c>
      <c r="E671">
        <v>229.33</v>
      </c>
      <c r="F671">
        <v>176.76</v>
      </c>
      <c r="G671">
        <v>87.91</v>
      </c>
      <c r="H671">
        <v>95.69</v>
      </c>
      <c r="I671">
        <v>91.16</v>
      </c>
      <c r="J671">
        <v>107.14</v>
      </c>
      <c r="K671">
        <v>22.6</v>
      </c>
      <c r="L671">
        <v>67103.09</v>
      </c>
      <c r="M671">
        <v>48305.03</v>
      </c>
      <c r="N671">
        <v>30.45</v>
      </c>
      <c r="O671">
        <v>5.5710000000000003E-2</v>
      </c>
      <c r="P671">
        <v>5.6059999999999999</v>
      </c>
      <c r="Q671">
        <v>93.89</v>
      </c>
      <c r="R671">
        <v>104.32</v>
      </c>
      <c r="S671">
        <v>139.30000000000001</v>
      </c>
    </row>
    <row r="672" spans="1:19" x14ac:dyDescent="0.25">
      <c r="A672" s="6">
        <v>44861</v>
      </c>
      <c r="B672">
        <v>115.27</v>
      </c>
      <c r="C672">
        <v>165.67</v>
      </c>
      <c r="D672">
        <v>216.02</v>
      </c>
      <c r="E672">
        <v>229.33</v>
      </c>
      <c r="F672">
        <v>176.76</v>
      </c>
      <c r="G672">
        <v>89.08</v>
      </c>
      <c r="H672">
        <v>96.96</v>
      </c>
      <c r="I672">
        <v>91.26</v>
      </c>
      <c r="J672">
        <v>107.55</v>
      </c>
      <c r="K672">
        <v>22.5</v>
      </c>
      <c r="L672">
        <v>67123.41</v>
      </c>
      <c r="M672">
        <v>48509.440000000002</v>
      </c>
      <c r="N672">
        <v>30.49</v>
      </c>
      <c r="O672">
        <v>5.5579999999999997E-2</v>
      </c>
      <c r="P672">
        <v>5.1859999999999999</v>
      </c>
      <c r="Q672">
        <v>95.63</v>
      </c>
      <c r="R672">
        <v>107.38500000000001</v>
      </c>
      <c r="S672">
        <v>139.30000000000001</v>
      </c>
    </row>
    <row r="673" spans="1:19" x14ac:dyDescent="0.25">
      <c r="A673" s="6">
        <v>44862</v>
      </c>
      <c r="B673">
        <v>112.79</v>
      </c>
      <c r="C673">
        <v>156.97999999999999</v>
      </c>
      <c r="D673">
        <v>203.85</v>
      </c>
      <c r="E673">
        <v>219.3</v>
      </c>
      <c r="F673">
        <v>176.32</v>
      </c>
      <c r="G673">
        <v>87.9</v>
      </c>
      <c r="H673">
        <v>95.77</v>
      </c>
      <c r="I673">
        <v>91.11</v>
      </c>
      <c r="J673">
        <v>110.7</v>
      </c>
      <c r="K673">
        <v>21.9</v>
      </c>
      <c r="L673">
        <v>66385.58</v>
      </c>
      <c r="M673">
        <v>48001.77</v>
      </c>
      <c r="N673">
        <v>30.16</v>
      </c>
      <c r="O673">
        <v>5.5289999999999999E-2</v>
      </c>
      <c r="P673">
        <v>5.6840000000000002</v>
      </c>
      <c r="Q673">
        <v>96.68</v>
      </c>
      <c r="R673">
        <v>112.244</v>
      </c>
      <c r="S673">
        <v>138.35</v>
      </c>
    </row>
    <row r="674" spans="1:19" x14ac:dyDescent="0.25">
      <c r="A674" s="6">
        <v>44865</v>
      </c>
      <c r="B674">
        <v>112.79</v>
      </c>
      <c r="C674">
        <v>156.97999999999999</v>
      </c>
      <c r="D674">
        <v>203.85</v>
      </c>
      <c r="E674">
        <v>219.3</v>
      </c>
      <c r="F674">
        <v>176.32</v>
      </c>
      <c r="G674">
        <v>86.53</v>
      </c>
      <c r="H674">
        <v>94.83</v>
      </c>
      <c r="I674">
        <v>91.13</v>
      </c>
      <c r="J674">
        <v>110.81</v>
      </c>
      <c r="K674">
        <v>20.65</v>
      </c>
      <c r="L674">
        <v>66671.649999999994</v>
      </c>
      <c r="M674">
        <v>47999.24</v>
      </c>
      <c r="N674">
        <v>27.535</v>
      </c>
      <c r="O674">
        <v>5.4629999999999998E-2</v>
      </c>
      <c r="P674">
        <v>6.3550000000000004</v>
      </c>
      <c r="Q674">
        <v>95.57</v>
      </c>
      <c r="R674">
        <v>123.35</v>
      </c>
      <c r="S674">
        <v>139.9</v>
      </c>
    </row>
    <row r="675" spans="1:19" x14ac:dyDescent="0.25">
      <c r="A675" s="6">
        <v>44866</v>
      </c>
      <c r="B675">
        <v>112.79</v>
      </c>
      <c r="C675">
        <v>156.97999999999999</v>
      </c>
      <c r="D675">
        <v>203.85</v>
      </c>
      <c r="E675">
        <v>219.3</v>
      </c>
      <c r="F675">
        <v>176.32</v>
      </c>
      <c r="G675">
        <v>88.37</v>
      </c>
      <c r="H675">
        <v>94.65</v>
      </c>
      <c r="I675">
        <v>91.22</v>
      </c>
      <c r="J675">
        <v>111.91</v>
      </c>
      <c r="K675">
        <v>21.15</v>
      </c>
      <c r="L675">
        <v>67414.27</v>
      </c>
      <c r="M675">
        <v>48205.09</v>
      </c>
      <c r="N675">
        <v>27.54</v>
      </c>
      <c r="O675">
        <v>5.493E-2</v>
      </c>
      <c r="P675">
        <v>5.7140000000000004</v>
      </c>
      <c r="Q675">
        <v>94.02</v>
      </c>
      <c r="R675">
        <v>116.19499999999999</v>
      </c>
      <c r="S675">
        <v>140.55000000000001</v>
      </c>
    </row>
    <row r="676" spans="1:19" x14ac:dyDescent="0.25">
      <c r="A676" s="6">
        <v>44867</v>
      </c>
      <c r="B676">
        <v>112.79</v>
      </c>
      <c r="C676">
        <v>156.97999999999999</v>
      </c>
      <c r="D676">
        <v>203.85</v>
      </c>
      <c r="E676">
        <v>219.3</v>
      </c>
      <c r="F676">
        <v>176.32</v>
      </c>
      <c r="G676">
        <v>90</v>
      </c>
      <c r="H676">
        <v>96.16</v>
      </c>
      <c r="I676">
        <v>91.87</v>
      </c>
      <c r="J676">
        <v>109.61</v>
      </c>
      <c r="K676">
        <v>21.3</v>
      </c>
      <c r="L676">
        <v>67123.100000000006</v>
      </c>
      <c r="M676">
        <v>48804.480000000003</v>
      </c>
      <c r="N676">
        <v>29.105</v>
      </c>
      <c r="O676">
        <v>5.4739999999999997E-2</v>
      </c>
      <c r="P676">
        <v>6.2679999999999998</v>
      </c>
      <c r="Q676">
        <v>92.63</v>
      </c>
      <c r="R676">
        <v>125.86499999999999</v>
      </c>
      <c r="S676">
        <v>143.25</v>
      </c>
    </row>
    <row r="677" spans="1:19" x14ac:dyDescent="0.25">
      <c r="A677" s="6">
        <v>44868</v>
      </c>
      <c r="B677">
        <v>112.79</v>
      </c>
      <c r="C677">
        <v>156.97999999999999</v>
      </c>
      <c r="D677">
        <v>203.85</v>
      </c>
      <c r="E677">
        <v>219.3</v>
      </c>
      <c r="F677">
        <v>176.32</v>
      </c>
      <c r="G677">
        <v>88.17</v>
      </c>
      <c r="H677">
        <v>94.67</v>
      </c>
      <c r="I677">
        <v>89.5</v>
      </c>
      <c r="J677">
        <v>111.1</v>
      </c>
      <c r="K677">
        <v>21.3</v>
      </c>
      <c r="L677">
        <v>66046.649999999994</v>
      </c>
      <c r="M677">
        <v>46662.75</v>
      </c>
      <c r="N677">
        <v>27.815000000000001</v>
      </c>
      <c r="O677">
        <v>5.4289999999999998E-2</v>
      </c>
      <c r="P677">
        <v>5.9749999999999996</v>
      </c>
      <c r="Q677">
        <v>95.47</v>
      </c>
      <c r="R677">
        <v>125.44499999999999</v>
      </c>
      <c r="S677">
        <v>143.94999999999999</v>
      </c>
    </row>
    <row r="678" spans="1:19" x14ac:dyDescent="0.25">
      <c r="A678" s="6">
        <v>44869</v>
      </c>
      <c r="B678">
        <v>125.47</v>
      </c>
      <c r="C678">
        <v>147</v>
      </c>
      <c r="D678">
        <v>191.34</v>
      </c>
      <c r="E678">
        <v>205.64</v>
      </c>
      <c r="F678">
        <v>171.86</v>
      </c>
      <c r="G678">
        <v>92.61</v>
      </c>
      <c r="H678">
        <v>98.57</v>
      </c>
      <c r="I678">
        <v>93.63</v>
      </c>
      <c r="J678">
        <v>112.31</v>
      </c>
      <c r="K678">
        <v>22.15</v>
      </c>
      <c r="L678">
        <v>69305.19</v>
      </c>
      <c r="M678">
        <v>50410.2</v>
      </c>
      <c r="N678">
        <v>28.925000000000001</v>
      </c>
      <c r="O678">
        <v>5.5809999999999998E-2</v>
      </c>
      <c r="P678">
        <v>6.4</v>
      </c>
      <c r="Q678">
        <v>96.62</v>
      </c>
      <c r="R678">
        <v>114.785</v>
      </c>
      <c r="S678">
        <v>141.85</v>
      </c>
    </row>
    <row r="679" spans="1:19" x14ac:dyDescent="0.25">
      <c r="A679" s="6">
        <v>44872</v>
      </c>
      <c r="B679">
        <v>125.47</v>
      </c>
      <c r="C679">
        <v>147</v>
      </c>
      <c r="D679">
        <v>191.34</v>
      </c>
      <c r="E679">
        <v>205.64</v>
      </c>
      <c r="F679">
        <v>171.86</v>
      </c>
      <c r="G679">
        <v>91.79</v>
      </c>
      <c r="H679">
        <v>97.92</v>
      </c>
      <c r="I679">
        <v>92.68</v>
      </c>
      <c r="J679">
        <v>113.64</v>
      </c>
      <c r="K679">
        <v>22.55</v>
      </c>
      <c r="L679">
        <v>69439.320000000007</v>
      </c>
      <c r="M679">
        <v>50900.92</v>
      </c>
      <c r="N679">
        <v>27.195</v>
      </c>
      <c r="O679">
        <v>5.6349999999999997E-2</v>
      </c>
      <c r="P679">
        <v>6.944</v>
      </c>
      <c r="Q679">
        <v>97.5</v>
      </c>
      <c r="R679">
        <v>109.685</v>
      </c>
      <c r="S679">
        <v>144.05000000000001</v>
      </c>
    </row>
    <row r="680" spans="1:19" x14ac:dyDescent="0.25">
      <c r="A680" s="6">
        <v>44873</v>
      </c>
      <c r="B680">
        <v>125.47</v>
      </c>
      <c r="C680">
        <v>147</v>
      </c>
      <c r="D680">
        <v>191.34</v>
      </c>
      <c r="E680">
        <v>205.64</v>
      </c>
      <c r="F680">
        <v>171.86</v>
      </c>
      <c r="G680">
        <v>88.91</v>
      </c>
      <c r="H680">
        <v>95.36</v>
      </c>
      <c r="I680">
        <v>90.62</v>
      </c>
      <c r="J680">
        <v>114</v>
      </c>
      <c r="K680">
        <v>22.65</v>
      </c>
      <c r="L680">
        <v>69011.45</v>
      </c>
      <c r="M680">
        <v>50658.47</v>
      </c>
      <c r="N680">
        <v>27.88</v>
      </c>
      <c r="O680">
        <v>5.6439999999999997E-2</v>
      </c>
      <c r="P680">
        <v>6.1379999999999999</v>
      </c>
      <c r="Q680">
        <v>99.43</v>
      </c>
      <c r="R680">
        <v>118.145</v>
      </c>
      <c r="S680">
        <v>142.6</v>
      </c>
    </row>
    <row r="681" spans="1:19" x14ac:dyDescent="0.25">
      <c r="A681" s="6">
        <v>44874</v>
      </c>
      <c r="B681">
        <v>125.47</v>
      </c>
      <c r="C681">
        <v>147</v>
      </c>
      <c r="D681">
        <v>191.34</v>
      </c>
      <c r="E681">
        <v>205.64</v>
      </c>
      <c r="F681">
        <v>171.86</v>
      </c>
      <c r="G681">
        <v>85.83</v>
      </c>
      <c r="H681">
        <v>92.65</v>
      </c>
      <c r="I681">
        <v>88.8</v>
      </c>
      <c r="J681">
        <v>108.9</v>
      </c>
      <c r="K681">
        <v>22.45</v>
      </c>
      <c r="L681">
        <v>69640.23</v>
      </c>
      <c r="M681">
        <v>53873.72</v>
      </c>
      <c r="N681">
        <v>27.73</v>
      </c>
      <c r="O681">
        <v>5.629E-2</v>
      </c>
      <c r="P681">
        <v>5.8650000000000002</v>
      </c>
      <c r="Q681">
        <v>97.26</v>
      </c>
      <c r="R681">
        <v>113.145</v>
      </c>
      <c r="S681">
        <v>142.6</v>
      </c>
    </row>
    <row r="682" spans="1:19" x14ac:dyDescent="0.25">
      <c r="A682" s="6">
        <v>44875</v>
      </c>
      <c r="B682">
        <v>125.47</v>
      </c>
      <c r="C682">
        <v>147</v>
      </c>
      <c r="D682">
        <v>191.34</v>
      </c>
      <c r="E682">
        <v>205.64</v>
      </c>
      <c r="F682">
        <v>171.86</v>
      </c>
      <c r="G682">
        <v>86.47</v>
      </c>
      <c r="H682">
        <v>93.67</v>
      </c>
      <c r="I682">
        <v>89.36</v>
      </c>
      <c r="J682">
        <v>110.5</v>
      </c>
      <c r="K682">
        <v>22.85</v>
      </c>
      <c r="L682">
        <v>70710.27</v>
      </c>
      <c r="M682">
        <v>55066.61</v>
      </c>
      <c r="N682">
        <v>27.545000000000002</v>
      </c>
      <c r="O682">
        <v>5.7520000000000002E-2</v>
      </c>
      <c r="P682">
        <v>6.2389999999999999</v>
      </c>
      <c r="Q682">
        <v>102.54</v>
      </c>
      <c r="R682">
        <v>113.45</v>
      </c>
      <c r="S682">
        <v>140.19999999999999</v>
      </c>
    </row>
    <row r="683" spans="1:19" x14ac:dyDescent="0.25">
      <c r="A683" s="6">
        <v>44876</v>
      </c>
      <c r="B683">
        <v>125.18</v>
      </c>
      <c r="C683">
        <v>143.85</v>
      </c>
      <c r="D683">
        <v>164.24</v>
      </c>
      <c r="E683">
        <v>172.55</v>
      </c>
      <c r="F683">
        <v>158.44999999999999</v>
      </c>
      <c r="G683">
        <v>88.96</v>
      </c>
      <c r="H683">
        <v>95.99</v>
      </c>
      <c r="I683">
        <v>91.11</v>
      </c>
      <c r="J683">
        <v>113.95</v>
      </c>
      <c r="K683">
        <v>22.85</v>
      </c>
      <c r="L683">
        <v>72982.8</v>
      </c>
      <c r="M683">
        <v>55838.47</v>
      </c>
      <c r="N683">
        <v>27.225000000000001</v>
      </c>
      <c r="O683">
        <v>5.7910000000000003E-2</v>
      </c>
      <c r="P683">
        <v>5.8789999999999996</v>
      </c>
      <c r="Q683">
        <v>104.32</v>
      </c>
      <c r="R683">
        <v>97.855000000000004</v>
      </c>
      <c r="S683">
        <v>144.69999999999999</v>
      </c>
    </row>
    <row r="684" spans="1:19" x14ac:dyDescent="0.25">
      <c r="A684" s="6">
        <v>44879</v>
      </c>
      <c r="B684">
        <v>125.18</v>
      </c>
      <c r="C684">
        <v>143.85</v>
      </c>
      <c r="D684">
        <v>164.24</v>
      </c>
      <c r="E684">
        <v>172.55</v>
      </c>
      <c r="F684">
        <v>158.44999999999999</v>
      </c>
      <c r="G684">
        <v>85.87</v>
      </c>
      <c r="H684">
        <v>93.14</v>
      </c>
      <c r="I684">
        <v>89.5</v>
      </c>
      <c r="J684">
        <v>113.37</v>
      </c>
      <c r="K684">
        <v>22.4</v>
      </c>
      <c r="L684">
        <v>72822.47</v>
      </c>
      <c r="M684">
        <v>55614.25</v>
      </c>
      <c r="N684">
        <v>27.23</v>
      </c>
      <c r="O684">
        <v>5.7750000000000003E-2</v>
      </c>
      <c r="P684">
        <v>5.9329999999999998</v>
      </c>
      <c r="Q684">
        <v>104.1</v>
      </c>
      <c r="R684">
        <v>113.705</v>
      </c>
      <c r="S684">
        <v>145.85</v>
      </c>
    </row>
    <row r="685" spans="1:19" x14ac:dyDescent="0.25">
      <c r="A685" s="6">
        <v>44880</v>
      </c>
      <c r="B685">
        <v>125.18</v>
      </c>
      <c r="C685">
        <v>143.85</v>
      </c>
      <c r="D685">
        <v>164.24</v>
      </c>
      <c r="E685">
        <v>172.55</v>
      </c>
      <c r="F685">
        <v>158.44999999999999</v>
      </c>
      <c r="G685">
        <v>86.92</v>
      </c>
      <c r="H685">
        <v>93.86</v>
      </c>
      <c r="I685">
        <v>89.44</v>
      </c>
      <c r="J685">
        <v>114.13</v>
      </c>
      <c r="K685">
        <v>22.45</v>
      </c>
      <c r="L685">
        <v>72998.69</v>
      </c>
      <c r="M685">
        <v>55855.61</v>
      </c>
      <c r="N685">
        <v>27.396999999999998</v>
      </c>
      <c r="O685">
        <v>5.7700000000000001E-2</v>
      </c>
      <c r="P685">
        <v>6.0339999999999998</v>
      </c>
      <c r="Q685">
        <v>105.05</v>
      </c>
      <c r="R685">
        <v>124.105</v>
      </c>
      <c r="S685">
        <v>145.35</v>
      </c>
    </row>
    <row r="686" spans="1:19" x14ac:dyDescent="0.25">
      <c r="A686" s="6">
        <v>44881</v>
      </c>
      <c r="B686">
        <v>125.18</v>
      </c>
      <c r="C686">
        <v>143.85</v>
      </c>
      <c r="D686">
        <v>164.24</v>
      </c>
      <c r="E686">
        <v>172.55</v>
      </c>
      <c r="F686">
        <v>158.44999999999999</v>
      </c>
      <c r="G686">
        <v>85.59</v>
      </c>
      <c r="H686">
        <v>92.86</v>
      </c>
      <c r="I686">
        <v>88.94</v>
      </c>
      <c r="J686">
        <v>112.91</v>
      </c>
      <c r="K686">
        <v>22.55</v>
      </c>
      <c r="L686">
        <v>72607.460000000006</v>
      </c>
      <c r="M686">
        <v>54596.800000000003</v>
      </c>
      <c r="N686">
        <v>25.885000000000002</v>
      </c>
      <c r="O686">
        <v>5.79E-2</v>
      </c>
      <c r="P686">
        <v>6.2</v>
      </c>
      <c r="Q686">
        <v>104.02</v>
      </c>
      <c r="R686">
        <v>113.9</v>
      </c>
      <c r="S686">
        <v>141.55000000000001</v>
      </c>
    </row>
    <row r="687" spans="1:19" x14ac:dyDescent="0.25">
      <c r="A687" s="6">
        <v>44882</v>
      </c>
      <c r="B687">
        <v>125.18</v>
      </c>
      <c r="C687">
        <v>143.85</v>
      </c>
      <c r="D687">
        <v>164.24</v>
      </c>
      <c r="E687">
        <v>172.55</v>
      </c>
      <c r="F687">
        <v>158.44999999999999</v>
      </c>
      <c r="G687">
        <v>81.64</v>
      </c>
      <c r="H687">
        <v>89.78</v>
      </c>
      <c r="I687">
        <v>87.59</v>
      </c>
      <c r="J687">
        <v>113.06</v>
      </c>
      <c r="K687">
        <v>22</v>
      </c>
      <c r="L687">
        <v>72155.289999999994</v>
      </c>
      <c r="M687">
        <v>53974.37</v>
      </c>
      <c r="N687">
        <v>26.315000000000001</v>
      </c>
      <c r="O687">
        <v>5.7480000000000003E-2</v>
      </c>
      <c r="P687">
        <v>6.3689999999999998</v>
      </c>
      <c r="Q687">
        <v>104.1</v>
      </c>
      <c r="R687">
        <v>112.55500000000001</v>
      </c>
      <c r="S687">
        <v>139</v>
      </c>
    </row>
    <row r="688" spans="1:19" x14ac:dyDescent="0.25">
      <c r="A688" s="6">
        <v>44883</v>
      </c>
      <c r="B688">
        <v>119.49</v>
      </c>
      <c r="C688">
        <v>147.03</v>
      </c>
      <c r="D688">
        <v>173.52</v>
      </c>
      <c r="E688">
        <v>181.7</v>
      </c>
      <c r="F688">
        <v>154.97999999999999</v>
      </c>
      <c r="G688">
        <v>80.08</v>
      </c>
      <c r="H688">
        <v>87.62</v>
      </c>
      <c r="I688">
        <v>86.86</v>
      </c>
      <c r="J688">
        <v>112.08</v>
      </c>
      <c r="K688">
        <v>22.1</v>
      </c>
      <c r="L688">
        <v>72576.86</v>
      </c>
      <c r="M688">
        <v>53972.24</v>
      </c>
      <c r="N688">
        <v>26.385000000000002</v>
      </c>
      <c r="O688">
        <v>5.7950000000000002E-2</v>
      </c>
      <c r="P688">
        <v>6.3029999999999999</v>
      </c>
      <c r="Q688">
        <v>104.21</v>
      </c>
      <c r="R688">
        <v>115.51</v>
      </c>
      <c r="S688">
        <v>138.44999999999999</v>
      </c>
    </row>
    <row r="689" spans="1:19" x14ac:dyDescent="0.25">
      <c r="A689" s="6">
        <v>44886</v>
      </c>
      <c r="B689">
        <v>119.49</v>
      </c>
      <c r="C689">
        <v>147.03</v>
      </c>
      <c r="D689">
        <v>173.52</v>
      </c>
      <c r="E689">
        <v>181.7</v>
      </c>
      <c r="F689">
        <v>154.97999999999999</v>
      </c>
      <c r="G689">
        <v>79.73</v>
      </c>
      <c r="H689">
        <v>87.45</v>
      </c>
      <c r="I689">
        <v>86.62</v>
      </c>
      <c r="J689">
        <v>110.97</v>
      </c>
      <c r="K689">
        <v>21.95</v>
      </c>
      <c r="L689">
        <v>71938.009999999995</v>
      </c>
      <c r="M689">
        <v>53284.42</v>
      </c>
      <c r="N689">
        <v>27.3</v>
      </c>
      <c r="O689">
        <v>5.7630000000000001E-2</v>
      </c>
      <c r="P689">
        <v>6.7759999999999998</v>
      </c>
      <c r="Q689">
        <v>105.35</v>
      </c>
      <c r="R689">
        <v>116.13</v>
      </c>
      <c r="S689">
        <v>145.25</v>
      </c>
    </row>
    <row r="690" spans="1:19" x14ac:dyDescent="0.25">
      <c r="A690" s="6">
        <v>44887</v>
      </c>
      <c r="B690">
        <v>119.49</v>
      </c>
      <c r="C690">
        <v>147.03</v>
      </c>
      <c r="D690">
        <v>173.52</v>
      </c>
      <c r="E690">
        <v>181.7</v>
      </c>
      <c r="F690">
        <v>154.97999999999999</v>
      </c>
      <c r="G690">
        <v>80.95</v>
      </c>
      <c r="H690">
        <v>88.36</v>
      </c>
      <c r="I690">
        <v>86.6</v>
      </c>
      <c r="J690">
        <v>114.18</v>
      </c>
      <c r="K690">
        <v>22.25</v>
      </c>
      <c r="L690">
        <v>72242.33</v>
      </c>
      <c r="M690">
        <v>53950.1</v>
      </c>
      <c r="N690">
        <v>29.215</v>
      </c>
      <c r="O690">
        <v>5.799E-2</v>
      </c>
      <c r="P690">
        <v>6.7789999999999999</v>
      </c>
      <c r="Q690">
        <v>106.03</v>
      </c>
      <c r="R690">
        <v>119.64</v>
      </c>
      <c r="S690">
        <v>141.65</v>
      </c>
    </row>
    <row r="691" spans="1:19" x14ac:dyDescent="0.25">
      <c r="A691" s="6">
        <v>44888</v>
      </c>
      <c r="B691">
        <v>119.49</v>
      </c>
      <c r="C691">
        <v>147.03</v>
      </c>
      <c r="D691">
        <v>173.52</v>
      </c>
      <c r="E691">
        <v>181.7</v>
      </c>
      <c r="F691">
        <v>154.97999999999999</v>
      </c>
      <c r="G691">
        <v>77.94</v>
      </c>
      <c r="H691">
        <v>85.41</v>
      </c>
      <c r="I691">
        <v>85.88</v>
      </c>
      <c r="J691">
        <v>113.61</v>
      </c>
      <c r="K691">
        <v>22.65</v>
      </c>
      <c r="L691">
        <v>72891.45</v>
      </c>
      <c r="M691">
        <v>54883.33</v>
      </c>
      <c r="N691">
        <v>31.114999999999998</v>
      </c>
      <c r="O691">
        <v>5.8749999999999997E-2</v>
      </c>
      <c r="P691">
        <v>7.3079999999999998</v>
      </c>
      <c r="Q691">
        <v>106.94</v>
      </c>
      <c r="R691">
        <v>129.62</v>
      </c>
      <c r="S691">
        <v>141.9</v>
      </c>
    </row>
    <row r="692" spans="1:19" x14ac:dyDescent="0.25">
      <c r="A692" s="6">
        <v>44889</v>
      </c>
      <c r="B692">
        <v>119.49</v>
      </c>
      <c r="C692">
        <v>147.03</v>
      </c>
      <c r="D692">
        <v>173.52</v>
      </c>
      <c r="E692">
        <v>181.7</v>
      </c>
      <c r="F692">
        <v>154.97999999999999</v>
      </c>
      <c r="G692">
        <v>77.95</v>
      </c>
      <c r="H692">
        <v>85.34</v>
      </c>
      <c r="I692">
        <v>85.835000000000008</v>
      </c>
      <c r="J692">
        <v>113.41</v>
      </c>
      <c r="K692">
        <v>22.7</v>
      </c>
      <c r="L692">
        <v>73127.34</v>
      </c>
      <c r="M692">
        <v>55736.59</v>
      </c>
      <c r="N692">
        <v>30.622349397592188</v>
      </c>
      <c r="O692">
        <v>5.8749999999999997E-2</v>
      </c>
      <c r="P692">
        <v>7.1769999999999996</v>
      </c>
      <c r="Q692">
        <v>107.03</v>
      </c>
      <c r="R692">
        <v>126.995</v>
      </c>
      <c r="S692">
        <v>146.94999999999999</v>
      </c>
    </row>
    <row r="693" spans="1:19" x14ac:dyDescent="0.25">
      <c r="A693" s="6">
        <v>44890</v>
      </c>
      <c r="B693">
        <v>130.77000000000001</v>
      </c>
      <c r="C693">
        <v>162.80000000000001</v>
      </c>
      <c r="D693">
        <v>191.17</v>
      </c>
      <c r="E693">
        <v>217.08</v>
      </c>
      <c r="F693">
        <v>157.55000000000001</v>
      </c>
      <c r="G693">
        <v>76.28</v>
      </c>
      <c r="H693">
        <v>83.63</v>
      </c>
      <c r="I693">
        <v>85.79</v>
      </c>
      <c r="J693">
        <v>113.21</v>
      </c>
      <c r="K693">
        <v>23.6</v>
      </c>
      <c r="L693">
        <v>73151.38</v>
      </c>
      <c r="M693">
        <v>55279.43</v>
      </c>
      <c r="N693">
        <v>29.96</v>
      </c>
      <c r="O693">
        <v>5.851E-2</v>
      </c>
      <c r="P693">
        <v>7.024</v>
      </c>
      <c r="Q693">
        <v>107.12</v>
      </c>
      <c r="R693">
        <v>124.37</v>
      </c>
      <c r="S693">
        <v>150.35</v>
      </c>
    </row>
    <row r="694" spans="1:19" x14ac:dyDescent="0.25">
      <c r="A694" s="6">
        <v>44893</v>
      </c>
      <c r="B694">
        <v>130.77000000000001</v>
      </c>
      <c r="C694">
        <v>162.80000000000001</v>
      </c>
      <c r="D694">
        <v>191.17</v>
      </c>
      <c r="E694">
        <v>217.08</v>
      </c>
      <c r="F694">
        <v>157.55000000000001</v>
      </c>
      <c r="G694">
        <v>77.239999999999995</v>
      </c>
      <c r="H694">
        <v>83.19</v>
      </c>
      <c r="I694">
        <v>85.97</v>
      </c>
      <c r="J694">
        <v>109.81</v>
      </c>
      <c r="K694">
        <v>22.95</v>
      </c>
      <c r="L694">
        <v>73368.25</v>
      </c>
      <c r="M694">
        <v>55164.28</v>
      </c>
      <c r="N694">
        <v>30.28</v>
      </c>
      <c r="O694">
        <v>5.8270000000000002E-2</v>
      </c>
      <c r="P694">
        <v>6.7119999999999997</v>
      </c>
      <c r="Q694">
        <v>105.08</v>
      </c>
      <c r="R694">
        <v>123.28</v>
      </c>
      <c r="S694">
        <v>148.05000000000001</v>
      </c>
    </row>
    <row r="695" spans="1:19" x14ac:dyDescent="0.25">
      <c r="A695" s="6">
        <v>44894</v>
      </c>
      <c r="B695">
        <v>130.77000000000001</v>
      </c>
      <c r="C695">
        <v>162.80000000000001</v>
      </c>
      <c r="D695">
        <v>191.17</v>
      </c>
      <c r="E695">
        <v>217.08</v>
      </c>
      <c r="F695">
        <v>157.55000000000001</v>
      </c>
      <c r="G695">
        <v>78.2</v>
      </c>
      <c r="H695">
        <v>83.03</v>
      </c>
      <c r="I695">
        <v>86.19</v>
      </c>
      <c r="J695">
        <v>110.54</v>
      </c>
      <c r="K695">
        <v>23.1</v>
      </c>
      <c r="L695">
        <v>73127.92</v>
      </c>
      <c r="M695">
        <v>54561.69</v>
      </c>
      <c r="N695">
        <v>30.504999999999999</v>
      </c>
      <c r="O695">
        <v>5.8790000000000002E-2</v>
      </c>
      <c r="P695">
        <v>7.2350000000000003</v>
      </c>
      <c r="Q695">
        <v>105.34</v>
      </c>
      <c r="R695">
        <v>132.286</v>
      </c>
      <c r="S695">
        <v>148.4</v>
      </c>
    </row>
    <row r="696" spans="1:19" x14ac:dyDescent="0.25">
      <c r="A696" s="6">
        <v>44895</v>
      </c>
      <c r="B696">
        <v>130.77000000000001</v>
      </c>
      <c r="C696">
        <v>162.80000000000001</v>
      </c>
      <c r="D696">
        <v>191.17</v>
      </c>
      <c r="E696">
        <v>217.08</v>
      </c>
      <c r="F696">
        <v>157.55000000000001</v>
      </c>
      <c r="G696">
        <v>80.56</v>
      </c>
      <c r="H696">
        <v>85.43</v>
      </c>
      <c r="I696">
        <v>86.22</v>
      </c>
      <c r="J696">
        <v>111.34</v>
      </c>
      <c r="K696">
        <v>24</v>
      </c>
      <c r="L696">
        <v>74828</v>
      </c>
      <c r="M696">
        <v>56340.88</v>
      </c>
      <c r="N696">
        <v>33.31</v>
      </c>
      <c r="O696">
        <v>5.8189999999999999E-2</v>
      </c>
      <c r="P696">
        <v>6.93</v>
      </c>
      <c r="Q696">
        <v>108.31</v>
      </c>
      <c r="R696">
        <v>146.39500000000001</v>
      </c>
      <c r="S696">
        <v>147.85</v>
      </c>
    </row>
    <row r="697" spans="1:19" x14ac:dyDescent="0.25">
      <c r="A697" s="6">
        <v>44896</v>
      </c>
      <c r="B697">
        <v>130.77000000000001</v>
      </c>
      <c r="C697">
        <v>162.80000000000001</v>
      </c>
      <c r="D697">
        <v>191.17</v>
      </c>
      <c r="E697">
        <v>217.08</v>
      </c>
      <c r="F697">
        <v>157.55000000000001</v>
      </c>
      <c r="G697">
        <v>81.33</v>
      </c>
      <c r="H697">
        <v>86.88</v>
      </c>
      <c r="I697">
        <v>80.94</v>
      </c>
      <c r="J697">
        <v>110.8</v>
      </c>
      <c r="K697">
        <v>23.4</v>
      </c>
      <c r="L697">
        <v>75020.009999999995</v>
      </c>
      <c r="M697">
        <v>58475.56</v>
      </c>
      <c r="N697">
        <v>33.78</v>
      </c>
      <c r="O697">
        <v>5.6590000000000001E-2</v>
      </c>
      <c r="P697">
        <v>6.7380000000000004</v>
      </c>
      <c r="Q697">
        <v>109.53</v>
      </c>
      <c r="R697">
        <v>139.26</v>
      </c>
      <c r="S697">
        <v>148</v>
      </c>
    </row>
    <row r="698" spans="1:19" x14ac:dyDescent="0.25">
      <c r="A698" s="6">
        <v>44897</v>
      </c>
      <c r="B698">
        <v>145.30000000000001</v>
      </c>
      <c r="C698">
        <v>175.18</v>
      </c>
      <c r="D698">
        <v>210.88</v>
      </c>
      <c r="E698">
        <v>236.32</v>
      </c>
      <c r="F698">
        <v>165.72</v>
      </c>
      <c r="G698">
        <v>80.3</v>
      </c>
      <c r="H698">
        <v>85.55</v>
      </c>
      <c r="I698">
        <v>80.099999999999994</v>
      </c>
      <c r="J698">
        <v>109.86</v>
      </c>
      <c r="K698">
        <v>22.55</v>
      </c>
      <c r="L698">
        <v>74322.91</v>
      </c>
      <c r="M698">
        <v>56628.5</v>
      </c>
      <c r="N698">
        <v>31.76</v>
      </c>
      <c r="O698">
        <v>5.706E-2</v>
      </c>
      <c r="P698">
        <v>6.1689999999999996</v>
      </c>
      <c r="Q698">
        <v>109.25</v>
      </c>
      <c r="R698">
        <v>135.56</v>
      </c>
      <c r="S698">
        <v>150.19999999999999</v>
      </c>
    </row>
    <row r="699" spans="1:19" x14ac:dyDescent="0.25">
      <c r="A699" s="6">
        <v>44900</v>
      </c>
      <c r="B699">
        <v>145.30000000000001</v>
      </c>
      <c r="C699">
        <v>175.18</v>
      </c>
      <c r="D699">
        <v>210.88</v>
      </c>
      <c r="E699">
        <v>236.32</v>
      </c>
      <c r="F699">
        <v>165.72</v>
      </c>
      <c r="G699">
        <v>77.400000000000006</v>
      </c>
      <c r="H699">
        <v>82.66</v>
      </c>
      <c r="I699">
        <v>77.52</v>
      </c>
      <c r="J699">
        <v>106.85</v>
      </c>
      <c r="K699">
        <v>23.15</v>
      </c>
      <c r="L699">
        <v>74693.42</v>
      </c>
      <c r="M699">
        <v>56449.14</v>
      </c>
      <c r="N699">
        <v>33.185000000000002</v>
      </c>
      <c r="O699">
        <v>5.7340000000000002E-2</v>
      </c>
      <c r="P699">
        <v>5.484</v>
      </c>
      <c r="Q699">
        <v>107.09</v>
      </c>
      <c r="R699">
        <v>134.69999999999999</v>
      </c>
      <c r="S699">
        <v>151</v>
      </c>
    </row>
    <row r="700" spans="1:19" x14ac:dyDescent="0.25">
      <c r="A700" s="6">
        <v>44901</v>
      </c>
      <c r="B700">
        <v>145.30000000000001</v>
      </c>
      <c r="C700">
        <v>175.18</v>
      </c>
      <c r="D700">
        <v>210.88</v>
      </c>
      <c r="E700">
        <v>236.32</v>
      </c>
      <c r="F700">
        <v>165.72</v>
      </c>
      <c r="G700">
        <v>74.47</v>
      </c>
      <c r="H700">
        <v>79.67</v>
      </c>
      <c r="I700">
        <v>75.12</v>
      </c>
      <c r="J700">
        <v>103.88</v>
      </c>
      <c r="K700">
        <v>23.2</v>
      </c>
      <c r="L700">
        <v>74557.31</v>
      </c>
      <c r="M700">
        <v>56585.4</v>
      </c>
      <c r="N700">
        <v>32.844999999999999</v>
      </c>
      <c r="O700">
        <v>5.765E-2</v>
      </c>
      <c r="P700">
        <v>5.3780000000000001</v>
      </c>
      <c r="Q700">
        <v>105.74</v>
      </c>
      <c r="R700">
        <v>138.49</v>
      </c>
      <c r="S700">
        <v>148.35</v>
      </c>
    </row>
    <row r="701" spans="1:19" x14ac:dyDescent="0.25">
      <c r="A701" s="6">
        <v>44902</v>
      </c>
      <c r="B701">
        <v>145.30000000000001</v>
      </c>
      <c r="C701">
        <v>175.18</v>
      </c>
      <c r="D701">
        <v>210.88</v>
      </c>
      <c r="E701">
        <v>236.32</v>
      </c>
      <c r="F701">
        <v>165.72</v>
      </c>
      <c r="G701">
        <v>72.58</v>
      </c>
      <c r="H701">
        <v>77.59</v>
      </c>
      <c r="I701">
        <v>73.88</v>
      </c>
      <c r="J701">
        <v>103.65</v>
      </c>
      <c r="K701">
        <v>22.6</v>
      </c>
      <c r="L701">
        <v>74011.12</v>
      </c>
      <c r="M701">
        <v>56770.81</v>
      </c>
      <c r="N701">
        <v>33.35</v>
      </c>
      <c r="O701">
        <v>5.8180000000000003E-2</v>
      </c>
      <c r="P701">
        <v>5.617</v>
      </c>
      <c r="Q701">
        <v>103.53</v>
      </c>
      <c r="R701">
        <v>149.245</v>
      </c>
      <c r="S701">
        <v>146.19999999999999</v>
      </c>
    </row>
    <row r="702" spans="1:19" x14ac:dyDescent="0.25">
      <c r="A702" s="6">
        <v>44903</v>
      </c>
      <c r="B702">
        <v>145.30000000000001</v>
      </c>
      <c r="C702">
        <v>175.18</v>
      </c>
      <c r="D702">
        <v>210.88</v>
      </c>
      <c r="E702">
        <v>236.32</v>
      </c>
      <c r="F702">
        <v>165.72</v>
      </c>
      <c r="G702">
        <v>72.06</v>
      </c>
      <c r="H702">
        <v>76.59</v>
      </c>
      <c r="I702">
        <v>73.45</v>
      </c>
      <c r="J702">
        <v>104.42</v>
      </c>
      <c r="K702">
        <v>22.35</v>
      </c>
      <c r="L702">
        <v>74467.259999999995</v>
      </c>
      <c r="M702">
        <v>57205.8</v>
      </c>
      <c r="N702">
        <v>34.295000000000002</v>
      </c>
      <c r="O702">
        <v>5.8189999999999999E-2</v>
      </c>
      <c r="P702">
        <v>5.82</v>
      </c>
      <c r="Q702">
        <v>104.44</v>
      </c>
      <c r="R702">
        <v>138.89500000000001</v>
      </c>
      <c r="S702">
        <v>148.25</v>
      </c>
    </row>
    <row r="703" spans="1:19" x14ac:dyDescent="0.25">
      <c r="A703" s="6">
        <v>44904</v>
      </c>
      <c r="B703">
        <v>138.18</v>
      </c>
      <c r="C703">
        <v>172.46</v>
      </c>
      <c r="D703">
        <v>211.75</v>
      </c>
      <c r="E703">
        <v>235.9</v>
      </c>
      <c r="F703">
        <v>164.13</v>
      </c>
      <c r="G703">
        <v>71.5</v>
      </c>
      <c r="H703">
        <v>76.599999999999994</v>
      </c>
      <c r="I703">
        <v>73.709999999999994</v>
      </c>
      <c r="J703">
        <v>103.54</v>
      </c>
      <c r="K703">
        <v>22.7</v>
      </c>
      <c r="L703">
        <v>74548.14</v>
      </c>
      <c r="M703">
        <v>57261.55</v>
      </c>
      <c r="N703">
        <v>33.365000000000002</v>
      </c>
      <c r="O703">
        <v>5.765E-2</v>
      </c>
      <c r="P703">
        <v>6.0819999999999999</v>
      </c>
      <c r="Q703">
        <v>103.33</v>
      </c>
      <c r="R703">
        <v>139.11500000000001</v>
      </c>
      <c r="S703">
        <v>145.1</v>
      </c>
    </row>
    <row r="704" spans="1:19" x14ac:dyDescent="0.25">
      <c r="A704" s="6">
        <v>44907</v>
      </c>
      <c r="B704">
        <v>138.18</v>
      </c>
      <c r="C704">
        <v>172.46</v>
      </c>
      <c r="D704">
        <v>211.75</v>
      </c>
      <c r="E704">
        <v>235.9</v>
      </c>
      <c r="F704">
        <v>164.13</v>
      </c>
      <c r="G704">
        <v>73.44</v>
      </c>
      <c r="H704">
        <v>78.34</v>
      </c>
      <c r="I704">
        <v>75.13</v>
      </c>
      <c r="J704">
        <v>106.09</v>
      </c>
      <c r="K704">
        <v>22.5</v>
      </c>
      <c r="L704">
        <v>74422.179999999993</v>
      </c>
      <c r="M704">
        <v>56409.98</v>
      </c>
      <c r="N704">
        <v>32.924999999999997</v>
      </c>
      <c r="O704">
        <v>5.688E-2</v>
      </c>
      <c r="P704">
        <v>6.4160000000000004</v>
      </c>
      <c r="Q704">
        <v>105.26</v>
      </c>
      <c r="R704">
        <v>136.59</v>
      </c>
      <c r="S704">
        <v>144.30000000000001</v>
      </c>
    </row>
    <row r="705" spans="1:19" x14ac:dyDescent="0.25">
      <c r="A705" s="6">
        <v>44908</v>
      </c>
      <c r="B705">
        <v>138.18</v>
      </c>
      <c r="C705">
        <v>172.46</v>
      </c>
      <c r="D705">
        <v>211.75</v>
      </c>
      <c r="E705">
        <v>235.9</v>
      </c>
      <c r="F705">
        <v>164.13</v>
      </c>
      <c r="G705">
        <v>75.19</v>
      </c>
      <c r="H705">
        <v>80.86</v>
      </c>
      <c r="I705">
        <v>76.62</v>
      </c>
      <c r="J705">
        <v>107.25</v>
      </c>
      <c r="K705">
        <v>22.45</v>
      </c>
      <c r="L705">
        <v>75835.45</v>
      </c>
      <c r="M705">
        <v>58028.02</v>
      </c>
      <c r="N705">
        <v>33.344999999999999</v>
      </c>
      <c r="O705">
        <v>5.7880000000000001E-2</v>
      </c>
      <c r="P705">
        <v>6.7329999999999997</v>
      </c>
      <c r="Q705">
        <v>106.38</v>
      </c>
      <c r="R705">
        <v>137.53</v>
      </c>
      <c r="S705">
        <v>146.9</v>
      </c>
    </row>
    <row r="706" spans="1:19" x14ac:dyDescent="0.25">
      <c r="A706" s="6">
        <v>44909</v>
      </c>
      <c r="B706">
        <v>138.18</v>
      </c>
      <c r="C706">
        <v>172.46</v>
      </c>
      <c r="D706">
        <v>211.75</v>
      </c>
      <c r="E706">
        <v>235.9</v>
      </c>
      <c r="F706">
        <v>164.13</v>
      </c>
      <c r="G706">
        <v>77.27</v>
      </c>
      <c r="H706">
        <v>82.75</v>
      </c>
      <c r="I706">
        <v>77.67</v>
      </c>
      <c r="J706">
        <v>106.46</v>
      </c>
      <c r="K706">
        <v>22.7</v>
      </c>
      <c r="L706">
        <v>74294.67</v>
      </c>
      <c r="M706">
        <v>55724.32</v>
      </c>
      <c r="N706">
        <v>33.384999999999998</v>
      </c>
      <c r="O706">
        <v>5.8189999999999999E-2</v>
      </c>
      <c r="P706">
        <v>6.22</v>
      </c>
      <c r="Q706">
        <v>103.93</v>
      </c>
      <c r="R706">
        <v>131.51</v>
      </c>
      <c r="S706">
        <v>148.19999999999999</v>
      </c>
    </row>
    <row r="707" spans="1:19" x14ac:dyDescent="0.25">
      <c r="A707" s="6">
        <v>44910</v>
      </c>
      <c r="B707">
        <v>138.18</v>
      </c>
      <c r="C707">
        <v>172.46</v>
      </c>
      <c r="D707">
        <v>211.75</v>
      </c>
      <c r="E707">
        <v>235.9</v>
      </c>
      <c r="F707">
        <v>164.13</v>
      </c>
      <c r="G707">
        <v>76.25</v>
      </c>
      <c r="H707">
        <v>81.319999999999993</v>
      </c>
      <c r="I707">
        <v>76.900000000000006</v>
      </c>
      <c r="J707">
        <v>105.44</v>
      </c>
      <c r="K707">
        <v>22.6</v>
      </c>
      <c r="L707">
        <v>72989.34</v>
      </c>
      <c r="M707">
        <v>54425.72</v>
      </c>
      <c r="N707">
        <v>33.442999999999998</v>
      </c>
      <c r="O707">
        <v>5.713E-2</v>
      </c>
      <c r="P707">
        <v>6.5890000000000004</v>
      </c>
      <c r="Q707">
        <v>102.22</v>
      </c>
      <c r="R707">
        <v>134.76499999999999</v>
      </c>
      <c r="S707">
        <v>147.94999999999999</v>
      </c>
    </row>
    <row r="708" spans="1:19" x14ac:dyDescent="0.25">
      <c r="A708" s="6">
        <v>44911</v>
      </c>
      <c r="B708">
        <v>119.43</v>
      </c>
      <c r="C708">
        <v>147.96</v>
      </c>
      <c r="D708">
        <v>186.2</v>
      </c>
      <c r="E708">
        <v>206.01</v>
      </c>
      <c r="F708">
        <v>160.66</v>
      </c>
      <c r="G708">
        <v>74.45</v>
      </c>
      <c r="H708">
        <v>79.489999999999995</v>
      </c>
      <c r="I708">
        <v>75.89</v>
      </c>
      <c r="J708">
        <v>104.7</v>
      </c>
      <c r="K708">
        <v>22.7</v>
      </c>
      <c r="L708">
        <v>74029.770257510245</v>
      </c>
      <c r="M708">
        <v>55291.978626610711</v>
      </c>
      <c r="N708">
        <v>35.575000000000003</v>
      </c>
      <c r="O708">
        <v>5.6649999999999999E-2</v>
      </c>
      <c r="P708">
        <v>6.3029999999999999</v>
      </c>
      <c r="Q708">
        <v>100.76</v>
      </c>
      <c r="R708">
        <v>115.45</v>
      </c>
      <c r="S708">
        <v>144.85</v>
      </c>
    </row>
    <row r="709" spans="1:19" x14ac:dyDescent="0.25">
      <c r="A709" s="6">
        <v>44914</v>
      </c>
      <c r="B709">
        <v>119.43</v>
      </c>
      <c r="C709">
        <v>147.96</v>
      </c>
      <c r="D709">
        <v>186.2</v>
      </c>
      <c r="E709">
        <v>206.01</v>
      </c>
      <c r="F709">
        <v>160.66</v>
      </c>
      <c r="G709">
        <v>75.89</v>
      </c>
      <c r="H709">
        <v>80.14</v>
      </c>
      <c r="I709">
        <v>76.31</v>
      </c>
      <c r="J709">
        <v>105.17</v>
      </c>
      <c r="K709">
        <v>22.45</v>
      </c>
      <c r="L709">
        <v>73359.600000000006</v>
      </c>
      <c r="M709">
        <v>54621.94</v>
      </c>
      <c r="N709">
        <v>36.49</v>
      </c>
      <c r="O709">
        <v>5.7709999999999997E-2</v>
      </c>
      <c r="P709">
        <v>5.71</v>
      </c>
      <c r="Q709">
        <v>100.28</v>
      </c>
      <c r="R709">
        <v>108.545</v>
      </c>
      <c r="S709">
        <v>144.80000000000001</v>
      </c>
    </row>
    <row r="710" spans="1:19" x14ac:dyDescent="0.25">
      <c r="A710" s="6">
        <v>44915</v>
      </c>
      <c r="B710">
        <v>119.43</v>
      </c>
      <c r="C710">
        <v>147.96</v>
      </c>
      <c r="D710">
        <v>186.2</v>
      </c>
      <c r="E710">
        <v>206.01</v>
      </c>
      <c r="F710">
        <v>160.66</v>
      </c>
      <c r="G710">
        <v>76.23</v>
      </c>
      <c r="H710">
        <v>80.53</v>
      </c>
      <c r="I710">
        <v>76.400000000000006</v>
      </c>
      <c r="J710">
        <v>106.69</v>
      </c>
      <c r="K710">
        <v>22.3</v>
      </c>
      <c r="L710">
        <v>73040.509999999995</v>
      </c>
      <c r="M710">
        <v>54645.77</v>
      </c>
      <c r="N710">
        <v>34.914999999999999</v>
      </c>
      <c r="O710">
        <v>5.7770000000000002E-2</v>
      </c>
      <c r="P710">
        <v>5.2160000000000002</v>
      </c>
      <c r="Q710">
        <v>100.39</v>
      </c>
      <c r="R710">
        <v>105.69</v>
      </c>
      <c r="S710">
        <v>143.9</v>
      </c>
    </row>
    <row r="711" spans="1:19" x14ac:dyDescent="0.25">
      <c r="A711" s="6">
        <v>44916</v>
      </c>
      <c r="B711">
        <v>119.43</v>
      </c>
      <c r="C711">
        <v>147.96</v>
      </c>
      <c r="D711">
        <v>186.2</v>
      </c>
      <c r="E711">
        <v>206.01</v>
      </c>
      <c r="F711">
        <v>160.66</v>
      </c>
      <c r="G711">
        <v>78.239999999999995</v>
      </c>
      <c r="H711">
        <v>82.58</v>
      </c>
      <c r="I711">
        <v>77.099999999999994</v>
      </c>
      <c r="J711">
        <v>108.06</v>
      </c>
      <c r="K711">
        <v>22.45</v>
      </c>
      <c r="L711">
        <v>73836.91</v>
      </c>
      <c r="M711">
        <v>55927.48</v>
      </c>
      <c r="N711">
        <v>31.68</v>
      </c>
      <c r="O711">
        <v>5.8099999999999999E-2</v>
      </c>
      <c r="P711">
        <v>5.2380000000000004</v>
      </c>
      <c r="Q711">
        <v>102.55</v>
      </c>
      <c r="R711">
        <v>97.75</v>
      </c>
      <c r="S711">
        <v>141.1</v>
      </c>
    </row>
    <row r="712" spans="1:19" x14ac:dyDescent="0.25">
      <c r="A712" s="6">
        <v>44917</v>
      </c>
      <c r="B712">
        <v>119.43</v>
      </c>
      <c r="C712">
        <v>147.96</v>
      </c>
      <c r="D712">
        <v>186.2</v>
      </c>
      <c r="E712">
        <v>206.01</v>
      </c>
      <c r="F712">
        <v>160.66</v>
      </c>
      <c r="G712">
        <v>78.45</v>
      </c>
      <c r="H712">
        <v>81.67</v>
      </c>
      <c r="I712">
        <v>76.87</v>
      </c>
      <c r="J712">
        <v>105.88</v>
      </c>
      <c r="K712">
        <v>22.5</v>
      </c>
      <c r="L712">
        <v>73225.13</v>
      </c>
      <c r="M712">
        <v>54997.87</v>
      </c>
      <c r="N712">
        <v>31.635000000000002</v>
      </c>
      <c r="O712">
        <v>5.8279999999999998E-2</v>
      </c>
      <c r="P712">
        <v>4.9279999999999999</v>
      </c>
      <c r="Q712">
        <v>102.46</v>
      </c>
      <c r="R712">
        <v>91.94</v>
      </c>
      <c r="S712">
        <v>138.4</v>
      </c>
    </row>
    <row r="713" spans="1:19" x14ac:dyDescent="0.25">
      <c r="A713" s="6">
        <v>44918</v>
      </c>
      <c r="B713">
        <v>116.49</v>
      </c>
      <c r="C713">
        <v>140.33000000000001</v>
      </c>
      <c r="D713">
        <v>173.37</v>
      </c>
      <c r="E713">
        <v>177.92</v>
      </c>
      <c r="F713">
        <v>162.07</v>
      </c>
      <c r="G713">
        <v>79.34</v>
      </c>
      <c r="H713">
        <v>84.5</v>
      </c>
      <c r="I713">
        <v>77.48</v>
      </c>
      <c r="J713">
        <v>108.68</v>
      </c>
      <c r="K713">
        <v>22.5</v>
      </c>
      <c r="L713">
        <v>73493.47</v>
      </c>
      <c r="M713">
        <v>55801.1</v>
      </c>
      <c r="N713">
        <v>28.12</v>
      </c>
      <c r="O713">
        <v>5.8659999999999997E-2</v>
      </c>
      <c r="P713">
        <v>4.9800000000000004</v>
      </c>
      <c r="Q713">
        <v>102.81</v>
      </c>
      <c r="R713">
        <v>82.974999999999994</v>
      </c>
      <c r="S713">
        <v>130.19999999999999</v>
      </c>
    </row>
    <row r="714" spans="1:19" x14ac:dyDescent="0.25">
      <c r="A714" s="6">
        <v>44921</v>
      </c>
      <c r="B714">
        <v>116.49</v>
      </c>
      <c r="C714">
        <v>140.33000000000001</v>
      </c>
      <c r="D714">
        <v>173.37</v>
      </c>
      <c r="E714">
        <v>177.92</v>
      </c>
      <c r="F714">
        <v>162.07</v>
      </c>
      <c r="G714">
        <v>80.97</v>
      </c>
      <c r="H714">
        <v>84.59</v>
      </c>
      <c r="I714">
        <v>77.5</v>
      </c>
      <c r="J714">
        <v>109.435</v>
      </c>
      <c r="K714">
        <v>22.335135135135033</v>
      </c>
      <c r="L714">
        <v>73079.709299385082</v>
      </c>
      <c r="M714">
        <v>55653.712205080315</v>
      </c>
      <c r="N714">
        <v>26.911216216212779</v>
      </c>
      <c r="O714">
        <v>5.8689999999999999E-2</v>
      </c>
      <c r="P714">
        <v>5.1440000000000001</v>
      </c>
      <c r="Q714">
        <v>102.46000000000001</v>
      </c>
      <c r="R714">
        <v>81.509999999999991</v>
      </c>
      <c r="S714">
        <v>136.6</v>
      </c>
    </row>
    <row r="715" spans="1:19" x14ac:dyDescent="0.25">
      <c r="A715" s="6">
        <v>44922</v>
      </c>
      <c r="B715">
        <v>116.49</v>
      </c>
      <c r="C715">
        <v>140.33000000000001</v>
      </c>
      <c r="D715">
        <v>173.37</v>
      </c>
      <c r="E715">
        <v>177.92</v>
      </c>
      <c r="F715">
        <v>162.07</v>
      </c>
      <c r="G715">
        <v>79.77</v>
      </c>
      <c r="H715">
        <v>84.68</v>
      </c>
      <c r="I715">
        <v>77.52</v>
      </c>
      <c r="J715">
        <v>110.19</v>
      </c>
      <c r="K715">
        <v>22.399576333089783</v>
      </c>
      <c r="L715">
        <v>73197.593231900595</v>
      </c>
      <c r="M715">
        <v>56046.420393582433</v>
      </c>
      <c r="N715">
        <v>28.184999999999999</v>
      </c>
      <c r="O715">
        <v>5.8119999999999998E-2</v>
      </c>
      <c r="P715">
        <v>5.282</v>
      </c>
      <c r="Q715">
        <v>102.11</v>
      </c>
      <c r="R715">
        <v>80.045000000000002</v>
      </c>
      <c r="S715">
        <v>138.5</v>
      </c>
    </row>
    <row r="716" spans="1:19" x14ac:dyDescent="0.25">
      <c r="A716" s="6">
        <v>44923</v>
      </c>
      <c r="B716">
        <v>116.49</v>
      </c>
      <c r="C716">
        <v>140.33000000000001</v>
      </c>
      <c r="D716">
        <v>173.37</v>
      </c>
      <c r="E716">
        <v>177.92</v>
      </c>
      <c r="F716">
        <v>162.07</v>
      </c>
      <c r="G716">
        <v>78.599999999999994</v>
      </c>
      <c r="H716">
        <v>83.26</v>
      </c>
      <c r="I716">
        <v>77.39</v>
      </c>
      <c r="J716">
        <v>108.38</v>
      </c>
      <c r="K716">
        <v>22.9</v>
      </c>
      <c r="L716">
        <v>74277.56</v>
      </c>
      <c r="M716">
        <v>56464.78</v>
      </c>
      <c r="N716">
        <v>28.51</v>
      </c>
      <c r="O716">
        <v>5.8400000000000001E-2</v>
      </c>
      <c r="P716">
        <v>4.7089999999999996</v>
      </c>
      <c r="Q716">
        <v>102.27</v>
      </c>
      <c r="R716">
        <v>81.349999999999994</v>
      </c>
      <c r="S716">
        <v>139.6</v>
      </c>
    </row>
    <row r="717" spans="1:19" x14ac:dyDescent="0.25">
      <c r="A717" s="6">
        <v>44924</v>
      </c>
      <c r="B717">
        <v>116.49</v>
      </c>
      <c r="C717">
        <v>140.33000000000001</v>
      </c>
      <c r="D717">
        <v>173.37</v>
      </c>
      <c r="E717">
        <v>177.92</v>
      </c>
      <c r="F717">
        <v>162.07</v>
      </c>
      <c r="G717">
        <v>78.61</v>
      </c>
      <c r="H717">
        <v>82.26</v>
      </c>
      <c r="I717">
        <v>77.239999999999995</v>
      </c>
      <c r="J717">
        <v>109.2</v>
      </c>
      <c r="K717">
        <v>22.5</v>
      </c>
      <c r="L717">
        <v>73597.14</v>
      </c>
      <c r="M717">
        <v>56026.2</v>
      </c>
      <c r="N717">
        <v>28.83</v>
      </c>
      <c r="O717">
        <v>5.8900000000000001E-2</v>
      </c>
      <c r="P717">
        <v>4.5590000000000002</v>
      </c>
      <c r="Q717">
        <v>104.1</v>
      </c>
      <c r="R717">
        <v>83.83</v>
      </c>
      <c r="S717">
        <v>139.6</v>
      </c>
    </row>
    <row r="718" spans="1:19" x14ac:dyDescent="0.25">
      <c r="A718" s="6">
        <v>44925</v>
      </c>
      <c r="B718">
        <v>98.55</v>
      </c>
      <c r="C718">
        <v>126.43</v>
      </c>
      <c r="D718">
        <v>160.44</v>
      </c>
      <c r="E718">
        <v>186.25</v>
      </c>
      <c r="F718">
        <v>156.63</v>
      </c>
      <c r="G718">
        <v>80.47</v>
      </c>
      <c r="H718">
        <v>85.91</v>
      </c>
      <c r="I718">
        <v>77.2</v>
      </c>
      <c r="J718">
        <v>110.3</v>
      </c>
      <c r="K718">
        <v>22.55</v>
      </c>
      <c r="L718">
        <v>73048.570000000007</v>
      </c>
      <c r="M718">
        <v>54581.02</v>
      </c>
      <c r="N718">
        <v>29.515000000000001</v>
      </c>
      <c r="O718">
        <v>5.876E-2</v>
      </c>
      <c r="P718">
        <v>4.4749999999999996</v>
      </c>
      <c r="Q718">
        <v>102.59</v>
      </c>
      <c r="R718">
        <v>76.314999999999998</v>
      </c>
      <c r="S718">
        <v>140</v>
      </c>
    </row>
    <row r="719" spans="1:19" x14ac:dyDescent="0.25">
      <c r="A719" s="6">
        <v>44928</v>
      </c>
      <c r="B719">
        <v>98.55</v>
      </c>
      <c r="C719">
        <v>126.43</v>
      </c>
      <c r="D719">
        <v>160.44</v>
      </c>
      <c r="E719">
        <v>186.25</v>
      </c>
      <c r="F719">
        <v>156.63</v>
      </c>
      <c r="G719">
        <v>80.47</v>
      </c>
      <c r="H719">
        <v>84.004999999999995</v>
      </c>
      <c r="I719">
        <v>77.555000000000007</v>
      </c>
      <c r="J719">
        <v>108.405</v>
      </c>
      <c r="K719">
        <v>22.66020571338322</v>
      </c>
      <c r="L719">
        <v>73470.755069209015</v>
      </c>
      <c r="M719">
        <v>55315.704258317128</v>
      </c>
      <c r="N719">
        <v>29.665474799123331</v>
      </c>
      <c r="O719">
        <v>5.8860000000000003E-2</v>
      </c>
      <c r="P719">
        <v>4.1429999999999998</v>
      </c>
      <c r="Q719">
        <v>102.91</v>
      </c>
      <c r="R719">
        <v>74.314999999999998</v>
      </c>
      <c r="S719">
        <v>142.25</v>
      </c>
    </row>
    <row r="720" spans="1:19" x14ac:dyDescent="0.25">
      <c r="A720" s="6">
        <v>44929</v>
      </c>
      <c r="B720">
        <v>98.55</v>
      </c>
      <c r="C720">
        <v>126.43</v>
      </c>
      <c r="D720">
        <v>160.44</v>
      </c>
      <c r="E720">
        <v>186.25</v>
      </c>
      <c r="F720">
        <v>156.63</v>
      </c>
      <c r="G720">
        <v>77.12</v>
      </c>
      <c r="H720">
        <v>82.1</v>
      </c>
      <c r="I720">
        <v>77.91</v>
      </c>
      <c r="J720">
        <v>106.51</v>
      </c>
      <c r="K720">
        <v>23.05</v>
      </c>
      <c r="L720">
        <v>74436.479999999996</v>
      </c>
      <c r="M720">
        <v>56530.97</v>
      </c>
      <c r="N720">
        <v>29.344999999999999</v>
      </c>
      <c r="O720">
        <v>5.8770000000000003E-2</v>
      </c>
      <c r="P720">
        <v>3.988</v>
      </c>
      <c r="Q720">
        <v>103.23</v>
      </c>
      <c r="R720">
        <v>72.314999999999998</v>
      </c>
      <c r="S720">
        <v>142.65</v>
      </c>
    </row>
    <row r="721" spans="1:19" x14ac:dyDescent="0.25">
      <c r="A721" s="6">
        <v>44930</v>
      </c>
      <c r="B721">
        <v>98.55</v>
      </c>
      <c r="C721">
        <v>126.43</v>
      </c>
      <c r="D721">
        <v>160.44</v>
      </c>
      <c r="E721">
        <v>186.25</v>
      </c>
      <c r="F721">
        <v>156.63</v>
      </c>
      <c r="G721">
        <v>73.099999999999994</v>
      </c>
      <c r="H721">
        <v>77.84</v>
      </c>
      <c r="I721">
        <v>74.69</v>
      </c>
      <c r="J721">
        <v>106.82</v>
      </c>
      <c r="K721">
        <v>22.8</v>
      </c>
      <c r="L721">
        <v>74567.61</v>
      </c>
      <c r="M721">
        <v>56831.91</v>
      </c>
      <c r="N721">
        <v>29.5</v>
      </c>
      <c r="O721">
        <v>5.9229999999999998E-2</v>
      </c>
      <c r="P721">
        <v>4.1719999999999997</v>
      </c>
      <c r="Q721">
        <v>103.93</v>
      </c>
      <c r="R721">
        <v>65.02</v>
      </c>
      <c r="S721">
        <v>140.5</v>
      </c>
    </row>
    <row r="722" spans="1:19" x14ac:dyDescent="0.25">
      <c r="A722" s="6">
        <v>44931</v>
      </c>
      <c r="B722">
        <v>98.55</v>
      </c>
      <c r="C722">
        <v>126.43</v>
      </c>
      <c r="D722">
        <v>160.44</v>
      </c>
      <c r="E722">
        <v>186.25</v>
      </c>
      <c r="F722">
        <v>156.63</v>
      </c>
      <c r="G722">
        <v>73.92</v>
      </c>
      <c r="H722">
        <v>78.69</v>
      </c>
      <c r="I722">
        <v>75.459999999999994</v>
      </c>
      <c r="J722">
        <v>109.21</v>
      </c>
      <c r="K722">
        <v>22.9</v>
      </c>
      <c r="L722">
        <v>75439.3</v>
      </c>
      <c r="M722">
        <v>57891.73</v>
      </c>
      <c r="N722">
        <v>28.85</v>
      </c>
      <c r="O722">
        <v>5.8229999999999997E-2</v>
      </c>
      <c r="P722">
        <v>3.72</v>
      </c>
      <c r="Q722">
        <v>102.58</v>
      </c>
      <c r="R722">
        <v>72.42</v>
      </c>
      <c r="S722">
        <v>140.44999999999999</v>
      </c>
    </row>
    <row r="723" spans="1:19" x14ac:dyDescent="0.25">
      <c r="A723" s="6">
        <v>44932</v>
      </c>
      <c r="B723">
        <v>112.23</v>
      </c>
      <c r="C723">
        <v>126.64</v>
      </c>
      <c r="D723">
        <v>159.49</v>
      </c>
      <c r="E723">
        <v>179.05</v>
      </c>
      <c r="F723">
        <v>150.04</v>
      </c>
      <c r="G723">
        <v>74.040000000000006</v>
      </c>
      <c r="H723">
        <v>78.569999999999993</v>
      </c>
      <c r="I723">
        <v>75.400000000000006</v>
      </c>
      <c r="J723">
        <v>110.53</v>
      </c>
      <c r="K723">
        <v>22.85</v>
      </c>
      <c r="L723">
        <v>76858.94</v>
      </c>
      <c r="M723">
        <v>60287.57</v>
      </c>
      <c r="N723">
        <v>28.45</v>
      </c>
      <c r="O723">
        <v>5.8299999999999998E-2</v>
      </c>
      <c r="P723">
        <v>3.71</v>
      </c>
      <c r="Q723">
        <v>104.9</v>
      </c>
      <c r="R723">
        <v>69.534999999999997</v>
      </c>
      <c r="S723">
        <v>139.15</v>
      </c>
    </row>
    <row r="724" spans="1:19" x14ac:dyDescent="0.25">
      <c r="A724" s="6">
        <v>44935</v>
      </c>
      <c r="B724">
        <v>112.23</v>
      </c>
      <c r="C724">
        <v>126.64</v>
      </c>
      <c r="D724">
        <v>159.49</v>
      </c>
      <c r="E724">
        <v>179.05</v>
      </c>
      <c r="F724">
        <v>150.04</v>
      </c>
      <c r="G724">
        <v>74.92</v>
      </c>
      <c r="H724">
        <v>79.650000000000006</v>
      </c>
      <c r="I724">
        <v>76.430000000000007</v>
      </c>
      <c r="J724">
        <v>108.47</v>
      </c>
      <c r="K724">
        <v>23</v>
      </c>
      <c r="L724">
        <v>78342.7</v>
      </c>
      <c r="M724">
        <v>61074.51</v>
      </c>
      <c r="N724">
        <v>27.114999999999998</v>
      </c>
      <c r="O724">
        <v>5.9080000000000001E-2</v>
      </c>
      <c r="P724">
        <v>3.91</v>
      </c>
      <c r="Q724">
        <v>105.24</v>
      </c>
      <c r="R724">
        <v>74.3</v>
      </c>
      <c r="S724">
        <v>141.4</v>
      </c>
    </row>
    <row r="725" spans="1:19" x14ac:dyDescent="0.25">
      <c r="A725" s="6">
        <v>44936</v>
      </c>
      <c r="B725">
        <v>112.23</v>
      </c>
      <c r="C725">
        <v>126.64</v>
      </c>
      <c r="D725">
        <v>159.49</v>
      </c>
      <c r="E725">
        <v>179.05</v>
      </c>
      <c r="F725">
        <v>150.04</v>
      </c>
      <c r="G725">
        <v>75.37</v>
      </c>
      <c r="H725">
        <v>80.099999999999994</v>
      </c>
      <c r="I725">
        <v>77.06</v>
      </c>
      <c r="J725">
        <v>110.09</v>
      </c>
      <c r="K725">
        <v>23.25</v>
      </c>
      <c r="L725">
        <v>78000.31</v>
      </c>
      <c r="M725">
        <v>61012.74</v>
      </c>
      <c r="N725">
        <v>27.06</v>
      </c>
      <c r="O725">
        <v>5.8700000000000002E-2</v>
      </c>
      <c r="P725">
        <v>3.6389999999999998</v>
      </c>
      <c r="Q725">
        <v>106.65</v>
      </c>
      <c r="R725">
        <v>70.069999999999993</v>
      </c>
      <c r="S725">
        <v>141.69999999999999</v>
      </c>
    </row>
    <row r="726" spans="1:19" x14ac:dyDescent="0.25">
      <c r="A726" s="6">
        <v>44937</v>
      </c>
      <c r="B726">
        <v>112.23</v>
      </c>
      <c r="C726">
        <v>126.64</v>
      </c>
      <c r="D726">
        <v>159.49</v>
      </c>
      <c r="E726">
        <v>179.05</v>
      </c>
      <c r="F726">
        <v>150.04</v>
      </c>
      <c r="G726">
        <v>77.680000000000007</v>
      </c>
      <c r="H726">
        <v>82.67</v>
      </c>
      <c r="I726">
        <v>78.680000000000007</v>
      </c>
      <c r="J726">
        <v>111.37</v>
      </c>
      <c r="K726">
        <v>24.35</v>
      </c>
      <c r="L726">
        <v>78522.100000000006</v>
      </c>
      <c r="M726">
        <v>61364.32</v>
      </c>
      <c r="N726">
        <v>26.87</v>
      </c>
      <c r="O726">
        <v>5.9119999999999999E-2</v>
      </c>
      <c r="P726">
        <v>3.6709999999999998</v>
      </c>
      <c r="Q726">
        <v>108.69</v>
      </c>
      <c r="R726">
        <v>65.344999999999999</v>
      </c>
      <c r="S726">
        <v>141.85</v>
      </c>
    </row>
    <row r="727" spans="1:19" x14ac:dyDescent="0.25">
      <c r="A727" s="6">
        <v>44938</v>
      </c>
      <c r="B727">
        <v>112.23</v>
      </c>
      <c r="C727">
        <v>126.64</v>
      </c>
      <c r="D727">
        <v>159.49</v>
      </c>
      <c r="E727">
        <v>179.05</v>
      </c>
      <c r="F727">
        <v>150.04</v>
      </c>
      <c r="G727">
        <v>78.650000000000006</v>
      </c>
      <c r="H727">
        <v>84.03</v>
      </c>
      <c r="I727">
        <v>79.39</v>
      </c>
      <c r="J727">
        <v>113.22</v>
      </c>
      <c r="K727">
        <v>24.5</v>
      </c>
      <c r="L727">
        <v>78627.55</v>
      </c>
      <c r="M727">
        <v>61211.58</v>
      </c>
      <c r="N727">
        <v>26.76</v>
      </c>
      <c r="O727">
        <v>5.9659999999999998E-2</v>
      </c>
      <c r="P727">
        <v>3.6949999999999998</v>
      </c>
      <c r="Q727">
        <v>109.03</v>
      </c>
      <c r="R727">
        <v>66.81</v>
      </c>
      <c r="S727">
        <v>141.4</v>
      </c>
    </row>
    <row r="728" spans="1:19" x14ac:dyDescent="0.25">
      <c r="A728" s="6">
        <v>44939</v>
      </c>
      <c r="B728">
        <v>97.04</v>
      </c>
      <c r="C728">
        <v>119.51</v>
      </c>
      <c r="D728">
        <v>147.63</v>
      </c>
      <c r="E728">
        <v>163.95</v>
      </c>
      <c r="F728">
        <v>146.19999999999999</v>
      </c>
      <c r="G728">
        <v>80.11</v>
      </c>
      <c r="H728">
        <v>85.28</v>
      </c>
      <c r="I728">
        <v>80.02</v>
      </c>
      <c r="J728">
        <v>113.15</v>
      </c>
      <c r="K728">
        <v>24.7</v>
      </c>
      <c r="L728">
        <v>79333.72</v>
      </c>
      <c r="M728">
        <v>62404.58</v>
      </c>
      <c r="N728">
        <v>26.806999999999999</v>
      </c>
      <c r="O728">
        <v>5.951E-2</v>
      </c>
      <c r="P728">
        <v>3.419</v>
      </c>
      <c r="Q728">
        <v>107.63</v>
      </c>
      <c r="R728">
        <v>64.81</v>
      </c>
      <c r="S728">
        <v>141.65</v>
      </c>
    </row>
    <row r="729" spans="1:19" x14ac:dyDescent="0.25">
      <c r="A729" s="6">
        <v>44942</v>
      </c>
      <c r="B729">
        <v>97.04</v>
      </c>
      <c r="C729">
        <v>119.51</v>
      </c>
      <c r="D729">
        <v>147.63</v>
      </c>
      <c r="E729">
        <v>163.95</v>
      </c>
      <c r="F729">
        <v>146.19999999999999</v>
      </c>
      <c r="G729">
        <v>79.040000000000006</v>
      </c>
      <c r="H729">
        <v>84.46</v>
      </c>
      <c r="I729">
        <v>80.34</v>
      </c>
      <c r="J729">
        <v>113.04</v>
      </c>
      <c r="K729">
        <v>24.8</v>
      </c>
      <c r="L729">
        <v>79167.8</v>
      </c>
      <c r="M729">
        <v>61106.73</v>
      </c>
      <c r="N729">
        <v>25.799513513513375</v>
      </c>
      <c r="O729">
        <v>5.8720000000000001E-2</v>
      </c>
      <c r="P729">
        <v>3.6749999999999998</v>
      </c>
      <c r="Q729">
        <v>107.52</v>
      </c>
      <c r="R729">
        <v>62.435000000000002</v>
      </c>
      <c r="S729">
        <v>140.75</v>
      </c>
    </row>
    <row r="730" spans="1:19" x14ac:dyDescent="0.25">
      <c r="A730" s="6">
        <v>44943</v>
      </c>
      <c r="B730">
        <v>97.04</v>
      </c>
      <c r="C730">
        <v>119.51</v>
      </c>
      <c r="D730">
        <v>147.63</v>
      </c>
      <c r="E730">
        <v>163.95</v>
      </c>
      <c r="F730">
        <v>146.19999999999999</v>
      </c>
      <c r="G730">
        <v>80.45</v>
      </c>
      <c r="H730">
        <v>85.92</v>
      </c>
      <c r="I730">
        <v>80.66</v>
      </c>
      <c r="J730">
        <v>112.93</v>
      </c>
      <c r="K730">
        <v>24.85</v>
      </c>
      <c r="L730">
        <v>79385.11</v>
      </c>
      <c r="M730">
        <v>60155.8</v>
      </c>
      <c r="N730">
        <v>22.725000000000001</v>
      </c>
      <c r="O730">
        <v>5.8650000000000001E-2</v>
      </c>
      <c r="P730">
        <v>3.5859999999999999</v>
      </c>
      <c r="Q730">
        <v>107.41</v>
      </c>
      <c r="R730">
        <v>60.06</v>
      </c>
      <c r="S730">
        <v>139.9</v>
      </c>
    </row>
    <row r="731" spans="1:19" x14ac:dyDescent="0.25">
      <c r="A731" s="6">
        <v>44944</v>
      </c>
      <c r="B731">
        <v>97.04</v>
      </c>
      <c r="C731">
        <v>119.51</v>
      </c>
      <c r="D731">
        <v>147.63</v>
      </c>
      <c r="E731">
        <v>163.95</v>
      </c>
      <c r="F731">
        <v>146.19999999999999</v>
      </c>
      <c r="G731">
        <v>79.8</v>
      </c>
      <c r="H731">
        <v>84.98</v>
      </c>
      <c r="I731">
        <v>80.19</v>
      </c>
      <c r="J731">
        <v>110.61</v>
      </c>
      <c r="K731">
        <v>24.75</v>
      </c>
      <c r="L731">
        <v>79865.48</v>
      </c>
      <c r="M731">
        <v>60191.53</v>
      </c>
      <c r="N731">
        <v>23.09</v>
      </c>
      <c r="O731">
        <v>5.8340000000000003E-2</v>
      </c>
      <c r="P731">
        <v>3.3109999999999999</v>
      </c>
      <c r="Q731">
        <v>107.67</v>
      </c>
      <c r="R731">
        <v>61.71</v>
      </c>
      <c r="S731">
        <v>139.5</v>
      </c>
    </row>
    <row r="732" spans="1:19" x14ac:dyDescent="0.25">
      <c r="A732" s="6">
        <v>44945</v>
      </c>
      <c r="B732">
        <v>97.04</v>
      </c>
      <c r="C732">
        <v>119.51</v>
      </c>
      <c r="D732">
        <v>147.63</v>
      </c>
      <c r="E732">
        <v>163.95</v>
      </c>
      <c r="F732">
        <v>146.19999999999999</v>
      </c>
      <c r="G732">
        <v>80.61</v>
      </c>
      <c r="H732">
        <v>86.16</v>
      </c>
      <c r="I732">
        <v>80.489999999999995</v>
      </c>
      <c r="J732">
        <v>111.32</v>
      </c>
      <c r="K732">
        <v>24.5</v>
      </c>
      <c r="L732">
        <v>79505.06</v>
      </c>
      <c r="M732">
        <v>59189.3</v>
      </c>
      <c r="N732">
        <v>22.95</v>
      </c>
      <c r="O732">
        <v>5.7869999999999998E-2</v>
      </c>
      <c r="P732">
        <v>3.2749999999999999</v>
      </c>
      <c r="Q732">
        <v>106.92</v>
      </c>
      <c r="R732">
        <v>60.715000000000003</v>
      </c>
      <c r="S732">
        <v>138.5</v>
      </c>
    </row>
    <row r="733" spans="1:19" x14ac:dyDescent="0.25">
      <c r="A733" s="6">
        <v>44946</v>
      </c>
      <c r="B733">
        <v>106.55</v>
      </c>
      <c r="C733">
        <v>124.98</v>
      </c>
      <c r="D733">
        <v>150.35</v>
      </c>
      <c r="E733">
        <v>166.49</v>
      </c>
      <c r="F733">
        <v>146.97999999999999</v>
      </c>
      <c r="G733">
        <v>81.64</v>
      </c>
      <c r="H733">
        <v>87.63</v>
      </c>
      <c r="I733">
        <v>81</v>
      </c>
      <c r="J733">
        <v>113.35</v>
      </c>
      <c r="K733">
        <v>25.1</v>
      </c>
      <c r="L733">
        <v>79269.77</v>
      </c>
      <c r="M733">
        <v>58686.92</v>
      </c>
      <c r="N733">
        <v>22.815000000000001</v>
      </c>
      <c r="O733">
        <v>5.8380000000000001E-2</v>
      </c>
      <c r="P733">
        <v>3.1739999999999999</v>
      </c>
      <c r="Q733">
        <v>108.48</v>
      </c>
      <c r="R733">
        <v>66.900000000000006</v>
      </c>
      <c r="S733">
        <v>135.69999999999999</v>
      </c>
    </row>
    <row r="734" spans="1:19" x14ac:dyDescent="0.25">
      <c r="A734" s="6">
        <v>44949</v>
      </c>
      <c r="B734">
        <v>106.55</v>
      </c>
      <c r="C734">
        <v>124.98</v>
      </c>
      <c r="D734">
        <v>150.35</v>
      </c>
      <c r="E734">
        <v>166.49</v>
      </c>
      <c r="F734">
        <v>146.97999999999999</v>
      </c>
      <c r="G734">
        <v>81.62</v>
      </c>
      <c r="H734">
        <v>88.19</v>
      </c>
      <c r="I734">
        <v>81.069999999999993</v>
      </c>
      <c r="J734">
        <v>112.76</v>
      </c>
      <c r="K734">
        <v>24.909459459459413</v>
      </c>
      <c r="L734">
        <v>80128.63</v>
      </c>
      <c r="M734">
        <v>59035.519999999997</v>
      </c>
      <c r="N734">
        <v>23.254999999999999</v>
      </c>
      <c r="O734">
        <v>5.8160000000000003E-2</v>
      </c>
      <c r="P734">
        <v>3.222</v>
      </c>
      <c r="Q734">
        <v>108.67</v>
      </c>
      <c r="R734">
        <v>66</v>
      </c>
      <c r="S734">
        <v>138.69999999999999</v>
      </c>
    </row>
    <row r="735" spans="1:19" x14ac:dyDescent="0.25">
      <c r="A735" s="6">
        <v>44950</v>
      </c>
      <c r="B735">
        <v>106.55</v>
      </c>
      <c r="C735">
        <v>124.98</v>
      </c>
      <c r="D735">
        <v>150.35</v>
      </c>
      <c r="E735">
        <v>166.49</v>
      </c>
      <c r="F735">
        <v>146.97999999999999</v>
      </c>
      <c r="G735">
        <v>80.13</v>
      </c>
      <c r="H735">
        <v>86.13</v>
      </c>
      <c r="I735">
        <v>80.599999999999994</v>
      </c>
      <c r="J735">
        <v>113.81</v>
      </c>
      <c r="K735">
        <v>24.936559532505612</v>
      </c>
      <c r="L735">
        <v>80037.009999999995</v>
      </c>
      <c r="M735">
        <v>58298.400000000001</v>
      </c>
      <c r="N735">
        <v>22.114999999999998</v>
      </c>
      <c r="O735">
        <v>5.8130000000000001E-2</v>
      </c>
      <c r="P735">
        <v>3.0569999999999999</v>
      </c>
      <c r="Q735">
        <v>106.25</v>
      </c>
      <c r="R735">
        <v>58.27</v>
      </c>
      <c r="S735">
        <v>138.75</v>
      </c>
    </row>
    <row r="736" spans="1:19" x14ac:dyDescent="0.25">
      <c r="A736" s="6">
        <v>44951</v>
      </c>
      <c r="B736">
        <v>106.55</v>
      </c>
      <c r="C736">
        <v>124.98</v>
      </c>
      <c r="D736">
        <v>150.35</v>
      </c>
      <c r="E736">
        <v>166.49</v>
      </c>
      <c r="F736">
        <v>146.97999999999999</v>
      </c>
      <c r="G736">
        <v>80.150000000000006</v>
      </c>
      <c r="H736">
        <v>86.12</v>
      </c>
      <c r="I736">
        <v>80.569999999999993</v>
      </c>
      <c r="J736">
        <v>113.21</v>
      </c>
      <c r="K736">
        <v>24.975873495581482</v>
      </c>
      <c r="L736">
        <v>79725.460000000006</v>
      </c>
      <c r="M736">
        <v>58145.2</v>
      </c>
      <c r="N736">
        <v>20.94</v>
      </c>
      <c r="O736">
        <v>5.842E-2</v>
      </c>
      <c r="P736">
        <v>2.915</v>
      </c>
      <c r="Q736">
        <v>106.49</v>
      </c>
      <c r="R736">
        <v>56.66</v>
      </c>
      <c r="S736">
        <v>136.9</v>
      </c>
    </row>
    <row r="737" spans="1:19" x14ac:dyDescent="0.25">
      <c r="A737" s="6">
        <v>44952</v>
      </c>
      <c r="B737">
        <v>106.55</v>
      </c>
      <c r="C737">
        <v>124.98</v>
      </c>
      <c r="D737">
        <v>150.35</v>
      </c>
      <c r="E737">
        <v>166.49</v>
      </c>
      <c r="F737">
        <v>146.97999999999999</v>
      </c>
      <c r="G737">
        <v>81.010000000000005</v>
      </c>
      <c r="H737">
        <v>87.47</v>
      </c>
      <c r="I737">
        <v>80.739999999999995</v>
      </c>
      <c r="J737">
        <v>117.76</v>
      </c>
      <c r="K737">
        <v>24.8</v>
      </c>
      <c r="L737">
        <v>80508.97</v>
      </c>
      <c r="M737">
        <v>57437.26</v>
      </c>
      <c r="N737">
        <v>20.164999999999999</v>
      </c>
      <c r="O737">
        <v>5.8160000000000003E-2</v>
      </c>
      <c r="P737">
        <v>2.8479999999999999</v>
      </c>
      <c r="Q737">
        <v>108.19</v>
      </c>
      <c r="R737">
        <v>54.814999999999998</v>
      </c>
      <c r="S737">
        <v>134.25</v>
      </c>
    </row>
    <row r="738" spans="1:19" x14ac:dyDescent="0.25">
      <c r="A738" s="6">
        <v>44953</v>
      </c>
      <c r="B738">
        <v>100.63</v>
      </c>
      <c r="C738">
        <v>121.2</v>
      </c>
      <c r="D738">
        <v>139.81</v>
      </c>
      <c r="E738">
        <v>150.36000000000001</v>
      </c>
      <c r="F738">
        <v>141.97</v>
      </c>
      <c r="G738">
        <v>79.680000000000007</v>
      </c>
      <c r="H738">
        <v>86.66</v>
      </c>
      <c r="I738">
        <v>80.58</v>
      </c>
      <c r="J738">
        <v>115.61</v>
      </c>
      <c r="K738">
        <v>24.95</v>
      </c>
      <c r="L738">
        <v>80791.360000000001</v>
      </c>
      <c r="M738">
        <v>56691.27</v>
      </c>
      <c r="N738">
        <v>19.5</v>
      </c>
      <c r="O738">
        <v>5.8119999999999998E-2</v>
      </c>
      <c r="P738">
        <v>2.8490000000000002</v>
      </c>
      <c r="Q738">
        <v>107.94</v>
      </c>
      <c r="R738">
        <v>55.424999999999997</v>
      </c>
      <c r="S738">
        <v>134.25</v>
      </c>
    </row>
    <row r="739" spans="1:19" x14ac:dyDescent="0.25">
      <c r="A739" s="6">
        <v>44956</v>
      </c>
      <c r="B739">
        <v>100.63</v>
      </c>
      <c r="C739">
        <v>121.2</v>
      </c>
      <c r="D739">
        <v>139.81</v>
      </c>
      <c r="E739">
        <v>150.36000000000001</v>
      </c>
      <c r="F739">
        <v>141.97</v>
      </c>
      <c r="G739">
        <v>77.900000000000006</v>
      </c>
      <c r="H739">
        <v>84.9</v>
      </c>
      <c r="I739">
        <v>80.42</v>
      </c>
      <c r="J739">
        <v>113.56</v>
      </c>
      <c r="K739">
        <v>24.25</v>
      </c>
      <c r="L739">
        <v>80324.86</v>
      </c>
      <c r="M739">
        <v>56848.62</v>
      </c>
      <c r="N739">
        <v>19.484999999999999</v>
      </c>
      <c r="O739">
        <v>5.7459999999999997E-2</v>
      </c>
      <c r="P739">
        <v>2.7309999999999999</v>
      </c>
      <c r="Q739">
        <v>106.66</v>
      </c>
      <c r="R739">
        <v>55.155999999999999</v>
      </c>
      <c r="S739">
        <v>135.35</v>
      </c>
    </row>
    <row r="740" spans="1:19" x14ac:dyDescent="0.25">
      <c r="A740" s="6">
        <v>44957</v>
      </c>
      <c r="B740">
        <v>100.63</v>
      </c>
      <c r="C740">
        <v>121.2</v>
      </c>
      <c r="D740">
        <v>139.81</v>
      </c>
      <c r="E740">
        <v>150.36000000000001</v>
      </c>
      <c r="F740">
        <v>141.97</v>
      </c>
      <c r="G740">
        <v>78.87</v>
      </c>
      <c r="H740">
        <v>84.49</v>
      </c>
      <c r="I740">
        <v>80.38</v>
      </c>
      <c r="J740">
        <v>116.01</v>
      </c>
      <c r="K740">
        <v>24.35</v>
      </c>
      <c r="L740">
        <v>79476.600000000006</v>
      </c>
      <c r="M740">
        <v>55475.88</v>
      </c>
      <c r="N740">
        <v>19.024999999999999</v>
      </c>
      <c r="O740">
        <v>5.7439999999999998E-2</v>
      </c>
      <c r="P740">
        <v>2.7410000000000001</v>
      </c>
      <c r="Q740">
        <v>107.55</v>
      </c>
      <c r="R740">
        <v>57.35</v>
      </c>
      <c r="S740">
        <v>138.6</v>
      </c>
    </row>
    <row r="741" spans="1:19" x14ac:dyDescent="0.25">
      <c r="A741" s="6">
        <v>44958</v>
      </c>
      <c r="B741">
        <v>100.63</v>
      </c>
      <c r="C741">
        <v>121.2</v>
      </c>
      <c r="D741">
        <v>139.81</v>
      </c>
      <c r="E741">
        <v>150.36000000000001</v>
      </c>
      <c r="F741">
        <v>141.97</v>
      </c>
      <c r="G741">
        <v>76.41</v>
      </c>
      <c r="H741">
        <v>82.84</v>
      </c>
      <c r="I741">
        <v>80.319999999999993</v>
      </c>
      <c r="J741">
        <v>114.74</v>
      </c>
      <c r="K741">
        <v>24.05</v>
      </c>
      <c r="L741">
        <v>79816.87</v>
      </c>
      <c r="M741">
        <v>55321.31</v>
      </c>
      <c r="N741">
        <v>18.97</v>
      </c>
      <c r="O741">
        <v>5.8619999999999998E-2</v>
      </c>
      <c r="P741">
        <v>2.536</v>
      </c>
      <c r="Q741">
        <v>109.01</v>
      </c>
      <c r="R741">
        <v>59.524999999999999</v>
      </c>
      <c r="S741">
        <v>136.75</v>
      </c>
    </row>
    <row r="742" spans="1:19" x14ac:dyDescent="0.25">
      <c r="A742" s="6">
        <v>44959</v>
      </c>
      <c r="B742">
        <v>100.63</v>
      </c>
      <c r="C742">
        <v>121.2</v>
      </c>
      <c r="D742">
        <v>139.81</v>
      </c>
      <c r="E742">
        <v>150.36000000000001</v>
      </c>
      <c r="F742">
        <v>141.97</v>
      </c>
      <c r="G742">
        <v>75.88</v>
      </c>
      <c r="H742">
        <v>82.17</v>
      </c>
      <c r="I742">
        <v>80.069999999999993</v>
      </c>
      <c r="J742">
        <v>111.15</v>
      </c>
      <c r="K742">
        <v>24.3</v>
      </c>
      <c r="L742">
        <v>79802.09</v>
      </c>
      <c r="M742">
        <v>55967.59</v>
      </c>
      <c r="N742">
        <v>18.37</v>
      </c>
      <c r="O742">
        <v>5.8560000000000001E-2</v>
      </c>
      <c r="P742">
        <v>2.5219999999999998</v>
      </c>
      <c r="Q742">
        <v>108.33</v>
      </c>
      <c r="R742">
        <v>57.04</v>
      </c>
      <c r="S742">
        <v>138.75</v>
      </c>
    </row>
    <row r="743" spans="1:19" x14ac:dyDescent="0.25">
      <c r="A743" s="6">
        <v>44960</v>
      </c>
      <c r="B743">
        <v>98.3</v>
      </c>
      <c r="C743">
        <v>116.85</v>
      </c>
      <c r="D743">
        <v>133.1</v>
      </c>
      <c r="E743">
        <v>145.78</v>
      </c>
      <c r="F743">
        <v>136.65</v>
      </c>
      <c r="G743">
        <v>73.39</v>
      </c>
      <c r="H743">
        <v>79.94</v>
      </c>
      <c r="I743">
        <v>78.099999999999994</v>
      </c>
      <c r="J743">
        <v>111.92</v>
      </c>
      <c r="K743">
        <v>24</v>
      </c>
      <c r="L743">
        <v>80240.92</v>
      </c>
      <c r="M743">
        <v>55977.38</v>
      </c>
      <c r="N743">
        <v>18.524999999999999</v>
      </c>
      <c r="O743">
        <v>5.7189999999999998E-2</v>
      </c>
      <c r="P743">
        <v>2.48</v>
      </c>
      <c r="Q743">
        <v>107.66</v>
      </c>
      <c r="R743">
        <v>57.89</v>
      </c>
      <c r="S743">
        <v>138.25</v>
      </c>
    </row>
    <row r="744" spans="1:19" x14ac:dyDescent="0.25">
      <c r="A744" s="6">
        <v>44963</v>
      </c>
      <c r="B744">
        <v>98.3</v>
      </c>
      <c r="C744">
        <v>116.85</v>
      </c>
      <c r="D744">
        <v>133.1</v>
      </c>
      <c r="E744">
        <v>145.78</v>
      </c>
      <c r="F744">
        <v>136.65</v>
      </c>
      <c r="G744">
        <v>74.11</v>
      </c>
      <c r="H744">
        <v>80.989999999999995</v>
      </c>
      <c r="I744">
        <v>78.97</v>
      </c>
      <c r="J744">
        <v>111.73</v>
      </c>
      <c r="K744">
        <v>23.9</v>
      </c>
      <c r="L744">
        <v>79582.83</v>
      </c>
      <c r="M744">
        <v>54884.84</v>
      </c>
      <c r="N744">
        <v>18.495000000000001</v>
      </c>
      <c r="O744">
        <v>5.6599999999999998E-2</v>
      </c>
      <c r="P744">
        <v>2.5350000000000001</v>
      </c>
      <c r="Q744">
        <v>108.32</v>
      </c>
      <c r="R744">
        <v>58.11</v>
      </c>
      <c r="S744">
        <v>139.55000000000001</v>
      </c>
    </row>
    <row r="745" spans="1:19" x14ac:dyDescent="0.25">
      <c r="A745" s="6">
        <v>44964</v>
      </c>
      <c r="B745">
        <v>98.3</v>
      </c>
      <c r="C745">
        <v>116.85</v>
      </c>
      <c r="D745">
        <v>133.1</v>
      </c>
      <c r="E745">
        <v>145.78</v>
      </c>
      <c r="F745">
        <v>136.65</v>
      </c>
      <c r="G745">
        <v>77.14</v>
      </c>
      <c r="H745">
        <v>83.69</v>
      </c>
      <c r="I745">
        <v>81.19</v>
      </c>
      <c r="J745">
        <v>114.92</v>
      </c>
      <c r="K745">
        <v>23.9</v>
      </c>
      <c r="L745">
        <v>79534.22</v>
      </c>
      <c r="M745">
        <v>55902.85</v>
      </c>
      <c r="N745">
        <v>18.184999999999999</v>
      </c>
      <c r="O745">
        <v>5.6989999999999999E-2</v>
      </c>
      <c r="P745">
        <v>2.6640000000000001</v>
      </c>
      <c r="Q745">
        <v>109.35</v>
      </c>
      <c r="R745">
        <v>55.405000000000001</v>
      </c>
      <c r="S745">
        <v>138.05000000000001</v>
      </c>
    </row>
    <row r="746" spans="1:19" x14ac:dyDescent="0.25">
      <c r="A746" s="6">
        <v>44965</v>
      </c>
      <c r="B746">
        <v>98.3</v>
      </c>
      <c r="C746">
        <v>116.85</v>
      </c>
      <c r="D746">
        <v>133.1</v>
      </c>
      <c r="E746">
        <v>145.78</v>
      </c>
      <c r="F746">
        <v>136.65</v>
      </c>
      <c r="G746">
        <v>78.47</v>
      </c>
      <c r="H746">
        <v>85.09</v>
      </c>
      <c r="I746">
        <v>82.17</v>
      </c>
      <c r="J746">
        <v>113.92</v>
      </c>
      <c r="K746">
        <v>23.85</v>
      </c>
      <c r="L746">
        <v>79975.59</v>
      </c>
      <c r="M746">
        <v>55543.76</v>
      </c>
      <c r="N746">
        <v>17.93</v>
      </c>
      <c r="O746">
        <v>5.6239999999999998E-2</v>
      </c>
      <c r="P746">
        <v>2.4769999999999999</v>
      </c>
      <c r="Q746">
        <v>109.25</v>
      </c>
      <c r="R746">
        <v>53.685000000000002</v>
      </c>
      <c r="S746">
        <v>138.1</v>
      </c>
    </row>
    <row r="747" spans="1:19" x14ac:dyDescent="0.25">
      <c r="A747" s="6">
        <v>44966</v>
      </c>
      <c r="B747">
        <v>98.3</v>
      </c>
      <c r="C747">
        <v>116.85</v>
      </c>
      <c r="D747">
        <v>133.1</v>
      </c>
      <c r="E747">
        <v>145.78</v>
      </c>
      <c r="F747">
        <v>136.65</v>
      </c>
      <c r="G747">
        <v>78.06</v>
      </c>
      <c r="H747">
        <v>84.5</v>
      </c>
      <c r="I747">
        <v>81.86</v>
      </c>
      <c r="J747">
        <v>114.35</v>
      </c>
      <c r="K747">
        <v>23.85</v>
      </c>
      <c r="L747">
        <v>80021.09</v>
      </c>
      <c r="M747">
        <v>54468.41</v>
      </c>
      <c r="N747">
        <v>17.914999999999999</v>
      </c>
      <c r="O747">
        <v>5.6309999999999999E-2</v>
      </c>
      <c r="P747">
        <v>2.492</v>
      </c>
      <c r="Q747">
        <v>107.54</v>
      </c>
      <c r="R747">
        <v>52.734999999999999</v>
      </c>
      <c r="S747">
        <v>135.65</v>
      </c>
    </row>
    <row r="748" spans="1:19" x14ac:dyDescent="0.25">
      <c r="A748" s="6">
        <v>44967</v>
      </c>
      <c r="B748">
        <v>97.55</v>
      </c>
      <c r="C748">
        <v>116.91</v>
      </c>
      <c r="D748">
        <v>132.66999999999999</v>
      </c>
      <c r="E748">
        <v>144.44999999999999</v>
      </c>
      <c r="F748">
        <v>134.30000000000001</v>
      </c>
      <c r="G748">
        <v>79.72</v>
      </c>
      <c r="H748">
        <v>86.39</v>
      </c>
      <c r="I748">
        <v>83.15</v>
      </c>
      <c r="J748">
        <v>119.17</v>
      </c>
      <c r="K748">
        <v>23.55</v>
      </c>
      <c r="L748">
        <v>78985.350000000006</v>
      </c>
      <c r="M748">
        <v>53103.02</v>
      </c>
      <c r="N748">
        <v>17.984999999999999</v>
      </c>
      <c r="O748">
        <v>5.5800000000000002E-2</v>
      </c>
      <c r="P748">
        <v>2.6070000000000002</v>
      </c>
      <c r="Q748">
        <v>108.71</v>
      </c>
      <c r="R748">
        <v>53.945</v>
      </c>
      <c r="S748">
        <v>134.94999999999999</v>
      </c>
    </row>
    <row r="749" spans="1:19" x14ac:dyDescent="0.25">
      <c r="A749" s="6">
        <v>44970</v>
      </c>
      <c r="B749">
        <v>97.55</v>
      </c>
      <c r="C749">
        <v>116.91</v>
      </c>
      <c r="D749">
        <v>132.66999999999999</v>
      </c>
      <c r="E749">
        <v>144.44999999999999</v>
      </c>
      <c r="F749">
        <v>134.30000000000001</v>
      </c>
      <c r="G749">
        <v>80.14</v>
      </c>
      <c r="H749">
        <v>86.61</v>
      </c>
      <c r="I749">
        <v>83.52</v>
      </c>
      <c r="J749">
        <v>117.8</v>
      </c>
      <c r="K749">
        <v>23.45</v>
      </c>
      <c r="L749">
        <v>79770.210000000006</v>
      </c>
      <c r="M749">
        <v>53909.94</v>
      </c>
      <c r="N749">
        <v>17.895</v>
      </c>
      <c r="O749">
        <v>5.6000000000000001E-2</v>
      </c>
      <c r="P749">
        <v>2.4990000000000001</v>
      </c>
      <c r="Q749">
        <v>109.19</v>
      </c>
      <c r="R749">
        <v>51.704999999999998</v>
      </c>
      <c r="S749">
        <v>133.85</v>
      </c>
    </row>
    <row r="750" spans="1:19" x14ac:dyDescent="0.25">
      <c r="A750" s="6">
        <v>44971</v>
      </c>
      <c r="B750">
        <v>97.55</v>
      </c>
      <c r="C750">
        <v>116.91</v>
      </c>
      <c r="D750">
        <v>132.66999999999999</v>
      </c>
      <c r="E750">
        <v>144.44999999999999</v>
      </c>
      <c r="F750">
        <v>134.30000000000001</v>
      </c>
      <c r="G750">
        <v>79.06</v>
      </c>
      <c r="H750">
        <v>85.58</v>
      </c>
      <c r="I750">
        <v>83.05</v>
      </c>
      <c r="J750">
        <v>116.42</v>
      </c>
      <c r="K750">
        <v>23.45</v>
      </c>
      <c r="L750">
        <v>79858.02</v>
      </c>
      <c r="M750">
        <v>53217.71</v>
      </c>
      <c r="N750">
        <v>17.89</v>
      </c>
      <c r="O750">
        <v>5.5820000000000002E-2</v>
      </c>
      <c r="P750">
        <v>2.6520000000000001</v>
      </c>
      <c r="Q750">
        <v>108.4</v>
      </c>
      <c r="R750">
        <v>52.384999999999998</v>
      </c>
      <c r="S750">
        <v>133.4</v>
      </c>
    </row>
    <row r="751" spans="1:19" x14ac:dyDescent="0.25">
      <c r="A751" s="6">
        <v>44972</v>
      </c>
      <c r="B751">
        <v>97.55</v>
      </c>
      <c r="C751">
        <v>116.91</v>
      </c>
      <c r="D751">
        <v>132.66999999999999</v>
      </c>
      <c r="E751">
        <v>144.44999999999999</v>
      </c>
      <c r="F751">
        <v>134.30000000000001</v>
      </c>
      <c r="G751">
        <v>78.59</v>
      </c>
      <c r="H751">
        <v>85.38</v>
      </c>
      <c r="I751">
        <v>82.95</v>
      </c>
      <c r="J751">
        <v>116.07</v>
      </c>
      <c r="K751">
        <v>23.15</v>
      </c>
      <c r="L751">
        <v>79471.759999999995</v>
      </c>
      <c r="M751">
        <v>51033.33</v>
      </c>
      <c r="N751">
        <v>17.882000000000001</v>
      </c>
      <c r="O751">
        <v>5.543E-2</v>
      </c>
      <c r="P751">
        <v>2.5550000000000002</v>
      </c>
      <c r="Q751">
        <v>108.64</v>
      </c>
      <c r="R751">
        <v>54.715000000000003</v>
      </c>
      <c r="S751">
        <v>134.35</v>
      </c>
    </row>
    <row r="752" spans="1:19" x14ac:dyDescent="0.25">
      <c r="A752" s="6">
        <v>44973</v>
      </c>
      <c r="B752">
        <v>97.55</v>
      </c>
      <c r="C752">
        <v>116.91</v>
      </c>
      <c r="D752">
        <v>132.66999999999999</v>
      </c>
      <c r="E752">
        <v>144.44999999999999</v>
      </c>
      <c r="F752">
        <v>134.30000000000001</v>
      </c>
      <c r="G752">
        <v>78.489999999999995</v>
      </c>
      <c r="H752">
        <v>85.14</v>
      </c>
      <c r="I752">
        <v>82.83</v>
      </c>
      <c r="J752">
        <v>115.73</v>
      </c>
      <c r="K752">
        <v>23.1</v>
      </c>
      <c r="L752">
        <v>80227.19</v>
      </c>
      <c r="M752">
        <v>50973.17</v>
      </c>
      <c r="N752">
        <v>16.295000000000002</v>
      </c>
      <c r="O752">
        <v>5.5039999999999999E-2</v>
      </c>
      <c r="P752">
        <v>2.4849999999999999</v>
      </c>
      <c r="Q752">
        <v>107.13</v>
      </c>
      <c r="R752">
        <v>52.01</v>
      </c>
      <c r="S752">
        <v>136.15</v>
      </c>
    </row>
    <row r="753" spans="1:19" x14ac:dyDescent="0.25">
      <c r="A753" s="6">
        <v>44974</v>
      </c>
      <c r="B753">
        <v>95.97</v>
      </c>
      <c r="C753">
        <v>114.69</v>
      </c>
      <c r="D753">
        <v>130.44</v>
      </c>
      <c r="E753">
        <v>136.87</v>
      </c>
      <c r="F753">
        <v>128.91</v>
      </c>
      <c r="G753">
        <v>76.34</v>
      </c>
      <c r="H753">
        <v>83</v>
      </c>
      <c r="I753">
        <v>82.07</v>
      </c>
      <c r="J753">
        <v>111.28</v>
      </c>
      <c r="K753">
        <v>23.45</v>
      </c>
      <c r="L753">
        <v>79271.78</v>
      </c>
      <c r="M753">
        <v>50460.36</v>
      </c>
      <c r="N753">
        <v>15.92</v>
      </c>
      <c r="O753">
        <v>5.5370000000000003E-2</v>
      </c>
      <c r="P753">
        <v>2.3519999999999999</v>
      </c>
      <c r="Q753">
        <v>107.11</v>
      </c>
      <c r="R753">
        <v>49.045000000000002</v>
      </c>
      <c r="S753">
        <v>135.44999999999999</v>
      </c>
    </row>
    <row r="754" spans="1:19" x14ac:dyDescent="0.25">
      <c r="A754" s="6">
        <v>44977</v>
      </c>
      <c r="B754">
        <v>95.97</v>
      </c>
      <c r="C754">
        <v>114.69</v>
      </c>
      <c r="D754">
        <v>130.44</v>
      </c>
      <c r="E754">
        <v>136.87</v>
      </c>
      <c r="F754">
        <v>128.91</v>
      </c>
      <c r="G754">
        <v>77.3</v>
      </c>
      <c r="H754">
        <v>84.07</v>
      </c>
      <c r="I754">
        <v>82.12</v>
      </c>
      <c r="J754">
        <v>111.22499999999999</v>
      </c>
      <c r="K754">
        <v>23.55</v>
      </c>
      <c r="L754">
        <v>79829.39</v>
      </c>
      <c r="M754">
        <v>50803.45</v>
      </c>
      <c r="N754">
        <v>15.624702702702052</v>
      </c>
      <c r="O754">
        <v>5.5169999999999997E-2</v>
      </c>
      <c r="P754">
        <v>2.3239999999999998</v>
      </c>
      <c r="Q754">
        <v>105.63499999999999</v>
      </c>
      <c r="R754">
        <v>48.792500000000004</v>
      </c>
      <c r="S754">
        <v>138.25</v>
      </c>
    </row>
    <row r="755" spans="1:19" x14ac:dyDescent="0.25">
      <c r="A755" s="6">
        <v>44978</v>
      </c>
      <c r="B755">
        <v>95.97</v>
      </c>
      <c r="C755">
        <v>114.69</v>
      </c>
      <c r="D755">
        <v>130.44</v>
      </c>
      <c r="E755">
        <v>136.87</v>
      </c>
      <c r="F755">
        <v>128.91</v>
      </c>
      <c r="G755">
        <v>76.16</v>
      </c>
      <c r="H755">
        <v>83.05</v>
      </c>
      <c r="I755">
        <v>82.17</v>
      </c>
      <c r="J755">
        <v>111.17</v>
      </c>
      <c r="K755">
        <v>23.9</v>
      </c>
      <c r="L755">
        <v>78811.05</v>
      </c>
      <c r="M755">
        <v>49721.51</v>
      </c>
      <c r="N755">
        <v>14.3</v>
      </c>
      <c r="O755">
        <v>5.475E-2</v>
      </c>
      <c r="P755">
        <v>2.177</v>
      </c>
      <c r="Q755">
        <v>104.16</v>
      </c>
      <c r="R755">
        <v>48.54</v>
      </c>
      <c r="S755">
        <v>144.05000000000001</v>
      </c>
    </row>
    <row r="756" spans="1:19" x14ac:dyDescent="0.25">
      <c r="A756" s="6">
        <v>44979</v>
      </c>
      <c r="B756">
        <v>95.97</v>
      </c>
      <c r="C756">
        <v>114.69</v>
      </c>
      <c r="D756">
        <v>130.44</v>
      </c>
      <c r="E756">
        <v>136.87</v>
      </c>
      <c r="F756">
        <v>128.91</v>
      </c>
      <c r="G756">
        <v>73.95</v>
      </c>
      <c r="H756">
        <v>80.45</v>
      </c>
      <c r="I756">
        <v>81.69</v>
      </c>
      <c r="J756">
        <v>109.73</v>
      </c>
      <c r="K756">
        <v>23.9</v>
      </c>
      <c r="L756">
        <v>78170.14</v>
      </c>
      <c r="M756">
        <v>47541.93</v>
      </c>
      <c r="N756">
        <v>14.84</v>
      </c>
      <c r="O756">
        <v>5.4820000000000001E-2</v>
      </c>
      <c r="P756">
        <v>2.1739999999999999</v>
      </c>
      <c r="Q756">
        <v>104.29</v>
      </c>
      <c r="R756">
        <v>50.57</v>
      </c>
      <c r="S756">
        <v>145.5</v>
      </c>
    </row>
    <row r="757" spans="1:19" x14ac:dyDescent="0.25">
      <c r="A757" s="6">
        <v>44980</v>
      </c>
      <c r="B757">
        <v>95.97</v>
      </c>
      <c r="C757">
        <v>114.69</v>
      </c>
      <c r="D757">
        <v>130.44</v>
      </c>
      <c r="E757">
        <v>136.87</v>
      </c>
      <c r="F757">
        <v>128.91</v>
      </c>
      <c r="G757">
        <v>75.39</v>
      </c>
      <c r="H757">
        <v>81.95</v>
      </c>
      <c r="I757">
        <v>81.98</v>
      </c>
      <c r="J757">
        <v>110.74</v>
      </c>
      <c r="K757">
        <v>24.15</v>
      </c>
      <c r="L757">
        <v>79010.83</v>
      </c>
      <c r="M757">
        <v>48096.46</v>
      </c>
      <c r="N757">
        <v>14.9</v>
      </c>
      <c r="O757">
        <v>5.4829999999999997E-2</v>
      </c>
      <c r="P757">
        <v>2.3140000000000001</v>
      </c>
      <c r="Q757">
        <v>103.76</v>
      </c>
      <c r="R757">
        <v>50.78</v>
      </c>
      <c r="S757">
        <v>142.05000000000001</v>
      </c>
    </row>
    <row r="758" spans="1:19" x14ac:dyDescent="0.25">
      <c r="A758" s="6">
        <v>44981</v>
      </c>
      <c r="B758">
        <v>93.81</v>
      </c>
      <c r="C758">
        <v>112.82</v>
      </c>
      <c r="D758">
        <v>129.44999999999999</v>
      </c>
      <c r="E758">
        <v>136.57</v>
      </c>
      <c r="F758">
        <v>127.6</v>
      </c>
      <c r="G758">
        <v>76.319999999999993</v>
      </c>
      <c r="H758">
        <v>82.82</v>
      </c>
      <c r="I758">
        <v>82.12</v>
      </c>
      <c r="J758">
        <v>110.75</v>
      </c>
      <c r="K758">
        <v>24.05</v>
      </c>
      <c r="L758">
        <v>76937.77</v>
      </c>
      <c r="M758">
        <v>47112.23</v>
      </c>
      <c r="N758">
        <v>14.99</v>
      </c>
      <c r="O758">
        <v>5.432E-2</v>
      </c>
      <c r="P758">
        <v>2.4510000000000001</v>
      </c>
      <c r="Q758">
        <v>102.51</v>
      </c>
      <c r="R758">
        <v>51.015000000000001</v>
      </c>
      <c r="S758">
        <v>143.85</v>
      </c>
    </row>
    <row r="759" spans="1:19" x14ac:dyDescent="0.25">
      <c r="A759" s="6">
        <v>44984</v>
      </c>
      <c r="B759">
        <v>93.81</v>
      </c>
      <c r="C759">
        <v>112.82</v>
      </c>
      <c r="D759">
        <v>129.44999999999999</v>
      </c>
      <c r="E759">
        <v>136.57</v>
      </c>
      <c r="F759">
        <v>127.6</v>
      </c>
      <c r="G759">
        <v>75.680000000000007</v>
      </c>
      <c r="H759">
        <v>82.45</v>
      </c>
      <c r="I759">
        <v>82.05</v>
      </c>
      <c r="J759">
        <v>110.55</v>
      </c>
      <c r="K759">
        <v>23.95</v>
      </c>
      <c r="L759">
        <v>77513.78</v>
      </c>
      <c r="M759">
        <v>47183.78</v>
      </c>
      <c r="N759">
        <v>14.97</v>
      </c>
      <c r="O759">
        <v>5.4289999999999998E-2</v>
      </c>
      <c r="P759">
        <v>2.7309999999999999</v>
      </c>
      <c r="Q759">
        <v>101.51</v>
      </c>
      <c r="R759">
        <v>47.298999999999999</v>
      </c>
      <c r="S759">
        <v>143</v>
      </c>
    </row>
    <row r="760" spans="1:19" x14ac:dyDescent="0.25">
      <c r="A760" s="6">
        <v>44985</v>
      </c>
      <c r="B760">
        <v>93.81</v>
      </c>
      <c r="C760">
        <v>112.82</v>
      </c>
      <c r="D760">
        <v>129.44999999999999</v>
      </c>
      <c r="E760">
        <v>136.57</v>
      </c>
      <c r="F760">
        <v>127.6</v>
      </c>
      <c r="G760">
        <v>77.05</v>
      </c>
      <c r="H760">
        <v>83.89</v>
      </c>
      <c r="I760">
        <v>82.08</v>
      </c>
      <c r="J760">
        <v>109.91</v>
      </c>
      <c r="K760">
        <v>23.6</v>
      </c>
      <c r="L760">
        <v>77733.87</v>
      </c>
      <c r="M760">
        <v>47031.38</v>
      </c>
      <c r="N760">
        <v>14.36</v>
      </c>
      <c r="O760">
        <v>5.4429999999999999E-2</v>
      </c>
      <c r="P760">
        <v>2.7469999999999999</v>
      </c>
      <c r="Q760">
        <v>101.8</v>
      </c>
      <c r="R760">
        <v>46.664999999999999</v>
      </c>
      <c r="S760">
        <v>144.55000000000001</v>
      </c>
    </row>
    <row r="761" spans="1:19" x14ac:dyDescent="0.25">
      <c r="A761" s="6">
        <v>44986</v>
      </c>
      <c r="B761">
        <v>93.81</v>
      </c>
      <c r="C761">
        <v>112.82</v>
      </c>
      <c r="D761">
        <v>129.44999999999999</v>
      </c>
      <c r="E761">
        <v>136.57</v>
      </c>
      <c r="F761">
        <v>127.6</v>
      </c>
      <c r="G761">
        <v>77.69</v>
      </c>
      <c r="H761">
        <v>84.31</v>
      </c>
      <c r="I761">
        <v>82.35</v>
      </c>
      <c r="J761">
        <v>110.89</v>
      </c>
      <c r="K761">
        <v>24</v>
      </c>
      <c r="L761">
        <v>78631.45</v>
      </c>
      <c r="M761">
        <v>47160.56</v>
      </c>
      <c r="N761">
        <v>14.58</v>
      </c>
      <c r="O761">
        <v>5.5160000000000001E-2</v>
      </c>
      <c r="P761">
        <v>2.8109999999999999</v>
      </c>
      <c r="Q761">
        <v>100.9</v>
      </c>
      <c r="R761">
        <v>47.085000000000001</v>
      </c>
      <c r="S761">
        <v>147.5</v>
      </c>
    </row>
    <row r="762" spans="1:19" x14ac:dyDescent="0.25">
      <c r="A762" s="6">
        <v>44987</v>
      </c>
      <c r="B762">
        <v>93.81</v>
      </c>
      <c r="C762">
        <v>112.82</v>
      </c>
      <c r="D762">
        <v>129.44999999999999</v>
      </c>
      <c r="E762">
        <v>136.57</v>
      </c>
      <c r="F762">
        <v>127.6</v>
      </c>
      <c r="G762">
        <v>78.16</v>
      </c>
      <c r="H762">
        <v>84.75</v>
      </c>
      <c r="I762">
        <v>83.06</v>
      </c>
      <c r="J762">
        <v>111.4</v>
      </c>
      <c r="K762">
        <v>24.4</v>
      </c>
      <c r="L762">
        <v>77547.009999999995</v>
      </c>
      <c r="M762">
        <v>46493.18</v>
      </c>
      <c r="N762">
        <v>14.585000000000001</v>
      </c>
      <c r="O762">
        <v>5.491E-2</v>
      </c>
      <c r="P762">
        <v>2.7650000000000001</v>
      </c>
      <c r="Q762">
        <v>102.71</v>
      </c>
      <c r="R762">
        <v>46.814999999999998</v>
      </c>
      <c r="S762">
        <v>147.80000000000001</v>
      </c>
    </row>
    <row r="763" spans="1:19" x14ac:dyDescent="0.25">
      <c r="A763" s="6">
        <v>44988</v>
      </c>
      <c r="B763">
        <v>96.39</v>
      </c>
      <c r="C763">
        <v>114.61</v>
      </c>
      <c r="D763">
        <v>130.18</v>
      </c>
      <c r="E763">
        <v>140.9</v>
      </c>
      <c r="F763">
        <v>132</v>
      </c>
      <c r="G763">
        <v>79.680000000000007</v>
      </c>
      <c r="H763">
        <v>85.83</v>
      </c>
      <c r="I763">
        <v>84.31</v>
      </c>
      <c r="J763">
        <v>112.81</v>
      </c>
      <c r="K763">
        <v>24.45</v>
      </c>
      <c r="L763">
        <v>78293.009999999995</v>
      </c>
      <c r="M763">
        <v>47684.47</v>
      </c>
      <c r="N763">
        <v>14.324999999999999</v>
      </c>
      <c r="O763">
        <v>5.5059999999999998E-2</v>
      </c>
      <c r="P763">
        <v>3.0089999999999999</v>
      </c>
      <c r="Q763">
        <v>102.48</v>
      </c>
      <c r="R763">
        <v>44.98</v>
      </c>
      <c r="S763">
        <v>145.30000000000001</v>
      </c>
    </row>
    <row r="764" spans="1:19" x14ac:dyDescent="0.25">
      <c r="A764" s="6">
        <v>44991</v>
      </c>
      <c r="B764">
        <v>96.39</v>
      </c>
      <c r="C764">
        <v>114.61</v>
      </c>
      <c r="D764">
        <v>130.18</v>
      </c>
      <c r="E764">
        <v>140.9</v>
      </c>
      <c r="F764">
        <v>132</v>
      </c>
      <c r="G764">
        <v>80.459999999999994</v>
      </c>
      <c r="H764">
        <v>86.18</v>
      </c>
      <c r="I764">
        <v>84.4</v>
      </c>
      <c r="J764">
        <v>113.81</v>
      </c>
      <c r="K764">
        <v>24.65</v>
      </c>
      <c r="L764">
        <v>78697.83</v>
      </c>
      <c r="M764">
        <v>47369.31</v>
      </c>
      <c r="N764">
        <v>14.285</v>
      </c>
      <c r="O764">
        <v>5.4769999999999999E-2</v>
      </c>
      <c r="P764">
        <v>2.5720000000000001</v>
      </c>
      <c r="Q764">
        <v>103.24</v>
      </c>
      <c r="R764">
        <v>42.15</v>
      </c>
      <c r="S764">
        <v>146.69999999999999</v>
      </c>
    </row>
    <row r="765" spans="1:19" x14ac:dyDescent="0.25">
      <c r="A765" s="6">
        <v>44992</v>
      </c>
      <c r="B765">
        <v>96.39</v>
      </c>
      <c r="C765">
        <v>114.61</v>
      </c>
      <c r="D765">
        <v>130.18</v>
      </c>
      <c r="E765">
        <v>140.9</v>
      </c>
      <c r="F765">
        <v>132</v>
      </c>
      <c r="G765">
        <v>77.58</v>
      </c>
      <c r="H765">
        <v>83.29</v>
      </c>
      <c r="I765">
        <v>82.07</v>
      </c>
      <c r="J765">
        <v>111.61</v>
      </c>
      <c r="K765">
        <v>25.05</v>
      </c>
      <c r="L765">
        <v>78556.539999999994</v>
      </c>
      <c r="M765">
        <v>46829.11</v>
      </c>
      <c r="N765">
        <v>13.94</v>
      </c>
      <c r="O765">
        <v>5.3969999999999997E-2</v>
      </c>
      <c r="P765">
        <v>2.6869999999999998</v>
      </c>
      <c r="Q765">
        <v>102.96</v>
      </c>
      <c r="R765">
        <v>43.37</v>
      </c>
      <c r="S765">
        <v>148.75</v>
      </c>
    </row>
    <row r="766" spans="1:19" x14ac:dyDescent="0.25">
      <c r="A766" s="6">
        <v>44993</v>
      </c>
      <c r="B766">
        <v>96.39</v>
      </c>
      <c r="C766">
        <v>114.61</v>
      </c>
      <c r="D766">
        <v>130.18</v>
      </c>
      <c r="E766">
        <v>140.9</v>
      </c>
      <c r="F766">
        <v>132</v>
      </c>
      <c r="G766">
        <v>76.66</v>
      </c>
      <c r="H766">
        <v>82.66</v>
      </c>
      <c r="I766">
        <v>81.97</v>
      </c>
      <c r="J766">
        <v>109.98</v>
      </c>
      <c r="K766">
        <v>24.5</v>
      </c>
      <c r="L766">
        <v>77741.83</v>
      </c>
      <c r="M766">
        <v>47359.72</v>
      </c>
      <c r="N766">
        <v>13.895</v>
      </c>
      <c r="O766">
        <v>5.3699999999999998E-2</v>
      </c>
      <c r="P766">
        <v>2.5510000000000002</v>
      </c>
      <c r="Q766">
        <v>102.61</v>
      </c>
      <c r="R766">
        <v>42.34</v>
      </c>
      <c r="S766">
        <v>148.75</v>
      </c>
    </row>
    <row r="767" spans="1:19" x14ac:dyDescent="0.25">
      <c r="A767" s="6">
        <v>44994</v>
      </c>
      <c r="B767">
        <v>96.39</v>
      </c>
      <c r="C767">
        <v>114.61</v>
      </c>
      <c r="D767">
        <v>130.18</v>
      </c>
      <c r="E767">
        <v>140.9</v>
      </c>
      <c r="F767">
        <v>132</v>
      </c>
      <c r="G767">
        <v>75.72</v>
      </c>
      <c r="H767">
        <v>81.59</v>
      </c>
      <c r="I767">
        <v>81.239999999999995</v>
      </c>
      <c r="J767">
        <v>109.13</v>
      </c>
      <c r="K767">
        <v>24.25</v>
      </c>
      <c r="L767">
        <v>77664.05</v>
      </c>
      <c r="M767">
        <v>47165.65</v>
      </c>
      <c r="N767">
        <v>14.31</v>
      </c>
      <c r="O767">
        <v>5.3830000000000003E-2</v>
      </c>
      <c r="P767">
        <v>2.5430000000000001</v>
      </c>
      <c r="Q767">
        <v>100.1</v>
      </c>
      <c r="R767">
        <v>43.6</v>
      </c>
      <c r="S767">
        <v>148.15</v>
      </c>
    </row>
    <row r="768" spans="1:19" x14ac:dyDescent="0.25">
      <c r="A768" s="6">
        <v>44995</v>
      </c>
      <c r="B768">
        <v>92.09</v>
      </c>
      <c r="C768">
        <v>107.99</v>
      </c>
      <c r="D768">
        <v>122.49</v>
      </c>
      <c r="E768">
        <v>127.13</v>
      </c>
      <c r="F768">
        <v>129.88</v>
      </c>
      <c r="G768">
        <v>76.680000000000007</v>
      </c>
      <c r="H768">
        <v>82.78</v>
      </c>
      <c r="I768">
        <v>82.16</v>
      </c>
      <c r="J768">
        <v>107.78</v>
      </c>
      <c r="K768">
        <v>24.15</v>
      </c>
      <c r="L768">
        <v>76454.36</v>
      </c>
      <c r="M768">
        <v>48175.9</v>
      </c>
      <c r="N768">
        <v>14.154999999999999</v>
      </c>
      <c r="O768">
        <v>5.459E-2</v>
      </c>
      <c r="P768">
        <v>2.4300000000000002</v>
      </c>
      <c r="Q768">
        <v>95.39</v>
      </c>
      <c r="R768">
        <v>52.854999999999997</v>
      </c>
      <c r="S768">
        <v>148.9</v>
      </c>
    </row>
    <row r="769" spans="1:19" x14ac:dyDescent="0.25">
      <c r="A769" s="6">
        <v>44998</v>
      </c>
      <c r="B769">
        <v>92.09</v>
      </c>
      <c r="C769">
        <v>107.99</v>
      </c>
      <c r="D769">
        <v>122.49</v>
      </c>
      <c r="E769">
        <v>127.13</v>
      </c>
      <c r="F769">
        <v>129.88</v>
      </c>
      <c r="G769">
        <v>74.8</v>
      </c>
      <c r="H769">
        <v>80.77</v>
      </c>
      <c r="I769">
        <v>81.010000000000005</v>
      </c>
      <c r="J769">
        <v>106.54</v>
      </c>
      <c r="K769">
        <v>25.15</v>
      </c>
      <c r="L769">
        <v>75502.28</v>
      </c>
      <c r="M769">
        <v>51982.63</v>
      </c>
      <c r="N769">
        <v>14.244999999999999</v>
      </c>
      <c r="O769">
        <v>5.4960000000000002E-2</v>
      </c>
      <c r="P769">
        <v>2.6059999999999999</v>
      </c>
      <c r="Q769">
        <v>97.67</v>
      </c>
      <c r="R769">
        <v>49.585000000000001</v>
      </c>
      <c r="S769">
        <v>143.19999999999999</v>
      </c>
    </row>
    <row r="770" spans="1:19" x14ac:dyDescent="0.25">
      <c r="A770" s="6">
        <v>44999</v>
      </c>
      <c r="B770">
        <v>92.09</v>
      </c>
      <c r="C770">
        <v>107.99</v>
      </c>
      <c r="D770">
        <v>122.49</v>
      </c>
      <c r="E770">
        <v>127.13</v>
      </c>
      <c r="F770">
        <v>129.88</v>
      </c>
      <c r="G770">
        <v>71.33</v>
      </c>
      <c r="H770">
        <v>77.45</v>
      </c>
      <c r="I770">
        <v>79.2</v>
      </c>
      <c r="J770">
        <v>106.94</v>
      </c>
      <c r="K770">
        <v>25.05</v>
      </c>
      <c r="L770">
        <v>75008.679999999993</v>
      </c>
      <c r="M770">
        <v>50237.06</v>
      </c>
      <c r="N770">
        <v>14.2</v>
      </c>
      <c r="O770">
        <v>5.5129999999999998E-2</v>
      </c>
      <c r="P770">
        <v>2.573</v>
      </c>
      <c r="Q770">
        <v>98.85</v>
      </c>
      <c r="R770">
        <v>44.185000000000002</v>
      </c>
      <c r="S770">
        <v>145.30000000000001</v>
      </c>
    </row>
    <row r="771" spans="1:19" x14ac:dyDescent="0.25">
      <c r="A771" s="6">
        <v>45000</v>
      </c>
      <c r="B771">
        <v>92.09</v>
      </c>
      <c r="C771">
        <v>107.99</v>
      </c>
      <c r="D771">
        <v>122.49</v>
      </c>
      <c r="E771">
        <v>127.13</v>
      </c>
      <c r="F771">
        <v>129.88</v>
      </c>
      <c r="G771">
        <v>67.61</v>
      </c>
      <c r="H771">
        <v>73.28</v>
      </c>
      <c r="I771">
        <v>77.25</v>
      </c>
      <c r="J771">
        <v>101.62</v>
      </c>
      <c r="K771">
        <v>25.65</v>
      </c>
      <c r="L771">
        <v>72895.539999999994</v>
      </c>
      <c r="M771">
        <v>50265.07</v>
      </c>
      <c r="N771">
        <v>14.167999999999999</v>
      </c>
      <c r="O771">
        <v>5.423E-2</v>
      </c>
      <c r="P771">
        <v>2.5459999999999998</v>
      </c>
      <c r="Q771">
        <v>97.52</v>
      </c>
      <c r="R771">
        <v>42.905000000000001</v>
      </c>
      <c r="S771">
        <v>151.44999999999999</v>
      </c>
    </row>
    <row r="772" spans="1:19" x14ac:dyDescent="0.25">
      <c r="A772" s="6">
        <v>45001</v>
      </c>
      <c r="B772">
        <v>92.09</v>
      </c>
      <c r="C772">
        <v>107.99</v>
      </c>
      <c r="D772">
        <v>122.49</v>
      </c>
      <c r="E772">
        <v>127.13</v>
      </c>
      <c r="F772">
        <v>129.88</v>
      </c>
      <c r="G772">
        <v>68.349999999999994</v>
      </c>
      <c r="H772">
        <v>74.290000000000006</v>
      </c>
      <c r="I772">
        <v>77.849999999999994</v>
      </c>
      <c r="J772">
        <v>101.03</v>
      </c>
      <c r="K772">
        <v>24.8</v>
      </c>
      <c r="L772">
        <v>72905.5</v>
      </c>
      <c r="M772">
        <v>49602.2</v>
      </c>
      <c r="N772">
        <v>13.555</v>
      </c>
      <c r="O772">
        <v>5.4339999999999999E-2</v>
      </c>
      <c r="P772">
        <v>2.6259999999999999</v>
      </c>
      <c r="Q772">
        <v>99.23</v>
      </c>
      <c r="R772">
        <v>44.34</v>
      </c>
      <c r="S772">
        <v>152.19999999999999</v>
      </c>
    </row>
    <row r="773" spans="1:19" x14ac:dyDescent="0.25">
      <c r="A773" s="6">
        <v>45002</v>
      </c>
      <c r="B773">
        <v>93.8</v>
      </c>
      <c r="C773">
        <v>112.06</v>
      </c>
      <c r="D773">
        <v>128.5</v>
      </c>
      <c r="E773">
        <v>134.18</v>
      </c>
      <c r="F773">
        <v>130.96</v>
      </c>
      <c r="G773">
        <v>66.739999999999995</v>
      </c>
      <c r="H773">
        <v>72.77</v>
      </c>
      <c r="I773">
        <v>77.14</v>
      </c>
      <c r="J773">
        <v>99.84</v>
      </c>
      <c r="K773">
        <v>25.3</v>
      </c>
      <c r="L773">
        <v>72527.92</v>
      </c>
      <c r="M773">
        <v>51635.86</v>
      </c>
      <c r="N773">
        <v>13.18</v>
      </c>
      <c r="O773">
        <v>5.4109999999999998E-2</v>
      </c>
      <c r="P773">
        <v>2.4460000000000002</v>
      </c>
      <c r="Q773">
        <v>97</v>
      </c>
      <c r="R773">
        <v>42.854999999999997</v>
      </c>
      <c r="S773">
        <v>151.4</v>
      </c>
    </row>
    <row r="774" spans="1:19" x14ac:dyDescent="0.25">
      <c r="A774" s="6">
        <v>45005</v>
      </c>
      <c r="B774">
        <v>93.8</v>
      </c>
      <c r="C774">
        <v>112.06</v>
      </c>
      <c r="D774">
        <v>128.5</v>
      </c>
      <c r="E774">
        <v>134.18</v>
      </c>
      <c r="F774">
        <v>130.96</v>
      </c>
      <c r="G774">
        <v>67.64</v>
      </c>
      <c r="H774">
        <v>73.540000000000006</v>
      </c>
      <c r="I774">
        <v>77.37</v>
      </c>
      <c r="J774">
        <v>102.45</v>
      </c>
      <c r="K774">
        <v>25.1</v>
      </c>
      <c r="L774">
        <v>74271.06</v>
      </c>
      <c r="M774">
        <v>53506.32</v>
      </c>
      <c r="N774">
        <v>13.154999999999999</v>
      </c>
      <c r="O774">
        <v>5.398E-2</v>
      </c>
      <c r="P774">
        <v>2.331</v>
      </c>
      <c r="Q774">
        <v>98.04</v>
      </c>
      <c r="R774">
        <v>39.325000000000003</v>
      </c>
      <c r="S774">
        <v>150.44999999999999</v>
      </c>
    </row>
    <row r="775" spans="1:19" x14ac:dyDescent="0.25">
      <c r="A775" s="6">
        <v>45006</v>
      </c>
      <c r="B775">
        <v>93.8</v>
      </c>
      <c r="C775">
        <v>112.06</v>
      </c>
      <c r="D775">
        <v>128.5</v>
      </c>
      <c r="E775">
        <v>134.18</v>
      </c>
      <c r="F775">
        <v>130.96</v>
      </c>
      <c r="G775">
        <v>69.33</v>
      </c>
      <c r="H775">
        <v>75.03</v>
      </c>
      <c r="I775">
        <v>77.97</v>
      </c>
      <c r="J775">
        <v>107.04</v>
      </c>
      <c r="K775">
        <v>25.25</v>
      </c>
      <c r="L775">
        <v>72853.839459460229</v>
      </c>
      <c r="M775">
        <v>52910.512972973287</v>
      </c>
      <c r="N775">
        <v>13.645</v>
      </c>
      <c r="O775">
        <v>5.3870000000000001E-2</v>
      </c>
      <c r="P775">
        <v>2.4849999999999999</v>
      </c>
      <c r="Q775">
        <v>99.72</v>
      </c>
      <c r="R775">
        <v>42.4</v>
      </c>
      <c r="S775">
        <v>150.15</v>
      </c>
    </row>
    <row r="776" spans="1:19" x14ac:dyDescent="0.25">
      <c r="A776" s="6">
        <v>45007</v>
      </c>
      <c r="B776">
        <v>93.8</v>
      </c>
      <c r="C776">
        <v>112.06</v>
      </c>
      <c r="D776">
        <v>128.5</v>
      </c>
      <c r="E776">
        <v>134.18</v>
      </c>
      <c r="F776">
        <v>130.96</v>
      </c>
      <c r="G776">
        <v>70.900000000000006</v>
      </c>
      <c r="H776">
        <v>76.38</v>
      </c>
      <c r="I776">
        <v>78.349999999999994</v>
      </c>
      <c r="J776">
        <v>104.59</v>
      </c>
      <c r="K776">
        <v>25.3</v>
      </c>
      <c r="L776">
        <v>75243.44</v>
      </c>
      <c r="M776">
        <v>53902.63</v>
      </c>
      <c r="N776">
        <v>12.64</v>
      </c>
      <c r="O776">
        <v>5.4829999999999997E-2</v>
      </c>
      <c r="P776">
        <v>2.3069999999999999</v>
      </c>
      <c r="Q776">
        <v>97.4</v>
      </c>
      <c r="R776">
        <v>39.975000000000001</v>
      </c>
      <c r="S776">
        <v>149.85</v>
      </c>
    </row>
    <row r="777" spans="1:19" x14ac:dyDescent="0.25">
      <c r="A777" s="6">
        <v>45008</v>
      </c>
      <c r="B777">
        <v>93.8</v>
      </c>
      <c r="C777">
        <v>112.06</v>
      </c>
      <c r="D777">
        <v>128.5</v>
      </c>
      <c r="E777">
        <v>134.18</v>
      </c>
      <c r="F777">
        <v>130.96</v>
      </c>
      <c r="G777">
        <v>69.959999999999994</v>
      </c>
      <c r="H777">
        <v>75.91</v>
      </c>
      <c r="I777">
        <v>78.13</v>
      </c>
      <c r="J777">
        <v>103.41</v>
      </c>
      <c r="K777">
        <v>25.75</v>
      </c>
      <c r="L777">
        <v>75585.23</v>
      </c>
      <c r="M777">
        <v>53947.82</v>
      </c>
      <c r="N777">
        <v>13.335000000000001</v>
      </c>
      <c r="O777">
        <v>5.5219999999999998E-2</v>
      </c>
      <c r="P777">
        <v>2.2829999999999999</v>
      </c>
      <c r="Q777">
        <v>96.53</v>
      </c>
      <c r="R777">
        <v>43.185000000000002</v>
      </c>
      <c r="S777">
        <v>147.94999999999999</v>
      </c>
    </row>
    <row r="778" spans="1:19" x14ac:dyDescent="0.25">
      <c r="A778" s="6">
        <v>45009</v>
      </c>
      <c r="B778">
        <v>92</v>
      </c>
      <c r="C778">
        <v>108.94</v>
      </c>
      <c r="D778">
        <v>123.68</v>
      </c>
      <c r="E778">
        <v>130.07</v>
      </c>
      <c r="F778">
        <v>130.44</v>
      </c>
      <c r="G778">
        <v>69.260000000000005</v>
      </c>
      <c r="H778">
        <v>74.989999999999995</v>
      </c>
      <c r="I778">
        <v>77.86</v>
      </c>
      <c r="J778">
        <v>103.53</v>
      </c>
      <c r="K778">
        <v>25.5</v>
      </c>
      <c r="L778">
        <v>74695.039999999994</v>
      </c>
      <c r="M778">
        <v>53880.75</v>
      </c>
      <c r="N778">
        <v>12.7</v>
      </c>
      <c r="O778">
        <v>5.5039999999999999E-2</v>
      </c>
      <c r="P778">
        <v>2.3610000000000002</v>
      </c>
      <c r="Q778">
        <v>97.49</v>
      </c>
      <c r="R778">
        <v>41.094999999999999</v>
      </c>
      <c r="S778">
        <v>142.94999999999999</v>
      </c>
    </row>
    <row r="779" spans="1:19" x14ac:dyDescent="0.25">
      <c r="A779" s="6">
        <v>45012</v>
      </c>
      <c r="B779">
        <v>92</v>
      </c>
      <c r="C779">
        <v>108.94</v>
      </c>
      <c r="D779">
        <v>123.68</v>
      </c>
      <c r="E779">
        <v>130.07</v>
      </c>
      <c r="F779">
        <v>130.44</v>
      </c>
      <c r="G779">
        <v>72.81</v>
      </c>
      <c r="H779">
        <v>78.12</v>
      </c>
      <c r="I779">
        <v>78.400000000000006</v>
      </c>
      <c r="J779">
        <v>105.8</v>
      </c>
      <c r="K779">
        <v>24.15</v>
      </c>
      <c r="L779">
        <v>75283.679999999993</v>
      </c>
      <c r="M779">
        <v>54084.36</v>
      </c>
      <c r="N779">
        <v>12.525</v>
      </c>
      <c r="O779">
        <v>5.457E-2</v>
      </c>
      <c r="P779">
        <v>2.0880000000000001</v>
      </c>
      <c r="Q779">
        <v>98.05</v>
      </c>
      <c r="R779">
        <v>42.53</v>
      </c>
      <c r="S779">
        <v>134.15</v>
      </c>
    </row>
    <row r="780" spans="1:19" x14ac:dyDescent="0.25">
      <c r="A780" s="6">
        <v>45013</v>
      </c>
      <c r="B780">
        <v>92</v>
      </c>
      <c r="C780">
        <v>108.94</v>
      </c>
      <c r="D780">
        <v>123.68</v>
      </c>
      <c r="E780">
        <v>130.07</v>
      </c>
      <c r="F780">
        <v>130.44</v>
      </c>
      <c r="G780">
        <v>73.2</v>
      </c>
      <c r="H780">
        <v>78.650000000000006</v>
      </c>
      <c r="I780">
        <v>78.45</v>
      </c>
      <c r="J780">
        <v>107.12</v>
      </c>
      <c r="K780">
        <v>24.05</v>
      </c>
      <c r="L780">
        <v>76047.34</v>
      </c>
      <c r="M780">
        <v>55586.66</v>
      </c>
      <c r="N780">
        <v>12.505000000000001</v>
      </c>
      <c r="O780">
        <v>5.5059999999999998E-2</v>
      </c>
      <c r="P780">
        <v>2.0299999999999998</v>
      </c>
      <c r="Q780">
        <v>99.1</v>
      </c>
      <c r="R780">
        <v>42.75</v>
      </c>
      <c r="S780">
        <v>127.95</v>
      </c>
    </row>
    <row r="781" spans="1:19" x14ac:dyDescent="0.25">
      <c r="A781" s="6">
        <v>45014</v>
      </c>
      <c r="B781">
        <v>92</v>
      </c>
      <c r="C781">
        <v>108.94</v>
      </c>
      <c r="D781">
        <v>123.68</v>
      </c>
      <c r="E781">
        <v>130.07</v>
      </c>
      <c r="F781">
        <v>130.44</v>
      </c>
      <c r="G781">
        <v>72.97</v>
      </c>
      <c r="H781">
        <v>78.28</v>
      </c>
      <c r="I781">
        <v>78.41</v>
      </c>
      <c r="J781">
        <v>108.96</v>
      </c>
      <c r="K781">
        <v>24</v>
      </c>
      <c r="L781">
        <v>76480.11</v>
      </c>
      <c r="M781">
        <v>55401.51</v>
      </c>
      <c r="N781">
        <v>12.535</v>
      </c>
      <c r="O781">
        <v>5.5199999999999999E-2</v>
      </c>
      <c r="P781">
        <v>1.9910000000000001</v>
      </c>
      <c r="Q781">
        <v>101.67</v>
      </c>
      <c r="R781">
        <v>42.805</v>
      </c>
      <c r="S781">
        <v>128.6</v>
      </c>
    </row>
    <row r="782" spans="1:19" x14ac:dyDescent="0.25">
      <c r="A782" s="6">
        <v>45015</v>
      </c>
      <c r="B782">
        <v>92</v>
      </c>
      <c r="C782">
        <v>108.94</v>
      </c>
      <c r="D782">
        <v>123.68</v>
      </c>
      <c r="E782">
        <v>130.07</v>
      </c>
      <c r="F782">
        <v>130.44</v>
      </c>
      <c r="G782">
        <v>74.37</v>
      </c>
      <c r="H782">
        <v>79.27</v>
      </c>
      <c r="I782">
        <v>78.47</v>
      </c>
      <c r="J782">
        <v>109.49</v>
      </c>
      <c r="K782">
        <v>24.55</v>
      </c>
      <c r="L782">
        <v>76704.63</v>
      </c>
      <c r="M782">
        <v>55942.49</v>
      </c>
      <c r="N782">
        <v>12.7</v>
      </c>
      <c r="O782">
        <v>5.6099999999999997E-2</v>
      </c>
      <c r="P782">
        <v>2.1040000000000001</v>
      </c>
      <c r="Q782">
        <v>102.73</v>
      </c>
      <c r="R782">
        <v>43.609000000000002</v>
      </c>
      <c r="S782">
        <v>127.95</v>
      </c>
    </row>
    <row r="783" spans="1:19" x14ac:dyDescent="0.25">
      <c r="A783" s="6">
        <v>45016</v>
      </c>
      <c r="B783">
        <v>94.51</v>
      </c>
      <c r="C783">
        <v>111.41</v>
      </c>
      <c r="D783">
        <v>128.84</v>
      </c>
      <c r="E783">
        <v>135.08000000000001</v>
      </c>
      <c r="F783">
        <v>128.99</v>
      </c>
      <c r="G783">
        <v>75.67</v>
      </c>
      <c r="H783">
        <v>79.77</v>
      </c>
      <c r="I783">
        <v>78.489999999999995</v>
      </c>
      <c r="J783">
        <v>109.66</v>
      </c>
      <c r="K783">
        <v>24.7</v>
      </c>
      <c r="L783">
        <v>76100.17</v>
      </c>
      <c r="M783">
        <v>54573.22</v>
      </c>
      <c r="N783">
        <v>13.515000000000001</v>
      </c>
      <c r="O783">
        <v>5.6160000000000002E-2</v>
      </c>
      <c r="P783">
        <v>2.2160000000000002</v>
      </c>
      <c r="Q783">
        <v>104.29</v>
      </c>
      <c r="R783">
        <v>47.844999999999999</v>
      </c>
      <c r="S783">
        <v>127.95</v>
      </c>
    </row>
    <row r="784" spans="1:19" x14ac:dyDescent="0.25">
      <c r="A784" s="6">
        <v>45019</v>
      </c>
      <c r="B784">
        <v>94.51</v>
      </c>
      <c r="C784">
        <v>111.41</v>
      </c>
      <c r="D784">
        <v>128.84</v>
      </c>
      <c r="E784">
        <v>135.08000000000001</v>
      </c>
      <c r="F784">
        <v>128.99</v>
      </c>
      <c r="G784">
        <v>80.42</v>
      </c>
      <c r="H784">
        <v>84.93</v>
      </c>
      <c r="I784">
        <v>84.69</v>
      </c>
      <c r="J784">
        <v>116.13</v>
      </c>
      <c r="K784">
        <v>24.4</v>
      </c>
      <c r="L784">
        <v>76614.960000000006</v>
      </c>
      <c r="M784">
        <v>55046.23</v>
      </c>
      <c r="N784">
        <v>12.75</v>
      </c>
      <c r="O784">
        <v>5.6000000000000001E-2</v>
      </c>
      <c r="P784">
        <v>2.097</v>
      </c>
      <c r="Q784">
        <v>105.42</v>
      </c>
      <c r="R784">
        <v>51.365000000000002</v>
      </c>
      <c r="S784">
        <v>133.85</v>
      </c>
    </row>
    <row r="785" spans="1:19" x14ac:dyDescent="0.25">
      <c r="A785" s="6">
        <v>45020</v>
      </c>
      <c r="B785">
        <v>94.51</v>
      </c>
      <c r="C785">
        <v>111.41</v>
      </c>
      <c r="D785">
        <v>128.84</v>
      </c>
      <c r="E785">
        <v>135.08000000000001</v>
      </c>
      <c r="F785">
        <v>128.99</v>
      </c>
      <c r="G785">
        <v>80.709999999999994</v>
      </c>
      <c r="H785">
        <v>84.94</v>
      </c>
      <c r="I785">
        <v>84.47</v>
      </c>
      <c r="J785">
        <v>115.02</v>
      </c>
      <c r="K785">
        <v>24.75</v>
      </c>
      <c r="L785">
        <v>77458.58</v>
      </c>
      <c r="M785">
        <v>57274.81</v>
      </c>
      <c r="N785">
        <v>13.16</v>
      </c>
      <c r="O785">
        <v>5.5739999999999998E-2</v>
      </c>
      <c r="P785">
        <v>2.1059999999999999</v>
      </c>
      <c r="Q785">
        <v>106.04</v>
      </c>
      <c r="R785">
        <v>46.57</v>
      </c>
      <c r="S785">
        <v>136.5</v>
      </c>
    </row>
    <row r="786" spans="1:19" x14ac:dyDescent="0.25">
      <c r="A786" s="6">
        <v>45021</v>
      </c>
      <c r="B786">
        <v>94.51</v>
      </c>
      <c r="C786">
        <v>111.41</v>
      </c>
      <c r="D786">
        <v>128.84</v>
      </c>
      <c r="E786">
        <v>135.08000000000001</v>
      </c>
      <c r="F786">
        <v>128.99</v>
      </c>
      <c r="G786">
        <v>80.61</v>
      </c>
      <c r="H786">
        <v>84.99</v>
      </c>
      <c r="I786">
        <v>84.59</v>
      </c>
      <c r="J786">
        <v>116.99</v>
      </c>
      <c r="K786">
        <v>24.793133047210176</v>
      </c>
      <c r="L786">
        <v>76656.42</v>
      </c>
      <c r="M786">
        <v>57793.43</v>
      </c>
      <c r="N786">
        <v>12.68</v>
      </c>
      <c r="O786">
        <v>5.5399999999999998E-2</v>
      </c>
      <c r="P786">
        <v>2.1549999999999998</v>
      </c>
      <c r="Q786">
        <v>106.22</v>
      </c>
      <c r="R786">
        <v>44.575000000000003</v>
      </c>
      <c r="S786">
        <v>136.5</v>
      </c>
    </row>
    <row r="787" spans="1:19" x14ac:dyDescent="0.25">
      <c r="A787" s="6">
        <v>45022</v>
      </c>
      <c r="B787">
        <v>95.97</v>
      </c>
      <c r="C787">
        <v>113.65</v>
      </c>
      <c r="D787">
        <v>129.24</v>
      </c>
      <c r="E787">
        <v>133.76</v>
      </c>
      <c r="F787">
        <v>127.96</v>
      </c>
      <c r="G787">
        <v>80.7</v>
      </c>
      <c r="H787">
        <v>85.12</v>
      </c>
      <c r="I787">
        <v>84.99</v>
      </c>
      <c r="J787">
        <v>115.05</v>
      </c>
      <c r="K787">
        <v>24.4</v>
      </c>
      <c r="L787">
        <v>77113.7</v>
      </c>
      <c r="M787">
        <v>58293.51</v>
      </c>
      <c r="N787">
        <v>12.625</v>
      </c>
      <c r="O787">
        <v>5.4769999999999999E-2</v>
      </c>
      <c r="P787">
        <v>2.0110000000000001</v>
      </c>
      <c r="Q787">
        <v>108.25</v>
      </c>
      <c r="R787">
        <v>43.125</v>
      </c>
      <c r="S787">
        <v>150.85</v>
      </c>
    </row>
    <row r="788" spans="1:19" x14ac:dyDescent="0.25">
      <c r="A788" s="6">
        <v>45023</v>
      </c>
      <c r="B788">
        <v>95.97</v>
      </c>
      <c r="C788">
        <v>113.65</v>
      </c>
      <c r="D788">
        <v>129.24</v>
      </c>
      <c r="E788">
        <v>133.76</v>
      </c>
      <c r="F788">
        <v>127.96</v>
      </c>
      <c r="G788">
        <v>80.22</v>
      </c>
      <c r="H788">
        <v>84.65</v>
      </c>
      <c r="I788">
        <v>84.634999999999991</v>
      </c>
      <c r="J788">
        <v>114.795</v>
      </c>
      <c r="K788">
        <v>24.581164692663293</v>
      </c>
      <c r="L788">
        <v>77179.060214592144</v>
      </c>
      <c r="M788">
        <v>58283.40416308865</v>
      </c>
      <c r="N788">
        <v>12.685579399141716</v>
      </c>
      <c r="O788">
        <v>5.4919999999999997E-2</v>
      </c>
      <c r="P788">
        <v>2.0914999999999999</v>
      </c>
      <c r="Q788">
        <v>107.315</v>
      </c>
      <c r="R788">
        <v>43.125</v>
      </c>
      <c r="S788">
        <v>152.5</v>
      </c>
    </row>
    <row r="789" spans="1:19" x14ac:dyDescent="0.25">
      <c r="A789" s="6">
        <v>45026</v>
      </c>
      <c r="B789">
        <v>95.97</v>
      </c>
      <c r="C789">
        <v>113.65</v>
      </c>
      <c r="D789">
        <v>129.24</v>
      </c>
      <c r="E789">
        <v>133.76</v>
      </c>
      <c r="F789">
        <v>127.96</v>
      </c>
      <c r="G789">
        <v>79.739999999999995</v>
      </c>
      <c r="H789">
        <v>84.18</v>
      </c>
      <c r="I789">
        <v>84.28</v>
      </c>
      <c r="J789">
        <v>114.54</v>
      </c>
      <c r="K789">
        <v>24.515618339885464</v>
      </c>
      <c r="L789">
        <v>77714.918258902617</v>
      </c>
      <c r="M789">
        <v>60474.699682168663</v>
      </c>
      <c r="N789">
        <v>12.625</v>
      </c>
      <c r="O789">
        <v>5.3999999999999999E-2</v>
      </c>
      <c r="P789">
        <v>2.1720000000000002</v>
      </c>
      <c r="Q789">
        <v>106.38</v>
      </c>
      <c r="R789">
        <v>43.125</v>
      </c>
      <c r="S789">
        <v>152.5</v>
      </c>
    </row>
    <row r="790" spans="1:19" x14ac:dyDescent="0.25">
      <c r="A790" s="6">
        <v>45027</v>
      </c>
      <c r="B790">
        <v>95.97</v>
      </c>
      <c r="C790">
        <v>113.65</v>
      </c>
      <c r="D790">
        <v>129.24</v>
      </c>
      <c r="E790">
        <v>133.76</v>
      </c>
      <c r="F790">
        <v>127.96</v>
      </c>
      <c r="G790">
        <v>81.53</v>
      </c>
      <c r="H790">
        <v>85.61</v>
      </c>
      <c r="I790">
        <v>85.19</v>
      </c>
      <c r="J790">
        <v>115.35</v>
      </c>
      <c r="K790">
        <v>24.2</v>
      </c>
      <c r="L790">
        <v>77990.539999999994</v>
      </c>
      <c r="M790">
        <v>60196.480000000003</v>
      </c>
      <c r="N790">
        <v>12.57</v>
      </c>
      <c r="O790">
        <v>5.432E-2</v>
      </c>
      <c r="P790">
        <v>2.1859999999999999</v>
      </c>
      <c r="Q790">
        <v>106.13</v>
      </c>
      <c r="R790">
        <v>43.69</v>
      </c>
      <c r="S790">
        <v>155.94999999999999</v>
      </c>
    </row>
    <row r="791" spans="1:19" x14ac:dyDescent="0.25">
      <c r="A791" s="6">
        <v>45028</v>
      </c>
      <c r="B791">
        <v>95.97</v>
      </c>
      <c r="C791">
        <v>113.65</v>
      </c>
      <c r="D791">
        <v>129.24</v>
      </c>
      <c r="E791">
        <v>133.76</v>
      </c>
      <c r="F791">
        <v>127.96</v>
      </c>
      <c r="G791">
        <v>83.26</v>
      </c>
      <c r="H791">
        <v>87.33</v>
      </c>
      <c r="I791">
        <v>86.35</v>
      </c>
      <c r="J791">
        <v>115.23</v>
      </c>
      <c r="K791">
        <v>24.3</v>
      </c>
      <c r="L791">
        <v>77740.69</v>
      </c>
      <c r="M791">
        <v>60187.32</v>
      </c>
      <c r="N791">
        <v>12.625</v>
      </c>
      <c r="O791">
        <v>5.4339999999999999E-2</v>
      </c>
      <c r="P791">
        <v>2.093</v>
      </c>
      <c r="Q791">
        <v>107.09</v>
      </c>
      <c r="R791">
        <v>42.88</v>
      </c>
      <c r="S791">
        <v>155.69999999999999</v>
      </c>
    </row>
    <row r="792" spans="1:19" x14ac:dyDescent="0.25">
      <c r="A792" s="6">
        <v>45029</v>
      </c>
      <c r="B792">
        <v>95.97</v>
      </c>
      <c r="C792">
        <v>113.65</v>
      </c>
      <c r="D792">
        <v>129.24</v>
      </c>
      <c r="E792">
        <v>133.76</v>
      </c>
      <c r="F792">
        <v>127.96</v>
      </c>
      <c r="G792">
        <v>82.16</v>
      </c>
      <c r="H792">
        <v>86.09</v>
      </c>
      <c r="I792">
        <v>85.61</v>
      </c>
      <c r="J792">
        <v>115.77</v>
      </c>
      <c r="K792">
        <v>24.5</v>
      </c>
      <c r="L792">
        <v>78462.77</v>
      </c>
      <c r="M792">
        <v>62052.15</v>
      </c>
      <c r="N792">
        <v>12.605</v>
      </c>
      <c r="O792">
        <v>5.5379999999999999E-2</v>
      </c>
      <c r="P792">
        <v>2.0070000000000001</v>
      </c>
      <c r="Q792">
        <v>107.51</v>
      </c>
      <c r="R792">
        <v>42.094999999999999</v>
      </c>
      <c r="S792">
        <v>154.80000000000001</v>
      </c>
    </row>
    <row r="793" spans="1:19" x14ac:dyDescent="0.25">
      <c r="A793" s="6">
        <v>45030</v>
      </c>
      <c r="B793">
        <v>89.92</v>
      </c>
      <c r="C793">
        <v>105.11</v>
      </c>
      <c r="D793">
        <v>119.93</v>
      </c>
      <c r="E793">
        <v>122.4</v>
      </c>
      <c r="F793">
        <v>126.04</v>
      </c>
      <c r="G793">
        <v>82.52</v>
      </c>
      <c r="H793">
        <v>86.31</v>
      </c>
      <c r="I793">
        <v>85.64</v>
      </c>
      <c r="J793">
        <v>116.05</v>
      </c>
      <c r="K793">
        <v>24.8</v>
      </c>
      <c r="L793">
        <v>78870.36</v>
      </c>
      <c r="M793">
        <v>60085.69</v>
      </c>
      <c r="N793">
        <v>12.593</v>
      </c>
      <c r="O793">
        <v>5.5230000000000001E-2</v>
      </c>
      <c r="P793">
        <v>2.1139999999999999</v>
      </c>
      <c r="Q793">
        <v>107.51</v>
      </c>
      <c r="R793">
        <v>41.15</v>
      </c>
      <c r="S793">
        <v>154.1</v>
      </c>
    </row>
    <row r="794" spans="1:19" x14ac:dyDescent="0.25">
      <c r="A794" s="6">
        <v>45033</v>
      </c>
      <c r="B794">
        <v>89.92</v>
      </c>
      <c r="C794">
        <v>105.11</v>
      </c>
      <c r="D794">
        <v>119.93</v>
      </c>
      <c r="E794">
        <v>122.4</v>
      </c>
      <c r="F794">
        <v>126.04</v>
      </c>
      <c r="G794">
        <v>80.83</v>
      </c>
      <c r="H794">
        <v>84.76</v>
      </c>
      <c r="I794">
        <v>84.95</v>
      </c>
      <c r="J794">
        <v>114.7</v>
      </c>
      <c r="K794">
        <v>25.55</v>
      </c>
      <c r="L794">
        <v>78723.7</v>
      </c>
      <c r="M794">
        <v>60769.72</v>
      </c>
      <c r="N794">
        <v>12.49</v>
      </c>
      <c r="O794">
        <v>5.4579999999999997E-2</v>
      </c>
      <c r="P794">
        <v>2.2749999999999999</v>
      </c>
      <c r="Q794">
        <v>107.99</v>
      </c>
      <c r="R794">
        <v>41.125</v>
      </c>
      <c r="S794">
        <v>154.1</v>
      </c>
    </row>
    <row r="795" spans="1:19" x14ac:dyDescent="0.25">
      <c r="A795" s="6">
        <v>45034</v>
      </c>
      <c r="B795">
        <v>89.92</v>
      </c>
      <c r="C795">
        <v>105.11</v>
      </c>
      <c r="D795">
        <v>119.93</v>
      </c>
      <c r="E795">
        <v>122.4</v>
      </c>
      <c r="F795">
        <v>126.04</v>
      </c>
      <c r="G795">
        <v>80.86</v>
      </c>
      <c r="H795">
        <v>84.77</v>
      </c>
      <c r="I795">
        <v>85</v>
      </c>
      <c r="J795">
        <v>116.94</v>
      </c>
      <c r="K795">
        <v>25.7</v>
      </c>
      <c r="L795">
        <v>79294.759999999995</v>
      </c>
      <c r="M795">
        <v>64354.04</v>
      </c>
      <c r="N795">
        <v>12.85</v>
      </c>
      <c r="O795">
        <v>5.5039999999999999E-2</v>
      </c>
      <c r="P795">
        <v>2.3660000000000001</v>
      </c>
      <c r="Q795">
        <v>107.49</v>
      </c>
      <c r="R795">
        <v>42.72</v>
      </c>
      <c r="S795">
        <v>153.85</v>
      </c>
    </row>
    <row r="796" spans="1:19" x14ac:dyDescent="0.25">
      <c r="A796" s="6">
        <v>45035</v>
      </c>
      <c r="B796">
        <v>89.92</v>
      </c>
      <c r="C796">
        <v>105.11</v>
      </c>
      <c r="D796">
        <v>119.93</v>
      </c>
      <c r="E796">
        <v>122.4</v>
      </c>
      <c r="F796">
        <v>126.04</v>
      </c>
      <c r="G796">
        <v>79.16</v>
      </c>
      <c r="H796">
        <v>83.12</v>
      </c>
      <c r="I796">
        <v>84.36</v>
      </c>
      <c r="J796">
        <v>116.57</v>
      </c>
      <c r="K796">
        <v>25.8</v>
      </c>
      <c r="L796">
        <v>78796.86</v>
      </c>
      <c r="M796">
        <v>62274.45</v>
      </c>
      <c r="N796">
        <v>12.244999999999999</v>
      </c>
      <c r="O796">
        <v>5.4949999999999999E-2</v>
      </c>
      <c r="P796">
        <v>2.222</v>
      </c>
      <c r="Q796">
        <v>108.34</v>
      </c>
      <c r="R796">
        <v>40.299999999999997</v>
      </c>
      <c r="S796">
        <v>152.85</v>
      </c>
    </row>
    <row r="797" spans="1:19" x14ac:dyDescent="0.25">
      <c r="A797" s="6">
        <v>45036</v>
      </c>
      <c r="B797">
        <v>89.92</v>
      </c>
      <c r="C797">
        <v>105.11</v>
      </c>
      <c r="D797">
        <v>119.93</v>
      </c>
      <c r="E797">
        <v>122.4</v>
      </c>
      <c r="F797">
        <v>126.04</v>
      </c>
      <c r="G797">
        <v>77.290000000000006</v>
      </c>
      <c r="H797">
        <v>81.099999999999994</v>
      </c>
      <c r="I797">
        <v>83.55</v>
      </c>
      <c r="J797">
        <v>115.64</v>
      </c>
      <c r="K797">
        <v>25.45</v>
      </c>
      <c r="L797">
        <v>78883.259999999995</v>
      </c>
      <c r="M797">
        <v>62912.97</v>
      </c>
      <c r="N797">
        <v>12.234999999999999</v>
      </c>
      <c r="O797">
        <v>5.5410000000000001E-2</v>
      </c>
      <c r="P797">
        <v>2.2490000000000001</v>
      </c>
      <c r="Q797">
        <v>107.76</v>
      </c>
      <c r="R797">
        <v>40.564999999999998</v>
      </c>
      <c r="S797">
        <v>153.85</v>
      </c>
    </row>
    <row r="798" spans="1:19" x14ac:dyDescent="0.25">
      <c r="A798" s="6">
        <v>45037</v>
      </c>
      <c r="B798">
        <v>90.45</v>
      </c>
      <c r="C798">
        <v>107.23</v>
      </c>
      <c r="D798">
        <v>120.27</v>
      </c>
      <c r="E798">
        <v>126.95</v>
      </c>
      <c r="F798">
        <v>125.23</v>
      </c>
      <c r="G798">
        <v>77.87</v>
      </c>
      <c r="H798">
        <v>81.66</v>
      </c>
      <c r="I798">
        <v>83.71</v>
      </c>
      <c r="J798">
        <v>116.01</v>
      </c>
      <c r="K798">
        <v>25.55</v>
      </c>
      <c r="L798">
        <v>77910.960000000006</v>
      </c>
      <c r="M798">
        <v>61981.48</v>
      </c>
      <c r="N798">
        <v>11.88</v>
      </c>
      <c r="O798">
        <v>5.5199999999999999E-2</v>
      </c>
      <c r="P798">
        <v>2.2330000000000001</v>
      </c>
      <c r="Q798">
        <v>108.35</v>
      </c>
      <c r="R798">
        <v>40.164999999999999</v>
      </c>
      <c r="S798">
        <v>153.69999999999999</v>
      </c>
    </row>
    <row r="799" spans="1:19" x14ac:dyDescent="0.25">
      <c r="A799" s="6">
        <v>45040</v>
      </c>
      <c r="B799">
        <v>90.45</v>
      </c>
      <c r="C799">
        <v>107.23</v>
      </c>
      <c r="D799">
        <v>120.27</v>
      </c>
      <c r="E799">
        <v>126.95</v>
      </c>
      <c r="F799">
        <v>125.23</v>
      </c>
      <c r="G799">
        <v>78.760000000000005</v>
      </c>
      <c r="H799">
        <v>82.73</v>
      </c>
      <c r="I799">
        <v>83.9</v>
      </c>
      <c r="J799">
        <v>118.2</v>
      </c>
      <c r="K799">
        <v>25.25</v>
      </c>
      <c r="L799">
        <v>78121.37</v>
      </c>
      <c r="M799">
        <v>62633.33</v>
      </c>
      <c r="N799">
        <v>11.875</v>
      </c>
      <c r="O799">
        <v>5.5140000000000002E-2</v>
      </c>
      <c r="P799">
        <v>2.2730000000000001</v>
      </c>
      <c r="Q799">
        <v>107.93</v>
      </c>
      <c r="R799">
        <v>39.924999999999997</v>
      </c>
      <c r="S799">
        <v>152.85</v>
      </c>
    </row>
    <row r="800" spans="1:19" x14ac:dyDescent="0.25">
      <c r="A800" s="6">
        <v>45041</v>
      </c>
      <c r="B800">
        <v>90.45</v>
      </c>
      <c r="C800">
        <v>107.23</v>
      </c>
      <c r="D800">
        <v>120.27</v>
      </c>
      <c r="E800">
        <v>126.95</v>
      </c>
      <c r="F800">
        <v>125.23</v>
      </c>
      <c r="G800">
        <v>77.069999999999993</v>
      </c>
      <c r="H800">
        <v>80.77</v>
      </c>
      <c r="I800">
        <v>83.62</v>
      </c>
      <c r="J800">
        <v>116.52</v>
      </c>
      <c r="K800">
        <v>25.15</v>
      </c>
      <c r="L800">
        <v>77891.13</v>
      </c>
      <c r="M800">
        <v>62031.25</v>
      </c>
      <c r="N800">
        <v>11.845000000000001</v>
      </c>
      <c r="O800">
        <v>5.4489999999999997E-2</v>
      </c>
      <c r="P800">
        <v>2.3069999999999999</v>
      </c>
      <c r="Q800">
        <v>106.34</v>
      </c>
      <c r="R800">
        <v>39.835000000000001</v>
      </c>
      <c r="S800">
        <v>152.19999999999999</v>
      </c>
    </row>
    <row r="801" spans="1:19" x14ac:dyDescent="0.25">
      <c r="A801" s="6">
        <v>45042</v>
      </c>
      <c r="B801">
        <v>90.45</v>
      </c>
      <c r="C801">
        <v>107.23</v>
      </c>
      <c r="D801">
        <v>120.27</v>
      </c>
      <c r="E801">
        <v>126.95</v>
      </c>
      <c r="F801">
        <v>125.23</v>
      </c>
      <c r="G801">
        <v>74.3</v>
      </c>
      <c r="H801">
        <v>77.69</v>
      </c>
      <c r="I801">
        <v>83.23</v>
      </c>
      <c r="J801">
        <v>115.45</v>
      </c>
      <c r="K801">
        <v>25.35</v>
      </c>
      <c r="L801">
        <v>78122.12</v>
      </c>
      <c r="M801">
        <v>62335.59</v>
      </c>
      <c r="N801">
        <v>11.64</v>
      </c>
      <c r="O801">
        <v>5.4289999999999998E-2</v>
      </c>
      <c r="P801">
        <v>2.117</v>
      </c>
      <c r="Q801">
        <v>104.61</v>
      </c>
      <c r="R801">
        <v>38.549999999999997</v>
      </c>
      <c r="S801">
        <v>152.19999999999999</v>
      </c>
    </row>
    <row r="802" spans="1:19" x14ac:dyDescent="0.25">
      <c r="A802" s="6">
        <v>45043</v>
      </c>
      <c r="B802">
        <v>90.45</v>
      </c>
      <c r="C802">
        <v>107.23</v>
      </c>
      <c r="D802">
        <v>120.27</v>
      </c>
      <c r="E802">
        <v>126.95</v>
      </c>
      <c r="F802">
        <v>125.23</v>
      </c>
      <c r="G802">
        <v>74.760000000000005</v>
      </c>
      <c r="H802">
        <v>78.37</v>
      </c>
      <c r="I802">
        <v>83.32</v>
      </c>
      <c r="J802">
        <v>116.83</v>
      </c>
      <c r="K802">
        <v>25.4</v>
      </c>
      <c r="L802">
        <v>77796.813052208163</v>
      </c>
      <c r="M802">
        <v>62251.718714859569</v>
      </c>
      <c r="N802">
        <v>11.595000000000001</v>
      </c>
      <c r="O802">
        <v>5.4629999999999998E-2</v>
      </c>
      <c r="P802">
        <v>2.355</v>
      </c>
      <c r="Q802">
        <v>107.42</v>
      </c>
      <c r="R802">
        <v>39.039000000000001</v>
      </c>
      <c r="S802">
        <v>152.19999999999999</v>
      </c>
    </row>
    <row r="803" spans="1:19" x14ac:dyDescent="0.25">
      <c r="A803" s="6">
        <v>45044</v>
      </c>
      <c r="B803">
        <v>91.28</v>
      </c>
      <c r="C803">
        <v>108.09</v>
      </c>
      <c r="D803">
        <v>122.2</v>
      </c>
      <c r="E803">
        <v>127.42</v>
      </c>
      <c r="F803">
        <v>125.82</v>
      </c>
      <c r="G803">
        <v>76.78</v>
      </c>
      <c r="H803">
        <v>79.540000000000006</v>
      </c>
      <c r="I803">
        <v>83.41</v>
      </c>
      <c r="J803">
        <v>118.34</v>
      </c>
      <c r="K803">
        <v>26</v>
      </c>
      <c r="L803">
        <v>78218.37</v>
      </c>
      <c r="M803">
        <v>62522.73</v>
      </c>
      <c r="N803">
        <v>11.55</v>
      </c>
      <c r="O803">
        <v>5.4649999999999997E-2</v>
      </c>
      <c r="P803">
        <v>2.41</v>
      </c>
      <c r="Q803">
        <v>108.93</v>
      </c>
      <c r="R803">
        <v>38.54</v>
      </c>
      <c r="S803">
        <v>156.55000000000001</v>
      </c>
    </row>
    <row r="804" spans="1:19" x14ac:dyDescent="0.25">
      <c r="A804" s="6">
        <v>45047</v>
      </c>
      <c r="B804">
        <v>91.28</v>
      </c>
      <c r="C804">
        <v>108.09</v>
      </c>
      <c r="D804">
        <v>122.2</v>
      </c>
      <c r="E804">
        <v>127.42</v>
      </c>
      <c r="F804">
        <v>125.82</v>
      </c>
      <c r="G804">
        <v>75.66</v>
      </c>
      <c r="H804">
        <v>79.31</v>
      </c>
      <c r="I804">
        <v>79.239999999999995</v>
      </c>
      <c r="J804">
        <v>114.67</v>
      </c>
      <c r="K804">
        <v>25.686486486486729</v>
      </c>
      <c r="L804">
        <v>78122.79291870154</v>
      </c>
      <c r="M804">
        <v>62586.926096819807</v>
      </c>
      <c r="N804">
        <v>11.55</v>
      </c>
      <c r="O804">
        <v>5.4330000000000003E-2</v>
      </c>
      <c r="P804">
        <v>2.3180000000000001</v>
      </c>
      <c r="Q804">
        <v>108.62</v>
      </c>
      <c r="R804">
        <v>38.835000000000001</v>
      </c>
      <c r="S804">
        <v>155.19999999999999</v>
      </c>
    </row>
    <row r="805" spans="1:19" x14ac:dyDescent="0.25">
      <c r="A805" s="6">
        <v>45048</v>
      </c>
      <c r="B805">
        <v>91.28</v>
      </c>
      <c r="C805">
        <v>108.09</v>
      </c>
      <c r="D805">
        <v>122.2</v>
      </c>
      <c r="E805">
        <v>127.42</v>
      </c>
      <c r="F805">
        <v>125.82</v>
      </c>
      <c r="G805">
        <v>71.66</v>
      </c>
      <c r="H805">
        <v>75.319999999999993</v>
      </c>
      <c r="I805">
        <v>75.010000000000005</v>
      </c>
      <c r="J805">
        <v>110.1</v>
      </c>
      <c r="K805">
        <v>26.05</v>
      </c>
      <c r="L805">
        <v>77532.899999999994</v>
      </c>
      <c r="M805">
        <v>62896.08</v>
      </c>
      <c r="N805">
        <v>11.494999999999999</v>
      </c>
      <c r="O805">
        <v>5.4120000000000001E-2</v>
      </c>
      <c r="P805">
        <v>2.214</v>
      </c>
      <c r="Q805">
        <v>107.11</v>
      </c>
      <c r="R805">
        <v>37.53</v>
      </c>
      <c r="S805">
        <v>155.19999999999999</v>
      </c>
    </row>
    <row r="806" spans="1:19" x14ac:dyDescent="0.25">
      <c r="A806" s="6">
        <v>45049</v>
      </c>
      <c r="B806">
        <v>91.28</v>
      </c>
      <c r="C806">
        <v>108.09</v>
      </c>
      <c r="D806">
        <v>122.2</v>
      </c>
      <c r="E806">
        <v>127.42</v>
      </c>
      <c r="F806">
        <v>125.82</v>
      </c>
      <c r="G806">
        <v>68.599999999999994</v>
      </c>
      <c r="H806">
        <v>72.33</v>
      </c>
      <c r="I806">
        <v>72.28</v>
      </c>
      <c r="J806">
        <v>107.93</v>
      </c>
      <c r="K806">
        <v>25.9</v>
      </c>
      <c r="L806">
        <v>78218.600000000006</v>
      </c>
      <c r="M806">
        <v>64498.03</v>
      </c>
      <c r="N806">
        <v>11.5</v>
      </c>
      <c r="O806">
        <v>5.4679999999999999E-2</v>
      </c>
      <c r="P806">
        <v>2.17</v>
      </c>
      <c r="Q806">
        <v>104.83</v>
      </c>
      <c r="R806">
        <v>36.78</v>
      </c>
      <c r="S806">
        <v>155.5</v>
      </c>
    </row>
    <row r="807" spans="1:19" x14ac:dyDescent="0.25">
      <c r="A807" s="6">
        <v>45050</v>
      </c>
      <c r="B807">
        <v>91.28</v>
      </c>
      <c r="C807">
        <v>108.09</v>
      </c>
      <c r="D807">
        <v>122.2</v>
      </c>
      <c r="E807">
        <v>127.42</v>
      </c>
      <c r="F807">
        <v>125.82</v>
      </c>
      <c r="G807">
        <v>68.56</v>
      </c>
      <c r="H807">
        <v>72.5</v>
      </c>
      <c r="I807">
        <v>72.5</v>
      </c>
      <c r="J807">
        <v>106.04</v>
      </c>
      <c r="K807">
        <v>26.25</v>
      </c>
      <c r="L807">
        <v>77271.13</v>
      </c>
      <c r="M807">
        <v>67780.460000000006</v>
      </c>
      <c r="N807">
        <v>11.31</v>
      </c>
      <c r="O807">
        <v>5.4640000000000001E-2</v>
      </c>
      <c r="P807">
        <v>2.101</v>
      </c>
      <c r="Q807">
        <v>106.75</v>
      </c>
      <c r="R807">
        <v>35.655000000000001</v>
      </c>
      <c r="S807">
        <v>155.85</v>
      </c>
    </row>
    <row r="808" spans="1:19" x14ac:dyDescent="0.25">
      <c r="A808" s="6">
        <v>45051</v>
      </c>
      <c r="B808">
        <v>87.26</v>
      </c>
      <c r="C808">
        <v>103.26</v>
      </c>
      <c r="D808">
        <v>116.71</v>
      </c>
      <c r="E808">
        <v>122.63</v>
      </c>
      <c r="F808">
        <v>123.74</v>
      </c>
      <c r="G808">
        <v>71.34</v>
      </c>
      <c r="H808">
        <v>75.3</v>
      </c>
      <c r="I808">
        <v>74.88</v>
      </c>
      <c r="J808">
        <v>108.68</v>
      </c>
      <c r="K808">
        <v>26.75</v>
      </c>
      <c r="L808">
        <v>78132.77</v>
      </c>
      <c r="M808">
        <v>65925.67</v>
      </c>
      <c r="N808">
        <v>11.315</v>
      </c>
      <c r="O808">
        <v>5.4289999999999998E-2</v>
      </c>
      <c r="P808">
        <v>2.137</v>
      </c>
      <c r="Q808">
        <v>108.31</v>
      </c>
      <c r="R808">
        <v>36.575000000000003</v>
      </c>
      <c r="S808">
        <v>158.25</v>
      </c>
    </row>
    <row r="809" spans="1:19" x14ac:dyDescent="0.25">
      <c r="A809" s="6">
        <v>45054</v>
      </c>
      <c r="B809">
        <v>87.26</v>
      </c>
      <c r="C809">
        <v>103.26</v>
      </c>
      <c r="D809">
        <v>116.71</v>
      </c>
      <c r="E809">
        <v>122.63</v>
      </c>
      <c r="F809">
        <v>123.74</v>
      </c>
      <c r="G809">
        <v>73.16</v>
      </c>
      <c r="H809">
        <v>77.010000000000005</v>
      </c>
      <c r="I809">
        <v>76.25</v>
      </c>
      <c r="J809">
        <v>109.11</v>
      </c>
      <c r="K809">
        <v>27.8</v>
      </c>
      <c r="L809">
        <v>78572.33</v>
      </c>
      <c r="M809">
        <v>67240.800000000003</v>
      </c>
      <c r="N809">
        <v>11.315</v>
      </c>
      <c r="O809">
        <v>5.4510000000000003E-2</v>
      </c>
      <c r="P809">
        <v>2.238</v>
      </c>
      <c r="Q809">
        <v>107.22</v>
      </c>
      <c r="R809">
        <v>36.875</v>
      </c>
      <c r="S809">
        <v>160.05000000000001</v>
      </c>
    </row>
    <row r="810" spans="1:19" x14ac:dyDescent="0.25">
      <c r="A810" s="6">
        <v>45055</v>
      </c>
      <c r="B810">
        <v>87.26</v>
      </c>
      <c r="C810">
        <v>103.26</v>
      </c>
      <c r="D810">
        <v>116.71</v>
      </c>
      <c r="E810">
        <v>122.63</v>
      </c>
      <c r="F810">
        <v>123.74</v>
      </c>
      <c r="G810">
        <v>73.709999999999994</v>
      </c>
      <c r="H810">
        <v>77.44</v>
      </c>
      <c r="I810">
        <v>76.55</v>
      </c>
      <c r="J810">
        <v>109.14</v>
      </c>
      <c r="K810">
        <v>28.35</v>
      </c>
      <c r="L810">
        <v>77776.87</v>
      </c>
      <c r="M810">
        <v>65670.33</v>
      </c>
      <c r="N810">
        <v>11.24</v>
      </c>
      <c r="O810">
        <v>5.3539999999999997E-2</v>
      </c>
      <c r="P810">
        <v>2.2669999999999999</v>
      </c>
      <c r="Q810">
        <v>106.21</v>
      </c>
      <c r="R810">
        <v>35.950000000000003</v>
      </c>
      <c r="S810">
        <v>160.4</v>
      </c>
    </row>
    <row r="811" spans="1:19" x14ac:dyDescent="0.25">
      <c r="A811" s="6">
        <v>45056</v>
      </c>
      <c r="B811">
        <v>87.26</v>
      </c>
      <c r="C811">
        <v>103.26</v>
      </c>
      <c r="D811">
        <v>116.71</v>
      </c>
      <c r="E811">
        <v>122.63</v>
      </c>
      <c r="F811">
        <v>123.74</v>
      </c>
      <c r="G811">
        <v>72.56</v>
      </c>
      <c r="H811">
        <v>76.41</v>
      </c>
      <c r="I811">
        <v>75.64</v>
      </c>
      <c r="J811">
        <v>107.74</v>
      </c>
      <c r="K811">
        <v>28</v>
      </c>
      <c r="L811">
        <v>77775.02</v>
      </c>
      <c r="M811">
        <v>65114.3</v>
      </c>
      <c r="N811">
        <v>11.21</v>
      </c>
      <c r="O811">
        <v>5.296E-2</v>
      </c>
      <c r="P811">
        <v>2.1909999999999998</v>
      </c>
      <c r="Q811">
        <v>108.49</v>
      </c>
      <c r="R811">
        <v>34.994999999999997</v>
      </c>
      <c r="S811">
        <v>161.80000000000001</v>
      </c>
    </row>
    <row r="812" spans="1:19" x14ac:dyDescent="0.25">
      <c r="A812" s="6">
        <v>45057</v>
      </c>
      <c r="B812">
        <v>87.26</v>
      </c>
      <c r="C812">
        <v>103.26</v>
      </c>
      <c r="D812">
        <v>116.71</v>
      </c>
      <c r="E812">
        <v>122.63</v>
      </c>
      <c r="F812">
        <v>123.74</v>
      </c>
      <c r="G812">
        <v>70.87</v>
      </c>
      <c r="H812">
        <v>74.98</v>
      </c>
      <c r="I812">
        <v>74.739999999999995</v>
      </c>
      <c r="J812">
        <v>105.79</v>
      </c>
      <c r="K812">
        <v>27.95</v>
      </c>
      <c r="L812">
        <v>76997.16</v>
      </c>
      <c r="M812">
        <v>63826.74</v>
      </c>
      <c r="N812">
        <v>11.16</v>
      </c>
      <c r="O812">
        <v>5.2049999999999999E-2</v>
      </c>
      <c r="P812">
        <v>2.3450000000000002</v>
      </c>
      <c r="Q812">
        <v>108.21</v>
      </c>
      <c r="R812">
        <v>34.994999999999997</v>
      </c>
      <c r="S812">
        <v>162.55000000000001</v>
      </c>
    </row>
    <row r="813" spans="1:19" x14ac:dyDescent="0.25">
      <c r="A813" s="6">
        <v>45058</v>
      </c>
      <c r="B813">
        <v>78.209999999999994</v>
      </c>
      <c r="C813">
        <v>97.07</v>
      </c>
      <c r="D813">
        <v>104.98</v>
      </c>
      <c r="E813">
        <v>112.03</v>
      </c>
      <c r="F813">
        <v>116.59</v>
      </c>
      <c r="G813">
        <v>70.040000000000006</v>
      </c>
      <c r="H813">
        <v>74.17</v>
      </c>
      <c r="I813">
        <v>74.010000000000005</v>
      </c>
      <c r="J813">
        <v>105.78</v>
      </c>
      <c r="K813">
        <v>27.45</v>
      </c>
      <c r="L813">
        <v>78330.2</v>
      </c>
      <c r="M813">
        <v>63964.09</v>
      </c>
      <c r="N813">
        <v>11.115</v>
      </c>
      <c r="O813">
        <v>5.1700000000000003E-2</v>
      </c>
      <c r="P813">
        <v>2.4380000000000002</v>
      </c>
      <c r="Q813">
        <v>108.59</v>
      </c>
      <c r="R813">
        <v>32.765000000000001</v>
      </c>
      <c r="S813">
        <v>158.19999999999999</v>
      </c>
    </row>
    <row r="814" spans="1:19" x14ac:dyDescent="0.25">
      <c r="A814" s="6">
        <v>45061</v>
      </c>
      <c r="B814">
        <v>78.209999999999994</v>
      </c>
      <c r="C814">
        <v>97.07</v>
      </c>
      <c r="D814">
        <v>104.98</v>
      </c>
      <c r="E814">
        <v>112.03</v>
      </c>
      <c r="F814">
        <v>116.59</v>
      </c>
      <c r="G814">
        <v>71.11</v>
      </c>
      <c r="H814">
        <v>75.23</v>
      </c>
      <c r="I814">
        <v>74.540000000000006</v>
      </c>
      <c r="J814">
        <v>105.07</v>
      </c>
      <c r="K814">
        <v>27.65</v>
      </c>
      <c r="L814">
        <v>78261.649999999994</v>
      </c>
      <c r="M814">
        <v>63510.62</v>
      </c>
      <c r="N814">
        <v>11.048999999999999</v>
      </c>
      <c r="O814">
        <v>5.2519999999999997E-2</v>
      </c>
      <c r="P814">
        <v>2.375</v>
      </c>
      <c r="Q814">
        <v>109.86</v>
      </c>
      <c r="R814">
        <v>32.314999999999998</v>
      </c>
      <c r="S814">
        <v>155.80000000000001</v>
      </c>
    </row>
    <row r="815" spans="1:19" x14ac:dyDescent="0.25">
      <c r="A815" s="6">
        <v>45062</v>
      </c>
      <c r="B815">
        <v>78.209999999999994</v>
      </c>
      <c r="C815">
        <v>97.07</v>
      </c>
      <c r="D815">
        <v>104.98</v>
      </c>
      <c r="E815">
        <v>112.03</v>
      </c>
      <c r="F815">
        <v>116.59</v>
      </c>
      <c r="G815">
        <v>70.86</v>
      </c>
      <c r="H815">
        <v>74.91</v>
      </c>
      <c r="I815">
        <v>74.42</v>
      </c>
      <c r="J815">
        <v>102.52</v>
      </c>
      <c r="K815">
        <v>27.85</v>
      </c>
      <c r="L815">
        <v>77973.02</v>
      </c>
      <c r="M815">
        <v>62925.15</v>
      </c>
      <c r="N815">
        <v>9.8550000000000004</v>
      </c>
      <c r="O815">
        <v>5.2420000000000001E-2</v>
      </c>
      <c r="P815">
        <v>2.3759999999999999</v>
      </c>
      <c r="Q815">
        <v>109</v>
      </c>
      <c r="R815">
        <v>31.82</v>
      </c>
      <c r="S815">
        <v>159.19999999999999</v>
      </c>
    </row>
    <row r="816" spans="1:19" x14ac:dyDescent="0.25">
      <c r="A816" s="6">
        <v>45063</v>
      </c>
      <c r="B816">
        <v>78.209999999999994</v>
      </c>
      <c r="C816">
        <v>97.07</v>
      </c>
      <c r="D816">
        <v>104.98</v>
      </c>
      <c r="E816">
        <v>112.03</v>
      </c>
      <c r="F816">
        <v>116.59</v>
      </c>
      <c r="G816">
        <v>72.83</v>
      </c>
      <c r="H816">
        <v>76.959999999999994</v>
      </c>
      <c r="I816">
        <v>75.180000000000007</v>
      </c>
      <c r="J816">
        <v>104.82</v>
      </c>
      <c r="K816">
        <v>27.3</v>
      </c>
      <c r="L816">
        <v>78390.740000000005</v>
      </c>
      <c r="M816">
        <v>63094.6</v>
      </c>
      <c r="N816">
        <v>9.9450000000000003</v>
      </c>
      <c r="O816">
        <v>5.1929999999999997E-2</v>
      </c>
      <c r="P816">
        <v>2.3650000000000002</v>
      </c>
      <c r="Q816">
        <v>108.6</v>
      </c>
      <c r="R816">
        <v>31.954999999999998</v>
      </c>
      <c r="S816">
        <v>159.35</v>
      </c>
    </row>
    <row r="817" spans="1:19" x14ac:dyDescent="0.25">
      <c r="A817" s="6">
        <v>45064</v>
      </c>
      <c r="B817">
        <v>78.209999999999994</v>
      </c>
      <c r="C817">
        <v>97.07</v>
      </c>
      <c r="D817">
        <v>104.98</v>
      </c>
      <c r="E817">
        <v>112.03</v>
      </c>
      <c r="F817">
        <v>116.59</v>
      </c>
      <c r="G817">
        <v>71.86</v>
      </c>
      <c r="H817">
        <v>75.86</v>
      </c>
      <c r="I817">
        <v>74.760000000000005</v>
      </c>
      <c r="J817">
        <v>105.77</v>
      </c>
      <c r="K817">
        <v>27.7</v>
      </c>
      <c r="L817">
        <v>77667.960000000006</v>
      </c>
      <c r="M817">
        <v>61580.63</v>
      </c>
      <c r="N817">
        <v>9.7149999999999999</v>
      </c>
      <c r="O817">
        <v>5.1679999999999997E-2</v>
      </c>
      <c r="P817">
        <v>2.5920000000000001</v>
      </c>
      <c r="Q817">
        <v>108.55</v>
      </c>
      <c r="R817">
        <v>29.785</v>
      </c>
      <c r="S817">
        <v>159.1</v>
      </c>
    </row>
    <row r="818" spans="1:19" x14ac:dyDescent="0.25">
      <c r="A818" s="6">
        <v>45065</v>
      </c>
      <c r="B818">
        <v>71.959999999999994</v>
      </c>
      <c r="C818">
        <v>87.11</v>
      </c>
      <c r="D818">
        <v>97.31</v>
      </c>
      <c r="E818">
        <v>103.98</v>
      </c>
      <c r="F818">
        <v>108.14</v>
      </c>
      <c r="G818">
        <v>71.55</v>
      </c>
      <c r="H818">
        <v>75.58</v>
      </c>
      <c r="I818">
        <v>74.61</v>
      </c>
      <c r="J818">
        <v>106.26</v>
      </c>
      <c r="K818">
        <v>27.6</v>
      </c>
      <c r="L818">
        <v>78175.820000000007</v>
      </c>
      <c r="M818">
        <v>61971.360000000001</v>
      </c>
      <c r="N818">
        <v>9.84</v>
      </c>
      <c r="O818">
        <v>5.1450000000000003E-2</v>
      </c>
      <c r="P818">
        <v>2.585</v>
      </c>
      <c r="Q818">
        <v>108.03</v>
      </c>
      <c r="R818">
        <v>30.175000000000001</v>
      </c>
      <c r="S818">
        <v>158.94999999999999</v>
      </c>
    </row>
    <row r="819" spans="1:19" x14ac:dyDescent="0.25">
      <c r="A819" s="6">
        <v>45068</v>
      </c>
      <c r="B819">
        <v>71.959999999999994</v>
      </c>
      <c r="C819">
        <v>87.11</v>
      </c>
      <c r="D819">
        <v>97.31</v>
      </c>
      <c r="E819">
        <v>103.98</v>
      </c>
      <c r="F819">
        <v>108.14</v>
      </c>
      <c r="G819">
        <v>71.989999999999995</v>
      </c>
      <c r="H819">
        <v>75.989999999999995</v>
      </c>
      <c r="I819">
        <v>74.77</v>
      </c>
      <c r="J819">
        <v>104.97</v>
      </c>
      <c r="K819">
        <v>27.6</v>
      </c>
      <c r="L819">
        <v>77962.73</v>
      </c>
      <c r="M819">
        <v>62173.75</v>
      </c>
      <c r="N819">
        <v>9.7550000000000008</v>
      </c>
      <c r="O819">
        <v>5.1990000000000001E-2</v>
      </c>
      <c r="P819">
        <v>2.4</v>
      </c>
      <c r="Q819">
        <v>109.18</v>
      </c>
      <c r="R819">
        <v>29.71</v>
      </c>
      <c r="S819">
        <v>155.65</v>
      </c>
    </row>
    <row r="820" spans="1:19" x14ac:dyDescent="0.25">
      <c r="A820" s="6">
        <v>45069</v>
      </c>
      <c r="B820">
        <v>71.959999999999994</v>
      </c>
      <c r="C820">
        <v>87.11</v>
      </c>
      <c r="D820">
        <v>97.31</v>
      </c>
      <c r="E820">
        <v>103.98</v>
      </c>
      <c r="F820">
        <v>108.14</v>
      </c>
      <c r="G820">
        <v>72.91</v>
      </c>
      <c r="H820">
        <v>76.84</v>
      </c>
      <c r="I820">
        <v>74.989999999999995</v>
      </c>
      <c r="J820">
        <v>106.4</v>
      </c>
      <c r="K820">
        <v>27.6</v>
      </c>
      <c r="L820">
        <v>76748.27</v>
      </c>
      <c r="M820">
        <v>60805.46</v>
      </c>
      <c r="N820">
        <v>9.7349999999999994</v>
      </c>
      <c r="O820">
        <v>5.2049999999999999E-2</v>
      </c>
      <c r="P820">
        <v>2.3210000000000002</v>
      </c>
      <c r="Q820">
        <v>107.89</v>
      </c>
      <c r="R820">
        <v>29.125</v>
      </c>
      <c r="S820">
        <v>156.65</v>
      </c>
    </row>
    <row r="821" spans="1:19" x14ac:dyDescent="0.25">
      <c r="A821" s="6">
        <v>45070</v>
      </c>
      <c r="B821">
        <v>71.959999999999994</v>
      </c>
      <c r="C821">
        <v>87.11</v>
      </c>
      <c r="D821">
        <v>97.31</v>
      </c>
      <c r="E821">
        <v>103.98</v>
      </c>
      <c r="F821">
        <v>108.14</v>
      </c>
      <c r="G821">
        <v>74.34</v>
      </c>
      <c r="H821">
        <v>78.36</v>
      </c>
      <c r="I821">
        <v>75.41</v>
      </c>
      <c r="J821">
        <v>107.59</v>
      </c>
      <c r="K821">
        <v>27.35</v>
      </c>
      <c r="L821">
        <v>75621.899999999994</v>
      </c>
      <c r="M821">
        <v>59997.56</v>
      </c>
      <c r="N821">
        <v>9.58</v>
      </c>
      <c r="O821">
        <v>5.194E-2</v>
      </c>
      <c r="P821">
        <v>2.3980000000000001</v>
      </c>
      <c r="Q821">
        <v>106.58</v>
      </c>
      <c r="R821">
        <v>27.785</v>
      </c>
      <c r="S821">
        <v>155.75</v>
      </c>
    </row>
    <row r="822" spans="1:19" x14ac:dyDescent="0.25">
      <c r="A822" s="6">
        <v>45071</v>
      </c>
      <c r="B822">
        <v>71.959999999999994</v>
      </c>
      <c r="C822">
        <v>87.11</v>
      </c>
      <c r="D822">
        <v>97.31</v>
      </c>
      <c r="E822">
        <v>103.98</v>
      </c>
      <c r="F822">
        <v>108.14</v>
      </c>
      <c r="G822">
        <v>71.83</v>
      </c>
      <c r="H822">
        <v>76.260000000000005</v>
      </c>
      <c r="I822">
        <v>75</v>
      </c>
      <c r="J822">
        <v>105.66</v>
      </c>
      <c r="K822">
        <v>26.85</v>
      </c>
      <c r="L822">
        <v>76174.61</v>
      </c>
      <c r="M822">
        <v>60139.72</v>
      </c>
      <c r="N822">
        <v>9.35</v>
      </c>
      <c r="O822">
        <v>5.0470000000000001E-2</v>
      </c>
      <c r="P822">
        <v>2.3069999999999999</v>
      </c>
      <c r="Q822">
        <v>105.11</v>
      </c>
      <c r="R822">
        <v>25.45</v>
      </c>
      <c r="S822">
        <v>155.5</v>
      </c>
    </row>
    <row r="823" spans="1:19" x14ac:dyDescent="0.25">
      <c r="A823" s="6">
        <v>45072</v>
      </c>
      <c r="B823">
        <v>71.12</v>
      </c>
      <c r="C823">
        <v>86.39</v>
      </c>
      <c r="D823">
        <v>98.43</v>
      </c>
      <c r="E823">
        <v>104.24</v>
      </c>
      <c r="F823">
        <v>104.4</v>
      </c>
      <c r="G823">
        <v>72.67</v>
      </c>
      <c r="H823">
        <v>76.95</v>
      </c>
      <c r="I823">
        <v>75.14</v>
      </c>
      <c r="J823">
        <v>104.97</v>
      </c>
      <c r="K823">
        <v>27.095922746781071</v>
      </c>
      <c r="L823">
        <v>76589.539999999994</v>
      </c>
      <c r="M823">
        <v>59448.79</v>
      </c>
      <c r="N823">
        <v>9.2349999999999994</v>
      </c>
      <c r="O823">
        <v>5.0880000000000002E-2</v>
      </c>
      <c r="P823">
        <v>2.181</v>
      </c>
      <c r="Q823">
        <v>105.16</v>
      </c>
      <c r="R823">
        <v>24.52</v>
      </c>
      <c r="S823">
        <v>155.80000000000001</v>
      </c>
    </row>
    <row r="824" spans="1:19" x14ac:dyDescent="0.25">
      <c r="A824" s="6">
        <v>45075</v>
      </c>
      <c r="B824">
        <v>71.12</v>
      </c>
      <c r="C824">
        <v>86.39</v>
      </c>
      <c r="D824">
        <v>98.43</v>
      </c>
      <c r="E824">
        <v>104.24</v>
      </c>
      <c r="F824">
        <v>104.4</v>
      </c>
      <c r="G824">
        <v>72.87</v>
      </c>
      <c r="H824">
        <v>77.069999999999993</v>
      </c>
      <c r="I824">
        <v>75.045000000000002</v>
      </c>
      <c r="J824">
        <v>104.505</v>
      </c>
      <c r="K824">
        <v>26.15</v>
      </c>
      <c r="L824">
        <v>76613.350000000006</v>
      </c>
      <c r="M824">
        <v>59522.35</v>
      </c>
      <c r="N824">
        <v>9.0693243243240431</v>
      </c>
      <c r="O824">
        <v>5.0790000000000002E-2</v>
      </c>
      <c r="P824">
        <v>2.3490000000000002</v>
      </c>
      <c r="Q824">
        <v>104.78</v>
      </c>
      <c r="R824">
        <v>24.6005</v>
      </c>
      <c r="S824">
        <v>155.1</v>
      </c>
    </row>
    <row r="825" spans="1:19" x14ac:dyDescent="0.25">
      <c r="A825" s="6">
        <v>45076</v>
      </c>
      <c r="B825">
        <v>71.12</v>
      </c>
      <c r="C825">
        <v>86.39</v>
      </c>
      <c r="D825">
        <v>98.43</v>
      </c>
      <c r="E825">
        <v>104.24</v>
      </c>
      <c r="F825">
        <v>104.4</v>
      </c>
      <c r="G825">
        <v>69.459999999999994</v>
      </c>
      <c r="H825">
        <v>73.540000000000006</v>
      </c>
      <c r="I825">
        <v>74.95</v>
      </c>
      <c r="J825">
        <v>104.04</v>
      </c>
      <c r="K825">
        <v>25.9</v>
      </c>
      <c r="L825">
        <v>75939.460000000006</v>
      </c>
      <c r="M825">
        <v>59464.24</v>
      </c>
      <c r="N825">
        <v>9.3650000000000002</v>
      </c>
      <c r="O825">
        <v>5.074E-2</v>
      </c>
      <c r="P825">
        <v>2.327</v>
      </c>
      <c r="Q825">
        <v>104.4</v>
      </c>
      <c r="R825">
        <v>24.681000000000001</v>
      </c>
      <c r="S825">
        <v>153.69999999999999</v>
      </c>
    </row>
    <row r="826" spans="1:19" x14ac:dyDescent="0.25">
      <c r="A826" s="6">
        <v>45077</v>
      </c>
      <c r="B826">
        <v>71.12</v>
      </c>
      <c r="C826">
        <v>86.39</v>
      </c>
      <c r="D826">
        <v>98.43</v>
      </c>
      <c r="E826">
        <v>104.24</v>
      </c>
      <c r="F826">
        <v>104.4</v>
      </c>
      <c r="G826">
        <v>68.09</v>
      </c>
      <c r="H826">
        <v>72.66</v>
      </c>
      <c r="I826">
        <v>74.930000000000007</v>
      </c>
      <c r="J826">
        <v>102.18</v>
      </c>
      <c r="K826">
        <v>24.75</v>
      </c>
      <c r="L826">
        <v>75067.47</v>
      </c>
      <c r="M826">
        <v>61311</v>
      </c>
      <c r="N826">
        <v>9.2850000000000001</v>
      </c>
      <c r="O826">
        <v>5.0689999999999999E-2</v>
      </c>
      <c r="P826">
        <v>2.266</v>
      </c>
      <c r="Q826">
        <v>105.95</v>
      </c>
      <c r="R826">
        <v>26.85</v>
      </c>
      <c r="S826">
        <v>153</v>
      </c>
    </row>
    <row r="827" spans="1:19" x14ac:dyDescent="0.25">
      <c r="A827" s="6">
        <v>45078</v>
      </c>
      <c r="B827">
        <v>71.12</v>
      </c>
      <c r="C827">
        <v>86.39</v>
      </c>
      <c r="D827">
        <v>98.43</v>
      </c>
      <c r="E827">
        <v>104.24</v>
      </c>
      <c r="F827">
        <v>104.4</v>
      </c>
      <c r="G827">
        <v>70.099999999999994</v>
      </c>
      <c r="H827">
        <v>74.28</v>
      </c>
      <c r="I827">
        <v>72.75</v>
      </c>
      <c r="J827">
        <v>103.36</v>
      </c>
      <c r="K827">
        <v>24.45</v>
      </c>
      <c r="L827">
        <v>75783.25</v>
      </c>
      <c r="M827">
        <v>62112.46</v>
      </c>
      <c r="N827">
        <v>9.2650000000000006</v>
      </c>
      <c r="O827">
        <v>5.0909999999999997E-2</v>
      </c>
      <c r="P827">
        <v>2.1579999999999999</v>
      </c>
      <c r="Q827">
        <v>106.37</v>
      </c>
      <c r="R827">
        <v>23.105</v>
      </c>
      <c r="S827">
        <v>153.44999999999999</v>
      </c>
    </row>
    <row r="828" spans="1:19" x14ac:dyDescent="0.25">
      <c r="A828" s="6">
        <v>45079</v>
      </c>
      <c r="B828">
        <v>67.16</v>
      </c>
      <c r="C828">
        <v>81.5</v>
      </c>
      <c r="D828">
        <v>92.15</v>
      </c>
      <c r="E828">
        <v>96.72</v>
      </c>
      <c r="F828">
        <v>101.01</v>
      </c>
      <c r="G828">
        <v>71.739999999999995</v>
      </c>
      <c r="H828">
        <v>76.13</v>
      </c>
      <c r="I828">
        <v>74.41</v>
      </c>
      <c r="J828">
        <v>105.76</v>
      </c>
      <c r="K828">
        <v>25.4</v>
      </c>
      <c r="L828">
        <v>77126.06</v>
      </c>
      <c r="M828">
        <v>61928.11</v>
      </c>
      <c r="N828">
        <v>9.2850000000000001</v>
      </c>
      <c r="O828">
        <v>5.1220000000000002E-2</v>
      </c>
      <c r="P828">
        <v>2.1720000000000002</v>
      </c>
      <c r="Q828">
        <v>107.98</v>
      </c>
      <c r="R828">
        <v>23.69</v>
      </c>
      <c r="S828">
        <v>152.75</v>
      </c>
    </row>
    <row r="829" spans="1:19" x14ac:dyDescent="0.25">
      <c r="A829" s="6">
        <v>45082</v>
      </c>
      <c r="B829">
        <v>67.16</v>
      </c>
      <c r="C829">
        <v>81.5</v>
      </c>
      <c r="D829">
        <v>92.15</v>
      </c>
      <c r="E829">
        <v>96.72</v>
      </c>
      <c r="F829">
        <v>101.01</v>
      </c>
      <c r="G829">
        <v>72.150000000000006</v>
      </c>
      <c r="H829">
        <v>76.709999999999994</v>
      </c>
      <c r="I829">
        <v>75.14</v>
      </c>
      <c r="J829">
        <v>105.29</v>
      </c>
      <c r="K829">
        <v>25.4</v>
      </c>
      <c r="L829">
        <v>76602.84</v>
      </c>
      <c r="M829">
        <v>61209.82</v>
      </c>
      <c r="N829">
        <v>9.2650000000000006</v>
      </c>
      <c r="O829">
        <v>5.185E-2</v>
      </c>
      <c r="P829">
        <v>2.2450000000000001</v>
      </c>
      <c r="Q829">
        <v>108.32</v>
      </c>
      <c r="R829">
        <v>28.48</v>
      </c>
      <c r="S829">
        <v>153.19999999999999</v>
      </c>
    </row>
    <row r="830" spans="1:19" x14ac:dyDescent="0.25">
      <c r="A830" s="6">
        <v>45083</v>
      </c>
      <c r="B830">
        <v>67.16</v>
      </c>
      <c r="C830">
        <v>81.5</v>
      </c>
      <c r="D830">
        <v>92.15</v>
      </c>
      <c r="E830">
        <v>96.72</v>
      </c>
      <c r="F830">
        <v>101.01</v>
      </c>
      <c r="G830">
        <v>71.739999999999995</v>
      </c>
      <c r="H830">
        <v>76.290000000000006</v>
      </c>
      <c r="I830">
        <v>75.5</v>
      </c>
      <c r="J830">
        <v>106.15</v>
      </c>
      <c r="K830">
        <v>25.7</v>
      </c>
      <c r="L830">
        <v>76840.11</v>
      </c>
      <c r="M830">
        <v>60582.23</v>
      </c>
      <c r="N830">
        <v>9.2100000000000009</v>
      </c>
      <c r="O830">
        <v>5.2049999999999999E-2</v>
      </c>
      <c r="P830">
        <v>2.262</v>
      </c>
      <c r="Q830">
        <v>108.44</v>
      </c>
      <c r="R830">
        <v>24.86</v>
      </c>
      <c r="S830">
        <v>147.19999999999999</v>
      </c>
    </row>
    <row r="831" spans="1:19" x14ac:dyDescent="0.25">
      <c r="A831" s="6">
        <v>45084</v>
      </c>
      <c r="B831">
        <v>67.16</v>
      </c>
      <c r="C831">
        <v>81.5</v>
      </c>
      <c r="D831">
        <v>92.15</v>
      </c>
      <c r="E831">
        <v>96.72</v>
      </c>
      <c r="F831">
        <v>101.01</v>
      </c>
      <c r="G831">
        <v>72.53</v>
      </c>
      <c r="H831">
        <v>76.95</v>
      </c>
      <c r="I831">
        <v>75.83</v>
      </c>
      <c r="J831">
        <v>108.53</v>
      </c>
      <c r="K831">
        <v>25.75</v>
      </c>
      <c r="L831">
        <v>77125.850000000006</v>
      </c>
      <c r="M831">
        <v>61614.78</v>
      </c>
      <c r="N831">
        <v>9.2349999999999994</v>
      </c>
      <c r="O831">
        <v>5.2359999999999997E-2</v>
      </c>
      <c r="P831">
        <v>2.3290000000000002</v>
      </c>
      <c r="Q831">
        <v>108.32</v>
      </c>
      <c r="R831">
        <v>26.33</v>
      </c>
      <c r="S831">
        <v>148.69999999999999</v>
      </c>
    </row>
    <row r="832" spans="1:19" x14ac:dyDescent="0.25">
      <c r="A832" s="6">
        <v>45085</v>
      </c>
      <c r="B832">
        <v>67.16</v>
      </c>
      <c r="C832">
        <v>81.5</v>
      </c>
      <c r="D832">
        <v>92.15</v>
      </c>
      <c r="E832">
        <v>96.72</v>
      </c>
      <c r="F832">
        <v>101.01</v>
      </c>
      <c r="G832">
        <v>71.290000000000006</v>
      </c>
      <c r="H832">
        <v>75.959999999999994</v>
      </c>
      <c r="I832">
        <v>75.2</v>
      </c>
      <c r="J832">
        <v>108.19</v>
      </c>
      <c r="K832">
        <v>26.15</v>
      </c>
      <c r="L832">
        <v>77015.210000000006</v>
      </c>
      <c r="M832">
        <v>59923.67</v>
      </c>
      <c r="N832">
        <v>9.2100000000000009</v>
      </c>
      <c r="O832">
        <v>5.305E-2</v>
      </c>
      <c r="P832">
        <v>2.3519999999999999</v>
      </c>
      <c r="Q832">
        <v>110.6</v>
      </c>
      <c r="R832">
        <v>26.945</v>
      </c>
      <c r="S832">
        <v>136.44999999999999</v>
      </c>
    </row>
    <row r="833" spans="1:19" x14ac:dyDescent="0.25">
      <c r="A833" s="6">
        <v>45086</v>
      </c>
      <c r="B833">
        <v>71.06</v>
      </c>
      <c r="C833">
        <v>85.96</v>
      </c>
      <c r="D833">
        <v>97.6</v>
      </c>
      <c r="E833">
        <v>100.6</v>
      </c>
      <c r="F833">
        <v>99.36</v>
      </c>
      <c r="G833">
        <v>70.17</v>
      </c>
      <c r="H833">
        <v>74.790000000000006</v>
      </c>
      <c r="I833">
        <v>74.38</v>
      </c>
      <c r="J833">
        <v>107.39</v>
      </c>
      <c r="K833">
        <v>26.05</v>
      </c>
      <c r="L833">
        <v>76936.11</v>
      </c>
      <c r="M833">
        <v>58779.97</v>
      </c>
      <c r="N833">
        <v>9.25</v>
      </c>
      <c r="O833">
        <v>5.3370000000000001E-2</v>
      </c>
      <c r="P833">
        <v>2.254</v>
      </c>
      <c r="Q833">
        <v>109.96</v>
      </c>
      <c r="R833">
        <v>32.049999999999997</v>
      </c>
      <c r="S833">
        <v>122.6</v>
      </c>
    </row>
    <row r="834" spans="1:19" x14ac:dyDescent="0.25">
      <c r="A834" s="6">
        <v>45089</v>
      </c>
      <c r="B834">
        <v>71.06</v>
      </c>
      <c r="C834">
        <v>85.96</v>
      </c>
      <c r="D834">
        <v>97.6</v>
      </c>
      <c r="E834">
        <v>100.6</v>
      </c>
      <c r="F834">
        <v>99.36</v>
      </c>
      <c r="G834">
        <v>67.12</v>
      </c>
      <c r="H834">
        <v>71.84</v>
      </c>
      <c r="I834">
        <v>72.41</v>
      </c>
      <c r="J834">
        <v>106.42</v>
      </c>
      <c r="K834">
        <v>26.3</v>
      </c>
      <c r="L834">
        <v>76282.13</v>
      </c>
      <c r="M834">
        <v>57310.44</v>
      </c>
      <c r="N834">
        <v>9.2650000000000006</v>
      </c>
      <c r="O834">
        <v>5.3839999999999999E-2</v>
      </c>
      <c r="P834">
        <v>2.266</v>
      </c>
      <c r="Q834">
        <v>108.5</v>
      </c>
      <c r="R834">
        <v>31.035</v>
      </c>
      <c r="S834">
        <v>123.6</v>
      </c>
    </row>
    <row r="835" spans="1:19" x14ac:dyDescent="0.25">
      <c r="A835" s="6">
        <v>45090</v>
      </c>
      <c r="B835">
        <v>71.06</v>
      </c>
      <c r="C835">
        <v>85.96</v>
      </c>
      <c r="D835">
        <v>97.6</v>
      </c>
      <c r="E835">
        <v>100.6</v>
      </c>
      <c r="F835">
        <v>99.36</v>
      </c>
      <c r="G835">
        <v>69.42</v>
      </c>
      <c r="H835">
        <v>74.290000000000006</v>
      </c>
      <c r="I835">
        <v>73.89</v>
      </c>
      <c r="J835">
        <v>106.44</v>
      </c>
      <c r="K835">
        <v>26.15</v>
      </c>
      <c r="L835">
        <v>77827.73</v>
      </c>
      <c r="M835">
        <v>58094.7</v>
      </c>
      <c r="N835">
        <v>9.3000000000000007</v>
      </c>
      <c r="O835">
        <v>5.3670000000000002E-2</v>
      </c>
      <c r="P835">
        <v>2.34</v>
      </c>
      <c r="Q835">
        <v>108.99</v>
      </c>
      <c r="R835">
        <v>36.049999999999997</v>
      </c>
      <c r="S835">
        <v>125.15</v>
      </c>
    </row>
    <row r="836" spans="1:19" x14ac:dyDescent="0.25">
      <c r="A836" s="6">
        <v>45091</v>
      </c>
      <c r="B836">
        <v>71.06</v>
      </c>
      <c r="C836">
        <v>85.96</v>
      </c>
      <c r="D836">
        <v>97.6</v>
      </c>
      <c r="E836">
        <v>100.6</v>
      </c>
      <c r="F836">
        <v>99.36</v>
      </c>
      <c r="G836">
        <v>68.27</v>
      </c>
      <c r="H836">
        <v>73.2</v>
      </c>
      <c r="I836">
        <v>73.42</v>
      </c>
      <c r="J836">
        <v>105.16</v>
      </c>
      <c r="K836">
        <v>26</v>
      </c>
      <c r="L836">
        <v>78060.22</v>
      </c>
      <c r="M836">
        <v>58206</v>
      </c>
      <c r="N836">
        <v>9.4</v>
      </c>
      <c r="O836">
        <v>5.4510000000000003E-2</v>
      </c>
      <c r="P836">
        <v>2.3420000000000001</v>
      </c>
      <c r="Q836">
        <v>110.67</v>
      </c>
      <c r="R836">
        <v>38.31</v>
      </c>
      <c r="S836">
        <v>123.35</v>
      </c>
    </row>
    <row r="837" spans="1:19" x14ac:dyDescent="0.25">
      <c r="A837" s="6">
        <v>45092</v>
      </c>
      <c r="B837">
        <v>71.06</v>
      </c>
      <c r="C837">
        <v>85.96</v>
      </c>
      <c r="D837">
        <v>97.6</v>
      </c>
      <c r="E837">
        <v>100.6</v>
      </c>
      <c r="F837">
        <v>99.36</v>
      </c>
      <c r="G837">
        <v>70.62</v>
      </c>
      <c r="H837">
        <v>75.67</v>
      </c>
      <c r="I837">
        <v>74.69</v>
      </c>
      <c r="J837">
        <v>105.89</v>
      </c>
      <c r="K837">
        <v>26.4</v>
      </c>
      <c r="L837">
        <v>78531.81</v>
      </c>
      <c r="M837">
        <v>57577.440000000002</v>
      </c>
      <c r="N837">
        <v>9.5839999999999996</v>
      </c>
      <c r="O837">
        <v>5.484E-2</v>
      </c>
      <c r="P837">
        <v>2.5329999999999999</v>
      </c>
      <c r="Q837">
        <v>112.38</v>
      </c>
      <c r="R837">
        <v>41.145000000000003</v>
      </c>
      <c r="S837">
        <v>124.85</v>
      </c>
    </row>
    <row r="838" spans="1:19" x14ac:dyDescent="0.25">
      <c r="A838" s="6">
        <v>45093</v>
      </c>
      <c r="B838">
        <v>70.86</v>
      </c>
      <c r="C838">
        <v>86.93</v>
      </c>
      <c r="D838">
        <v>100.23</v>
      </c>
      <c r="E838">
        <v>100.86</v>
      </c>
      <c r="F838">
        <v>95.63</v>
      </c>
      <c r="G838">
        <v>71.78</v>
      </c>
      <c r="H838">
        <v>76.61</v>
      </c>
      <c r="I838">
        <v>75.2</v>
      </c>
      <c r="J838">
        <v>105.13</v>
      </c>
      <c r="K838">
        <v>26.75</v>
      </c>
      <c r="L838">
        <v>78313.08489270322</v>
      </c>
      <c r="M838">
        <v>57190.885021459311</v>
      </c>
      <c r="N838">
        <v>11.2</v>
      </c>
      <c r="O838">
        <v>5.4949999999999999E-2</v>
      </c>
      <c r="P838">
        <v>2.6320000000000001</v>
      </c>
      <c r="Q838">
        <v>111.68</v>
      </c>
      <c r="R838">
        <v>35.01</v>
      </c>
      <c r="S838">
        <v>125.8</v>
      </c>
    </row>
    <row r="839" spans="1:19" x14ac:dyDescent="0.25">
      <c r="A839" s="6">
        <v>45096</v>
      </c>
      <c r="B839">
        <v>70.86</v>
      </c>
      <c r="C839">
        <v>86.93</v>
      </c>
      <c r="D839">
        <v>100.23</v>
      </c>
      <c r="E839">
        <v>100.86</v>
      </c>
      <c r="F839">
        <v>95.63</v>
      </c>
      <c r="G839">
        <v>71.31</v>
      </c>
      <c r="H839">
        <v>76.09</v>
      </c>
      <c r="I839">
        <v>75.150000000000006</v>
      </c>
      <c r="J839">
        <v>103.925</v>
      </c>
      <c r="K839">
        <v>26.7</v>
      </c>
      <c r="L839">
        <v>78014.350000000006</v>
      </c>
      <c r="M839">
        <v>57202.7</v>
      </c>
      <c r="N839">
        <v>10.846378378379086</v>
      </c>
      <c r="O839">
        <v>5.4980000000000001E-2</v>
      </c>
      <c r="P839">
        <v>2.6429999999999998</v>
      </c>
      <c r="Q839">
        <v>111.92500000000001</v>
      </c>
      <c r="R839">
        <v>36.86</v>
      </c>
      <c r="S839">
        <v>128.75</v>
      </c>
    </row>
    <row r="840" spans="1:19" x14ac:dyDescent="0.25">
      <c r="A840" s="6">
        <v>45097</v>
      </c>
      <c r="B840">
        <v>70.86</v>
      </c>
      <c r="C840">
        <v>86.93</v>
      </c>
      <c r="D840">
        <v>100.23</v>
      </c>
      <c r="E840">
        <v>100.86</v>
      </c>
      <c r="F840">
        <v>95.63</v>
      </c>
      <c r="G840">
        <v>70.5</v>
      </c>
      <c r="H840">
        <v>75.900000000000006</v>
      </c>
      <c r="I840">
        <v>75.099999999999994</v>
      </c>
      <c r="J840">
        <v>102.72</v>
      </c>
      <c r="K840">
        <v>26.3</v>
      </c>
      <c r="L840">
        <v>76769.22</v>
      </c>
      <c r="M840">
        <v>54721.3</v>
      </c>
      <c r="N840">
        <v>12.74</v>
      </c>
      <c r="O840">
        <v>5.441E-2</v>
      </c>
      <c r="P840">
        <v>2.492</v>
      </c>
      <c r="Q840">
        <v>112.17</v>
      </c>
      <c r="R840">
        <v>38.71</v>
      </c>
      <c r="S840">
        <v>130.69999999999999</v>
      </c>
    </row>
    <row r="841" spans="1:19" x14ac:dyDescent="0.25">
      <c r="A841" s="6">
        <v>45098</v>
      </c>
      <c r="B841">
        <v>70.86</v>
      </c>
      <c r="C841">
        <v>86.93</v>
      </c>
      <c r="D841">
        <v>100.23</v>
      </c>
      <c r="E841">
        <v>100.86</v>
      </c>
      <c r="F841">
        <v>95.63</v>
      </c>
      <c r="G841">
        <v>72.53</v>
      </c>
      <c r="H841">
        <v>77.12</v>
      </c>
      <c r="I841">
        <v>75.7</v>
      </c>
      <c r="J841">
        <v>103.87</v>
      </c>
      <c r="K841">
        <v>23.6</v>
      </c>
      <c r="L841">
        <v>75629.88</v>
      </c>
      <c r="M841">
        <v>53269.08</v>
      </c>
      <c r="N841">
        <v>12.475</v>
      </c>
      <c r="O841">
        <v>5.4579999999999997E-2</v>
      </c>
      <c r="P841">
        <v>2.597</v>
      </c>
      <c r="Q841">
        <v>111.2</v>
      </c>
      <c r="R841">
        <v>36.744999999999997</v>
      </c>
      <c r="S841">
        <v>128.35</v>
      </c>
    </row>
    <row r="842" spans="1:19" x14ac:dyDescent="0.25">
      <c r="A842" s="6">
        <v>45099</v>
      </c>
      <c r="B842">
        <v>70.86</v>
      </c>
      <c r="C842">
        <v>86.93</v>
      </c>
      <c r="D842">
        <v>100.23</v>
      </c>
      <c r="E842">
        <v>100.86</v>
      </c>
      <c r="F842">
        <v>95.63</v>
      </c>
      <c r="G842">
        <v>69.510000000000005</v>
      </c>
      <c r="H842">
        <v>74.14</v>
      </c>
      <c r="I842">
        <v>74.91</v>
      </c>
      <c r="J842">
        <v>103.3</v>
      </c>
      <c r="K842">
        <v>25.012248995984919</v>
      </c>
      <c r="L842">
        <v>75105.789999999994</v>
      </c>
      <c r="M842">
        <v>52192.19</v>
      </c>
      <c r="N842">
        <v>12.065</v>
      </c>
      <c r="O842">
        <v>5.3969999999999997E-2</v>
      </c>
      <c r="P842">
        <v>2.6080000000000001</v>
      </c>
      <c r="Q842">
        <v>110.68</v>
      </c>
      <c r="R842">
        <v>34.094999999999999</v>
      </c>
      <c r="S842">
        <v>126.7</v>
      </c>
    </row>
    <row r="843" spans="1:19" x14ac:dyDescent="0.25">
      <c r="A843" s="6">
        <v>45100</v>
      </c>
      <c r="B843">
        <v>70.13</v>
      </c>
      <c r="C843">
        <v>84.58</v>
      </c>
      <c r="D843">
        <v>100.69</v>
      </c>
      <c r="E843">
        <v>99.48</v>
      </c>
      <c r="F843">
        <v>97.08</v>
      </c>
      <c r="G843">
        <v>69.16</v>
      </c>
      <c r="H843">
        <v>73.849999999999994</v>
      </c>
      <c r="I843">
        <v>74.88</v>
      </c>
      <c r="J843">
        <v>102.4</v>
      </c>
      <c r="K843">
        <v>23.05</v>
      </c>
      <c r="L843">
        <v>74402.899999999994</v>
      </c>
      <c r="M843">
        <v>52739.92</v>
      </c>
      <c r="N843">
        <v>11.835000000000001</v>
      </c>
      <c r="O843">
        <v>5.3449999999999998E-2</v>
      </c>
      <c r="P843">
        <v>2.7290000000000001</v>
      </c>
      <c r="Q843">
        <v>111.09</v>
      </c>
      <c r="R843">
        <v>32.506999999999998</v>
      </c>
      <c r="S843">
        <v>127.2</v>
      </c>
    </row>
    <row r="844" spans="1:19" x14ac:dyDescent="0.25">
      <c r="A844" s="6">
        <v>45103</v>
      </c>
      <c r="B844">
        <v>70.13</v>
      </c>
      <c r="C844">
        <v>84.58</v>
      </c>
      <c r="D844">
        <v>100.69</v>
      </c>
      <c r="E844">
        <v>99.48</v>
      </c>
      <c r="F844">
        <v>97.08</v>
      </c>
      <c r="G844">
        <v>69.37</v>
      </c>
      <c r="H844">
        <v>74.180000000000007</v>
      </c>
      <c r="I844">
        <v>74.930000000000007</v>
      </c>
      <c r="J844">
        <v>104.29</v>
      </c>
      <c r="K844">
        <v>22.9</v>
      </c>
      <c r="L844">
        <v>74265.039999999994</v>
      </c>
      <c r="M844">
        <v>52113.04</v>
      </c>
      <c r="N844">
        <v>11.79</v>
      </c>
      <c r="O844">
        <v>5.3600000000000002E-2</v>
      </c>
      <c r="P844">
        <v>2.7909999999999999</v>
      </c>
      <c r="Q844">
        <v>110.13</v>
      </c>
      <c r="R844">
        <v>31.975000000000001</v>
      </c>
      <c r="S844">
        <v>129.44999999999999</v>
      </c>
    </row>
    <row r="845" spans="1:19" x14ac:dyDescent="0.25">
      <c r="A845" s="6">
        <v>45104</v>
      </c>
      <c r="B845">
        <v>70.13</v>
      </c>
      <c r="C845">
        <v>84.58</v>
      </c>
      <c r="D845">
        <v>100.69</v>
      </c>
      <c r="E845">
        <v>99.48</v>
      </c>
      <c r="F845">
        <v>97.08</v>
      </c>
      <c r="G845">
        <v>67.7</v>
      </c>
      <c r="H845">
        <v>72.260000000000005</v>
      </c>
      <c r="I845">
        <v>74.78</v>
      </c>
      <c r="J845">
        <v>104.55</v>
      </c>
      <c r="K845">
        <v>23.4</v>
      </c>
      <c r="L845">
        <v>74543.48</v>
      </c>
      <c r="M845">
        <v>50472.15</v>
      </c>
      <c r="N845">
        <v>12.07</v>
      </c>
      <c r="O845">
        <v>5.3960000000000001E-2</v>
      </c>
      <c r="P845">
        <v>2.7629999999999999</v>
      </c>
      <c r="Q845">
        <v>110.87</v>
      </c>
      <c r="R845">
        <v>34.505000000000003</v>
      </c>
      <c r="S845">
        <v>128.1</v>
      </c>
    </row>
    <row r="846" spans="1:19" x14ac:dyDescent="0.25">
      <c r="A846" s="6">
        <v>45105</v>
      </c>
      <c r="B846">
        <v>70.13</v>
      </c>
      <c r="C846">
        <v>84.58</v>
      </c>
      <c r="D846">
        <v>100.69</v>
      </c>
      <c r="E846">
        <v>99.48</v>
      </c>
      <c r="F846">
        <v>97.08</v>
      </c>
      <c r="G846">
        <v>69.56</v>
      </c>
      <c r="H846">
        <v>74.03</v>
      </c>
      <c r="I846">
        <v>74.94</v>
      </c>
      <c r="J846">
        <v>105.4</v>
      </c>
      <c r="K846">
        <v>23.55</v>
      </c>
      <c r="L846">
        <v>74831.11</v>
      </c>
      <c r="M846">
        <v>50050.78</v>
      </c>
      <c r="N846">
        <v>12.02</v>
      </c>
      <c r="O846">
        <v>5.357E-2</v>
      </c>
      <c r="P846">
        <v>2.6030000000000002</v>
      </c>
      <c r="Q846">
        <v>111.72</v>
      </c>
      <c r="R846">
        <v>34.125</v>
      </c>
      <c r="S846">
        <v>126.5</v>
      </c>
    </row>
    <row r="847" spans="1:19" x14ac:dyDescent="0.25">
      <c r="A847" s="6">
        <v>45106</v>
      </c>
      <c r="B847">
        <v>70.13</v>
      </c>
      <c r="C847">
        <v>84.58</v>
      </c>
      <c r="D847">
        <v>100.69</v>
      </c>
      <c r="E847">
        <v>99.48</v>
      </c>
      <c r="F847">
        <v>97.08</v>
      </c>
      <c r="G847">
        <v>69.86</v>
      </c>
      <c r="H847">
        <v>74.34</v>
      </c>
      <c r="I847">
        <v>74.95</v>
      </c>
      <c r="J847">
        <v>106.7</v>
      </c>
      <c r="K847">
        <v>23.5</v>
      </c>
      <c r="L847">
        <v>74892.509999999995</v>
      </c>
      <c r="M847">
        <v>50414.07</v>
      </c>
      <c r="N847">
        <v>12.12</v>
      </c>
      <c r="O847">
        <v>5.3260000000000002E-2</v>
      </c>
      <c r="P847">
        <v>2.7010000000000001</v>
      </c>
      <c r="Q847">
        <v>112.28</v>
      </c>
      <c r="R847">
        <v>35.18</v>
      </c>
      <c r="S847">
        <v>127.1</v>
      </c>
    </row>
    <row r="848" spans="1:19" x14ac:dyDescent="0.25">
      <c r="A848" s="6">
        <v>45107</v>
      </c>
      <c r="B848">
        <v>71.28</v>
      </c>
      <c r="C848">
        <v>87.01</v>
      </c>
      <c r="D848">
        <v>101.66</v>
      </c>
      <c r="E848">
        <v>100.88</v>
      </c>
      <c r="F848">
        <v>97.75</v>
      </c>
      <c r="G848">
        <v>70.64</v>
      </c>
      <c r="H848">
        <v>74.900000000000006</v>
      </c>
      <c r="I848">
        <v>74.989999999999995</v>
      </c>
      <c r="J848">
        <v>107.25</v>
      </c>
      <c r="K848">
        <v>23.95</v>
      </c>
      <c r="L848">
        <v>76027.83</v>
      </c>
      <c r="M848">
        <v>50739.12</v>
      </c>
      <c r="N848">
        <v>12.24</v>
      </c>
      <c r="O848">
        <v>5.3069999999999999E-2</v>
      </c>
      <c r="P848">
        <v>2.798</v>
      </c>
      <c r="Q848">
        <v>113.08</v>
      </c>
      <c r="R848">
        <v>37.103000000000002</v>
      </c>
      <c r="S848">
        <v>127.1</v>
      </c>
    </row>
    <row r="849" spans="1:19" x14ac:dyDescent="0.25">
      <c r="A849" s="6">
        <v>45110</v>
      </c>
      <c r="B849">
        <v>71.28</v>
      </c>
      <c r="C849">
        <v>87.01</v>
      </c>
      <c r="D849">
        <v>101.66</v>
      </c>
      <c r="E849">
        <v>100.88</v>
      </c>
      <c r="F849">
        <v>97.75</v>
      </c>
      <c r="G849">
        <v>69.790000000000006</v>
      </c>
      <c r="H849">
        <v>74.650000000000006</v>
      </c>
      <c r="I849">
        <v>74.91</v>
      </c>
      <c r="J849">
        <v>107.46</v>
      </c>
      <c r="K849">
        <v>24.3</v>
      </c>
      <c r="L849">
        <v>76233.929999999993</v>
      </c>
      <c r="M849">
        <v>51123.88</v>
      </c>
      <c r="N849">
        <v>12.08</v>
      </c>
      <c r="O849">
        <v>5.3330000000000002E-2</v>
      </c>
      <c r="P849">
        <v>2.7090000000000001</v>
      </c>
      <c r="Q849">
        <v>112.93</v>
      </c>
      <c r="R849">
        <v>33.93</v>
      </c>
      <c r="S849">
        <v>126.8</v>
      </c>
    </row>
    <row r="850" spans="1:19" x14ac:dyDescent="0.25">
      <c r="A850" s="6">
        <v>45111</v>
      </c>
      <c r="B850">
        <v>71.28</v>
      </c>
      <c r="C850">
        <v>87.01</v>
      </c>
      <c r="D850">
        <v>101.66</v>
      </c>
      <c r="E850">
        <v>100.88</v>
      </c>
      <c r="F850">
        <v>97.75</v>
      </c>
      <c r="G850">
        <v>71.06</v>
      </c>
      <c r="H850">
        <v>76.25</v>
      </c>
      <c r="I850">
        <v>75.664999999999992</v>
      </c>
      <c r="J850">
        <v>107.185</v>
      </c>
      <c r="K850">
        <v>24.15</v>
      </c>
      <c r="L850">
        <v>76223.7</v>
      </c>
      <c r="M850">
        <v>50949.99</v>
      </c>
      <c r="N850">
        <v>12.234864864864676</v>
      </c>
      <c r="O850">
        <v>5.3620000000000001E-2</v>
      </c>
      <c r="P850">
        <v>2.7509999999999999</v>
      </c>
      <c r="Q850">
        <v>112.62</v>
      </c>
      <c r="R850">
        <v>34.152500000000003</v>
      </c>
      <c r="S850">
        <v>124.65</v>
      </c>
    </row>
    <row r="851" spans="1:19" x14ac:dyDescent="0.25">
      <c r="A851" s="6">
        <v>45112</v>
      </c>
      <c r="B851">
        <v>71.28</v>
      </c>
      <c r="C851">
        <v>87.01</v>
      </c>
      <c r="D851">
        <v>101.66</v>
      </c>
      <c r="E851">
        <v>100.88</v>
      </c>
      <c r="F851">
        <v>97.75</v>
      </c>
      <c r="G851">
        <v>71.790000000000006</v>
      </c>
      <c r="H851">
        <v>76.650000000000006</v>
      </c>
      <c r="I851">
        <v>76.42</v>
      </c>
      <c r="J851">
        <v>106.91</v>
      </c>
      <c r="K851">
        <v>24.05</v>
      </c>
      <c r="L851">
        <v>75909.490000000005</v>
      </c>
      <c r="M851">
        <v>50894.97</v>
      </c>
      <c r="N851">
        <v>12.1</v>
      </c>
      <c r="O851">
        <v>5.3220000000000003E-2</v>
      </c>
      <c r="P851">
        <v>2.657</v>
      </c>
      <c r="Q851">
        <v>112.31</v>
      </c>
      <c r="R851">
        <v>34.375</v>
      </c>
      <c r="S851">
        <v>126</v>
      </c>
    </row>
    <row r="852" spans="1:19" x14ac:dyDescent="0.25">
      <c r="A852" s="6">
        <v>45113</v>
      </c>
      <c r="B852">
        <v>71.28</v>
      </c>
      <c r="C852">
        <v>87.01</v>
      </c>
      <c r="D852">
        <v>101.66</v>
      </c>
      <c r="E852">
        <v>100.88</v>
      </c>
      <c r="F852">
        <v>97.75</v>
      </c>
      <c r="G852">
        <v>71.8</v>
      </c>
      <c r="H852">
        <v>76.52</v>
      </c>
      <c r="I852">
        <v>76.540000000000006</v>
      </c>
      <c r="J852">
        <v>102.92</v>
      </c>
      <c r="K852">
        <v>23.8</v>
      </c>
      <c r="L852">
        <v>74113.22</v>
      </c>
      <c r="M852">
        <v>49003.58</v>
      </c>
      <c r="N852">
        <v>12.074999999999999</v>
      </c>
      <c r="O852">
        <v>5.2260000000000001E-2</v>
      </c>
      <c r="P852">
        <v>2.609</v>
      </c>
      <c r="Q852">
        <v>112</v>
      </c>
      <c r="R852">
        <v>32.35</v>
      </c>
      <c r="S852">
        <v>126.7</v>
      </c>
    </row>
    <row r="853" spans="1:19" x14ac:dyDescent="0.25">
      <c r="A853" s="6">
        <v>45114</v>
      </c>
      <c r="B853">
        <v>72.95</v>
      </c>
      <c r="C853">
        <v>89.24</v>
      </c>
      <c r="D853">
        <v>104.04</v>
      </c>
      <c r="E853">
        <v>102.9</v>
      </c>
      <c r="F853">
        <v>98.17</v>
      </c>
      <c r="G853">
        <v>73.86</v>
      </c>
      <c r="H853">
        <v>78.47</v>
      </c>
      <c r="I853">
        <v>78.239999999999995</v>
      </c>
      <c r="J853">
        <v>103.16</v>
      </c>
      <c r="K853">
        <v>23.5</v>
      </c>
      <c r="L853">
        <v>74823.02</v>
      </c>
      <c r="M853">
        <v>49142.64</v>
      </c>
      <c r="N853">
        <v>12.085000000000001</v>
      </c>
      <c r="O853">
        <v>5.2949999999999997E-2</v>
      </c>
      <c r="P853">
        <v>2.5819999999999999</v>
      </c>
      <c r="Q853">
        <v>112.29</v>
      </c>
      <c r="R853">
        <v>33.478000000000002</v>
      </c>
      <c r="S853">
        <v>125.4</v>
      </c>
    </row>
    <row r="854" spans="1:19" x14ac:dyDescent="0.25">
      <c r="A854" s="6">
        <v>45117</v>
      </c>
      <c r="B854">
        <v>72.95</v>
      </c>
      <c r="C854">
        <v>89.24</v>
      </c>
      <c r="D854">
        <v>104.04</v>
      </c>
      <c r="E854">
        <v>102.9</v>
      </c>
      <c r="F854">
        <v>98.17</v>
      </c>
      <c r="G854">
        <v>72.989999999999995</v>
      </c>
      <c r="H854">
        <v>77.69</v>
      </c>
      <c r="I854">
        <v>77.62</v>
      </c>
      <c r="J854">
        <v>104.69</v>
      </c>
      <c r="K854">
        <v>23.6</v>
      </c>
      <c r="L854">
        <v>74345.98</v>
      </c>
      <c r="M854">
        <v>48369.06</v>
      </c>
      <c r="N854">
        <v>12.06</v>
      </c>
      <c r="O854">
        <v>5.3199999999999997E-2</v>
      </c>
      <c r="P854">
        <v>2.669</v>
      </c>
      <c r="Q854">
        <v>113.16</v>
      </c>
      <c r="R854">
        <v>30.225000000000001</v>
      </c>
      <c r="S854">
        <v>123.7</v>
      </c>
    </row>
    <row r="855" spans="1:19" x14ac:dyDescent="0.25">
      <c r="A855" s="6">
        <v>45118</v>
      </c>
      <c r="B855">
        <v>72.95</v>
      </c>
      <c r="C855">
        <v>89.24</v>
      </c>
      <c r="D855">
        <v>104.04</v>
      </c>
      <c r="E855">
        <v>102.9</v>
      </c>
      <c r="F855">
        <v>98.17</v>
      </c>
      <c r="G855">
        <v>74.83</v>
      </c>
      <c r="H855">
        <v>79.400000000000006</v>
      </c>
      <c r="I855">
        <v>78.790000000000006</v>
      </c>
      <c r="J855">
        <v>105.97</v>
      </c>
      <c r="K855">
        <v>23.6</v>
      </c>
      <c r="L855">
        <v>74876.59</v>
      </c>
      <c r="M855">
        <v>49734.51</v>
      </c>
      <c r="N855">
        <v>12.02</v>
      </c>
      <c r="O855">
        <v>5.4059999999999997E-2</v>
      </c>
      <c r="P855">
        <v>2.7309999999999999</v>
      </c>
      <c r="Q855">
        <v>114.41</v>
      </c>
      <c r="R855">
        <v>29.06</v>
      </c>
      <c r="S855">
        <v>123.9</v>
      </c>
    </row>
    <row r="856" spans="1:19" x14ac:dyDescent="0.25">
      <c r="A856" s="6">
        <v>45119</v>
      </c>
      <c r="B856">
        <v>72.95</v>
      </c>
      <c r="C856">
        <v>89.24</v>
      </c>
      <c r="D856">
        <v>104.04</v>
      </c>
      <c r="E856">
        <v>102.9</v>
      </c>
      <c r="F856">
        <v>98.17</v>
      </c>
      <c r="G856">
        <v>75.75</v>
      </c>
      <c r="H856">
        <v>80.11</v>
      </c>
      <c r="I856">
        <v>79.069999999999993</v>
      </c>
      <c r="J856">
        <v>106.49</v>
      </c>
      <c r="K856">
        <v>23.7</v>
      </c>
      <c r="L856">
        <v>76544.789999999994</v>
      </c>
      <c r="M856">
        <v>51957.19</v>
      </c>
      <c r="N856">
        <v>11.975</v>
      </c>
      <c r="O856">
        <v>5.5129999999999998E-2</v>
      </c>
      <c r="P856">
        <v>2.597</v>
      </c>
      <c r="Q856">
        <v>115.38</v>
      </c>
      <c r="R856">
        <v>26.64</v>
      </c>
      <c r="S856">
        <v>123.55</v>
      </c>
    </row>
    <row r="857" spans="1:19" x14ac:dyDescent="0.25">
      <c r="A857" s="6">
        <v>45120</v>
      </c>
      <c r="B857">
        <v>72.95</v>
      </c>
      <c r="C857">
        <v>89.24</v>
      </c>
      <c r="D857">
        <v>104.04</v>
      </c>
      <c r="E857">
        <v>102.9</v>
      </c>
      <c r="F857">
        <v>98.17</v>
      </c>
      <c r="G857">
        <v>76.89</v>
      </c>
      <c r="H857">
        <v>81.36</v>
      </c>
      <c r="I857">
        <v>79.89</v>
      </c>
      <c r="J857">
        <v>104.54</v>
      </c>
      <c r="K857">
        <v>24</v>
      </c>
      <c r="L857">
        <v>77317.259999999995</v>
      </c>
      <c r="M857">
        <v>52898.09</v>
      </c>
      <c r="N857">
        <v>11.91</v>
      </c>
      <c r="O857">
        <v>5.5739999999999998E-2</v>
      </c>
      <c r="P857">
        <v>2.5339999999999998</v>
      </c>
      <c r="Q857">
        <v>117.04</v>
      </c>
      <c r="R857">
        <v>26.605</v>
      </c>
      <c r="S857">
        <v>121.6</v>
      </c>
    </row>
    <row r="858" spans="1:19" x14ac:dyDescent="0.25">
      <c r="A858" s="6">
        <v>45121</v>
      </c>
      <c r="B858">
        <v>64.62</v>
      </c>
      <c r="C858">
        <v>79.61</v>
      </c>
      <c r="D858">
        <v>93.42</v>
      </c>
      <c r="E858">
        <v>92.82</v>
      </c>
      <c r="F858">
        <v>94.9</v>
      </c>
      <c r="G858">
        <v>75.42</v>
      </c>
      <c r="H858">
        <v>79.87</v>
      </c>
      <c r="I858">
        <v>79.31</v>
      </c>
      <c r="J858">
        <v>100.94</v>
      </c>
      <c r="K858">
        <v>24</v>
      </c>
      <c r="L858">
        <v>77750.509999999995</v>
      </c>
      <c r="M858">
        <v>54399.94</v>
      </c>
      <c r="N858">
        <v>11.869</v>
      </c>
      <c r="O858">
        <v>5.5199999999999999E-2</v>
      </c>
      <c r="P858">
        <v>2.5299999999999998</v>
      </c>
      <c r="Q858">
        <v>117.51</v>
      </c>
      <c r="R858">
        <v>25.957000000000001</v>
      </c>
      <c r="S858">
        <v>123.75</v>
      </c>
    </row>
    <row r="859" spans="1:19" x14ac:dyDescent="0.25">
      <c r="A859" s="6">
        <v>45124</v>
      </c>
      <c r="B859">
        <v>64.62</v>
      </c>
      <c r="C859">
        <v>79.61</v>
      </c>
      <c r="D859">
        <v>93.42</v>
      </c>
      <c r="E859">
        <v>92.82</v>
      </c>
      <c r="F859">
        <v>94.9</v>
      </c>
      <c r="G859">
        <v>74.150000000000006</v>
      </c>
      <c r="H859">
        <v>78.5</v>
      </c>
      <c r="I859">
        <v>78.83</v>
      </c>
      <c r="J859">
        <v>101.38</v>
      </c>
      <c r="K859">
        <v>24.18108108108072</v>
      </c>
      <c r="L859">
        <v>77253.509999999995</v>
      </c>
      <c r="M859">
        <v>53866.21</v>
      </c>
      <c r="N859">
        <v>10.56</v>
      </c>
      <c r="O859">
        <v>5.543E-2</v>
      </c>
      <c r="P859">
        <v>2.504</v>
      </c>
      <c r="Q859">
        <v>116.64</v>
      </c>
      <c r="R859">
        <v>25.1</v>
      </c>
      <c r="S859">
        <v>124.55</v>
      </c>
    </row>
    <row r="860" spans="1:19" x14ac:dyDescent="0.25">
      <c r="A860" s="6">
        <v>45125</v>
      </c>
      <c r="B860">
        <v>64.62</v>
      </c>
      <c r="C860">
        <v>79.61</v>
      </c>
      <c r="D860">
        <v>93.42</v>
      </c>
      <c r="E860">
        <v>92.82</v>
      </c>
      <c r="F860">
        <v>94.9</v>
      </c>
      <c r="G860">
        <v>75.75</v>
      </c>
      <c r="H860">
        <v>79.63</v>
      </c>
      <c r="I860">
        <v>79.33</v>
      </c>
      <c r="J860">
        <v>100.92</v>
      </c>
      <c r="K860">
        <v>23.2</v>
      </c>
      <c r="L860">
        <v>77098.55</v>
      </c>
      <c r="M860">
        <v>55077.64</v>
      </c>
      <c r="N860">
        <v>11.02</v>
      </c>
      <c r="O860">
        <v>5.5969999999999999E-2</v>
      </c>
      <c r="P860">
        <v>2.6179999999999999</v>
      </c>
      <c r="Q860">
        <v>116.07</v>
      </c>
      <c r="R860">
        <v>27.07</v>
      </c>
      <c r="S860">
        <v>123.1</v>
      </c>
    </row>
    <row r="861" spans="1:19" x14ac:dyDescent="0.25">
      <c r="A861" s="6">
        <v>45126</v>
      </c>
      <c r="B861">
        <v>64.62</v>
      </c>
      <c r="C861">
        <v>79.61</v>
      </c>
      <c r="D861">
        <v>93.42</v>
      </c>
      <c r="E861">
        <v>92.82</v>
      </c>
      <c r="F861">
        <v>94.9</v>
      </c>
      <c r="G861">
        <v>75.349999999999994</v>
      </c>
      <c r="H861">
        <v>79.459999999999994</v>
      </c>
      <c r="I861">
        <v>79.3</v>
      </c>
      <c r="J861">
        <v>101.62</v>
      </c>
      <c r="K861">
        <v>23.15</v>
      </c>
      <c r="L861">
        <v>77080.97</v>
      </c>
      <c r="M861">
        <v>54864.02</v>
      </c>
      <c r="N861">
        <v>10.744999999999999</v>
      </c>
      <c r="O861">
        <v>5.5930000000000001E-2</v>
      </c>
      <c r="P861">
        <v>2.585</v>
      </c>
      <c r="Q861">
        <v>115.66</v>
      </c>
      <c r="R861">
        <v>26.965</v>
      </c>
      <c r="S861">
        <v>124.85</v>
      </c>
    </row>
    <row r="862" spans="1:19" x14ac:dyDescent="0.25">
      <c r="A862" s="6">
        <v>45127</v>
      </c>
      <c r="B862">
        <v>64.62</v>
      </c>
      <c r="C862">
        <v>79.61</v>
      </c>
      <c r="D862">
        <v>93.42</v>
      </c>
      <c r="E862">
        <v>92.82</v>
      </c>
      <c r="F862">
        <v>94.9</v>
      </c>
      <c r="G862">
        <v>75.63</v>
      </c>
      <c r="H862">
        <v>79.64</v>
      </c>
      <c r="I862">
        <v>79.41</v>
      </c>
      <c r="J862">
        <v>103.41</v>
      </c>
      <c r="K862">
        <v>23.1</v>
      </c>
      <c r="L862">
        <v>77016.83</v>
      </c>
      <c r="M862">
        <v>54507.8</v>
      </c>
      <c r="N862">
        <v>10.92</v>
      </c>
      <c r="O862">
        <v>5.5730000000000002E-2</v>
      </c>
      <c r="P862">
        <v>2.7309999999999999</v>
      </c>
      <c r="Q862">
        <v>115.63</v>
      </c>
      <c r="R862">
        <v>28.02</v>
      </c>
      <c r="S862">
        <v>124.1</v>
      </c>
    </row>
    <row r="863" spans="1:19" x14ac:dyDescent="0.25">
      <c r="A863" s="6">
        <v>45128</v>
      </c>
      <c r="B863">
        <v>68.77</v>
      </c>
      <c r="C863">
        <v>83.05</v>
      </c>
      <c r="D863">
        <v>94.84</v>
      </c>
      <c r="E863">
        <v>90.6</v>
      </c>
      <c r="F863">
        <v>97.63</v>
      </c>
      <c r="G863">
        <v>77.069999999999993</v>
      </c>
      <c r="H863">
        <v>81.069999999999993</v>
      </c>
      <c r="I863">
        <v>79.900000000000006</v>
      </c>
      <c r="J863">
        <v>103.89</v>
      </c>
      <c r="K863">
        <v>23.2</v>
      </c>
      <c r="L863">
        <v>76826.63</v>
      </c>
      <c r="M863">
        <v>53992.86</v>
      </c>
      <c r="N863">
        <v>10.885</v>
      </c>
      <c r="O863">
        <v>5.5730000000000002E-2</v>
      </c>
      <c r="P863">
        <v>2.7069999999999999</v>
      </c>
      <c r="Q863">
        <v>116.22</v>
      </c>
      <c r="R863">
        <v>28.164000000000001</v>
      </c>
      <c r="S863">
        <v>123.6</v>
      </c>
    </row>
    <row r="864" spans="1:19" x14ac:dyDescent="0.25">
      <c r="A864" s="6">
        <v>45131</v>
      </c>
      <c r="B864">
        <v>68.77</v>
      </c>
      <c r="C864">
        <v>83.05</v>
      </c>
      <c r="D864">
        <v>94.84</v>
      </c>
      <c r="E864">
        <v>90.6</v>
      </c>
      <c r="F864">
        <v>97.63</v>
      </c>
      <c r="G864">
        <v>78.739999999999995</v>
      </c>
      <c r="H864">
        <v>82.74</v>
      </c>
      <c r="I864">
        <v>80.3</v>
      </c>
      <c r="J864">
        <v>105.52</v>
      </c>
      <c r="K864">
        <v>22.75</v>
      </c>
      <c r="L864">
        <v>76766.070000000007</v>
      </c>
      <c r="M864">
        <v>53116.45</v>
      </c>
      <c r="N864">
        <v>11.26</v>
      </c>
      <c r="O864">
        <v>5.6340000000000001E-2</v>
      </c>
      <c r="P864">
        <v>2.6850000000000001</v>
      </c>
      <c r="Q864">
        <v>116.28</v>
      </c>
      <c r="R864">
        <v>30.555</v>
      </c>
      <c r="S864">
        <v>123.45</v>
      </c>
    </row>
    <row r="865" spans="1:19" x14ac:dyDescent="0.25">
      <c r="A865" s="6">
        <v>45132</v>
      </c>
      <c r="B865">
        <v>68.77</v>
      </c>
      <c r="C865">
        <v>83.05</v>
      </c>
      <c r="D865">
        <v>94.84</v>
      </c>
      <c r="E865">
        <v>90.6</v>
      </c>
      <c r="F865">
        <v>97.63</v>
      </c>
      <c r="G865">
        <v>79.63</v>
      </c>
      <c r="H865">
        <v>83.64</v>
      </c>
      <c r="I865">
        <v>80.489999999999995</v>
      </c>
      <c r="J865">
        <v>105.68</v>
      </c>
      <c r="K865">
        <v>23.3</v>
      </c>
      <c r="L865">
        <v>77525.62</v>
      </c>
      <c r="M865">
        <v>53084.56</v>
      </c>
      <c r="N865">
        <v>11.46</v>
      </c>
      <c r="O865">
        <v>5.697E-2</v>
      </c>
      <c r="P865">
        <v>2.73</v>
      </c>
      <c r="Q865">
        <v>116.54</v>
      </c>
      <c r="R865">
        <v>32.65</v>
      </c>
      <c r="S865">
        <v>123.4</v>
      </c>
    </row>
    <row r="866" spans="1:19" x14ac:dyDescent="0.25">
      <c r="A866" s="6">
        <v>45133</v>
      </c>
      <c r="B866">
        <v>68.77</v>
      </c>
      <c r="C866">
        <v>83.05</v>
      </c>
      <c r="D866">
        <v>94.84</v>
      </c>
      <c r="E866">
        <v>90.6</v>
      </c>
      <c r="F866">
        <v>97.63</v>
      </c>
      <c r="G866">
        <v>78.78</v>
      </c>
      <c r="H866">
        <v>82.92</v>
      </c>
      <c r="I866">
        <v>80.290000000000006</v>
      </c>
      <c r="J866">
        <v>105.09</v>
      </c>
      <c r="K866">
        <v>23.45</v>
      </c>
      <c r="L866">
        <v>77546.38</v>
      </c>
      <c r="M866">
        <v>53066.33</v>
      </c>
      <c r="N866">
        <v>11.1</v>
      </c>
      <c r="O866">
        <v>5.6730000000000003E-2</v>
      </c>
      <c r="P866">
        <v>2.665</v>
      </c>
      <c r="Q866">
        <v>116.73</v>
      </c>
      <c r="R866">
        <v>29.274999999999999</v>
      </c>
      <c r="S866">
        <v>124.4</v>
      </c>
    </row>
    <row r="867" spans="1:19" x14ac:dyDescent="0.25">
      <c r="A867" s="6">
        <v>45134</v>
      </c>
      <c r="B867">
        <v>68.77</v>
      </c>
      <c r="C867">
        <v>83.05</v>
      </c>
      <c r="D867">
        <v>94.84</v>
      </c>
      <c r="E867">
        <v>90.6</v>
      </c>
      <c r="F867">
        <v>97.63</v>
      </c>
      <c r="G867">
        <v>80.09</v>
      </c>
      <c r="H867">
        <v>84.24</v>
      </c>
      <c r="I867">
        <v>80.42</v>
      </c>
      <c r="J867">
        <v>105.42</v>
      </c>
      <c r="K867">
        <v>23.25</v>
      </c>
      <c r="L867">
        <v>78267.25</v>
      </c>
      <c r="M867">
        <v>52301.74</v>
      </c>
      <c r="N867">
        <v>10.97</v>
      </c>
      <c r="O867">
        <v>5.6030000000000003E-2</v>
      </c>
      <c r="P867">
        <v>2.492</v>
      </c>
      <c r="Q867">
        <v>114.93</v>
      </c>
      <c r="R867">
        <v>28.434999999999999</v>
      </c>
      <c r="S867">
        <v>119.95</v>
      </c>
    </row>
    <row r="868" spans="1:19" x14ac:dyDescent="0.25">
      <c r="A868" s="6">
        <v>45135</v>
      </c>
      <c r="B868">
        <v>72.430000000000007</v>
      </c>
      <c r="C868">
        <v>88.62</v>
      </c>
      <c r="D868">
        <v>101.66</v>
      </c>
      <c r="E868">
        <v>89.19</v>
      </c>
      <c r="F868">
        <v>97.25</v>
      </c>
      <c r="G868">
        <v>80.58</v>
      </c>
      <c r="H868">
        <v>84.99</v>
      </c>
      <c r="I868">
        <v>80.430000000000007</v>
      </c>
      <c r="J868">
        <v>104.16</v>
      </c>
      <c r="K868">
        <v>23.05</v>
      </c>
      <c r="L868">
        <v>78506.899999999994</v>
      </c>
      <c r="M868">
        <v>52660.1</v>
      </c>
      <c r="N868">
        <v>10.78</v>
      </c>
      <c r="O868">
        <v>5.6779999999999997E-2</v>
      </c>
      <c r="P868">
        <v>2.6379999999999999</v>
      </c>
      <c r="Q868">
        <v>115.13</v>
      </c>
      <c r="R868">
        <v>25.841000000000001</v>
      </c>
      <c r="S868">
        <v>122.6</v>
      </c>
    </row>
    <row r="869" spans="1:19" x14ac:dyDescent="0.25">
      <c r="A869" s="6">
        <v>45138</v>
      </c>
      <c r="B869">
        <v>72.430000000000007</v>
      </c>
      <c r="C869">
        <v>88.62</v>
      </c>
      <c r="D869">
        <v>101.66</v>
      </c>
      <c r="E869">
        <v>89.19</v>
      </c>
      <c r="F869">
        <v>97.25</v>
      </c>
      <c r="G869">
        <v>81.8</v>
      </c>
      <c r="H869">
        <v>85.56</v>
      </c>
      <c r="I869">
        <v>80.44</v>
      </c>
      <c r="J869">
        <v>107.24</v>
      </c>
      <c r="K869">
        <v>23.3</v>
      </c>
      <c r="L869">
        <v>78977.89</v>
      </c>
      <c r="M869">
        <v>53318.25</v>
      </c>
      <c r="N869">
        <v>10.92</v>
      </c>
      <c r="O869">
        <v>5.5989999999999998E-2</v>
      </c>
      <c r="P869">
        <v>2.6339999999999999</v>
      </c>
      <c r="Q869">
        <v>114.8</v>
      </c>
      <c r="R869">
        <v>28.364999999999998</v>
      </c>
      <c r="S869">
        <v>122.65</v>
      </c>
    </row>
    <row r="870" spans="1:19" x14ac:dyDescent="0.25">
      <c r="A870" s="6">
        <v>45139</v>
      </c>
      <c r="B870">
        <v>72.430000000000007</v>
      </c>
      <c r="C870">
        <v>88.62</v>
      </c>
      <c r="D870">
        <v>101.66</v>
      </c>
      <c r="E870">
        <v>89.19</v>
      </c>
      <c r="F870">
        <v>97.25</v>
      </c>
      <c r="G870">
        <v>81.37</v>
      </c>
      <c r="H870">
        <v>84.91</v>
      </c>
      <c r="I870">
        <v>85.58</v>
      </c>
      <c r="J870">
        <v>106.62</v>
      </c>
      <c r="K870">
        <v>23.35</v>
      </c>
      <c r="L870">
        <v>78641.91</v>
      </c>
      <c r="M870">
        <v>50580.29</v>
      </c>
      <c r="N870">
        <v>10.925000000000001</v>
      </c>
      <c r="O870">
        <v>5.4620000000000002E-2</v>
      </c>
      <c r="P870">
        <v>2.56</v>
      </c>
      <c r="Q870">
        <v>115.04</v>
      </c>
      <c r="R870">
        <v>27.125</v>
      </c>
      <c r="S870">
        <v>127.4</v>
      </c>
    </row>
    <row r="871" spans="1:19" x14ac:dyDescent="0.25">
      <c r="A871" s="6">
        <v>45140</v>
      </c>
      <c r="B871">
        <v>72.430000000000007</v>
      </c>
      <c r="C871">
        <v>88.62</v>
      </c>
      <c r="D871">
        <v>101.66</v>
      </c>
      <c r="E871">
        <v>89.19</v>
      </c>
      <c r="F871">
        <v>97.25</v>
      </c>
      <c r="G871">
        <v>79.489999999999995</v>
      </c>
      <c r="H871">
        <v>83.2</v>
      </c>
      <c r="I871">
        <v>84.32</v>
      </c>
      <c r="J871">
        <v>105.29</v>
      </c>
      <c r="K871">
        <v>22.8</v>
      </c>
      <c r="L871">
        <v>76477.22</v>
      </c>
      <c r="M871">
        <v>48595.19</v>
      </c>
      <c r="N871">
        <v>10.97</v>
      </c>
      <c r="O871">
        <v>5.4140000000000001E-2</v>
      </c>
      <c r="P871">
        <v>2.4769999999999999</v>
      </c>
      <c r="Q871">
        <v>115</v>
      </c>
      <c r="R871">
        <v>28.74</v>
      </c>
      <c r="S871">
        <v>126.9</v>
      </c>
    </row>
    <row r="872" spans="1:19" x14ac:dyDescent="0.25">
      <c r="A872" s="6">
        <v>45141</v>
      </c>
      <c r="B872">
        <v>72.430000000000007</v>
      </c>
      <c r="C872">
        <v>88.62</v>
      </c>
      <c r="D872">
        <v>101.66</v>
      </c>
      <c r="E872">
        <v>89.19</v>
      </c>
      <c r="F872">
        <v>97.25</v>
      </c>
      <c r="G872">
        <v>81.55</v>
      </c>
      <c r="H872">
        <v>85.14</v>
      </c>
      <c r="I872">
        <v>86.18</v>
      </c>
      <c r="J872">
        <v>107.12</v>
      </c>
      <c r="K872">
        <v>22.65</v>
      </c>
      <c r="L872">
        <v>76747.199999999997</v>
      </c>
      <c r="M872">
        <v>48724.1</v>
      </c>
      <c r="N872">
        <v>11</v>
      </c>
      <c r="O872">
        <v>5.3420000000000002E-2</v>
      </c>
      <c r="P872">
        <v>2.5649999999999999</v>
      </c>
      <c r="Q872">
        <v>112.07</v>
      </c>
      <c r="R872">
        <v>30.475000000000001</v>
      </c>
      <c r="S872">
        <v>126.1</v>
      </c>
    </row>
    <row r="873" spans="1:19" x14ac:dyDescent="0.25">
      <c r="A873" s="6">
        <v>45142</v>
      </c>
      <c r="B873">
        <v>72.3</v>
      </c>
      <c r="C873">
        <v>88.82</v>
      </c>
      <c r="D873">
        <v>101.37</v>
      </c>
      <c r="E873">
        <v>105.18</v>
      </c>
      <c r="F873">
        <v>99.29</v>
      </c>
      <c r="G873">
        <v>82.82</v>
      </c>
      <c r="H873">
        <v>86.24</v>
      </c>
      <c r="I873">
        <v>87.23</v>
      </c>
      <c r="J873">
        <v>107.42</v>
      </c>
      <c r="K873">
        <v>22.2</v>
      </c>
      <c r="L873">
        <v>76960.61</v>
      </c>
      <c r="M873">
        <v>48084.9</v>
      </c>
      <c r="N873">
        <v>10.955</v>
      </c>
      <c r="O873">
        <v>5.4109999999999998E-2</v>
      </c>
      <c r="P873">
        <v>2.577</v>
      </c>
      <c r="Q873">
        <v>114</v>
      </c>
      <c r="R873">
        <v>28.853000000000002</v>
      </c>
      <c r="S873">
        <v>127.05</v>
      </c>
    </row>
    <row r="874" spans="1:19" x14ac:dyDescent="0.25">
      <c r="A874" s="6">
        <v>45145</v>
      </c>
      <c r="B874">
        <v>72.3</v>
      </c>
      <c r="C874">
        <v>88.82</v>
      </c>
      <c r="D874">
        <v>101.37</v>
      </c>
      <c r="E874">
        <v>105.18</v>
      </c>
      <c r="F874">
        <v>99.29</v>
      </c>
      <c r="G874">
        <v>81.94</v>
      </c>
      <c r="H874">
        <v>85.34</v>
      </c>
      <c r="I874">
        <v>86.75</v>
      </c>
      <c r="J874">
        <v>107.2</v>
      </c>
      <c r="K874">
        <v>22.6</v>
      </c>
      <c r="L874">
        <v>77013.740000000005</v>
      </c>
      <c r="M874">
        <v>48149.99</v>
      </c>
      <c r="N874">
        <v>10.98</v>
      </c>
      <c r="O874">
        <v>5.3429999999999998E-2</v>
      </c>
      <c r="P874">
        <v>2.7250000000000001</v>
      </c>
      <c r="Q874">
        <v>116.07</v>
      </c>
      <c r="R874">
        <v>30.484999999999999</v>
      </c>
      <c r="S874">
        <v>126.9</v>
      </c>
    </row>
    <row r="875" spans="1:19" x14ac:dyDescent="0.25">
      <c r="A875" s="6">
        <v>45146</v>
      </c>
      <c r="B875">
        <v>72.3</v>
      </c>
      <c r="C875">
        <v>88.82</v>
      </c>
      <c r="D875">
        <v>101.37</v>
      </c>
      <c r="E875">
        <v>105.18</v>
      </c>
      <c r="F875">
        <v>99.29</v>
      </c>
      <c r="G875">
        <v>82.92</v>
      </c>
      <c r="H875">
        <v>86.17</v>
      </c>
      <c r="I875">
        <v>87.47</v>
      </c>
      <c r="J875">
        <v>107.73</v>
      </c>
      <c r="K875">
        <v>22.5</v>
      </c>
      <c r="L875">
        <v>76837.440000000002</v>
      </c>
      <c r="M875">
        <v>47825.59</v>
      </c>
      <c r="N875">
        <v>10.955</v>
      </c>
      <c r="O875">
        <v>5.2830000000000002E-2</v>
      </c>
      <c r="P875">
        <v>2.7770000000000001</v>
      </c>
      <c r="Q875">
        <v>114.87</v>
      </c>
      <c r="R875">
        <v>31.065000000000001</v>
      </c>
      <c r="S875">
        <v>129.05000000000001</v>
      </c>
    </row>
    <row r="876" spans="1:19" x14ac:dyDescent="0.25">
      <c r="A876" s="6">
        <v>45147</v>
      </c>
      <c r="B876">
        <v>72.3</v>
      </c>
      <c r="C876">
        <v>88.82</v>
      </c>
      <c r="D876">
        <v>101.37</v>
      </c>
      <c r="E876">
        <v>105.18</v>
      </c>
      <c r="F876">
        <v>99.29</v>
      </c>
      <c r="G876">
        <v>84.4</v>
      </c>
      <c r="H876">
        <v>87.55</v>
      </c>
      <c r="I876">
        <v>88.18</v>
      </c>
      <c r="J876">
        <v>109.56</v>
      </c>
      <c r="K876">
        <v>22.65</v>
      </c>
      <c r="L876">
        <v>76571.67712446209</v>
      </c>
      <c r="M876">
        <v>47345.298111587763</v>
      </c>
      <c r="N876">
        <v>11.03</v>
      </c>
      <c r="O876">
        <v>5.2650000000000002E-2</v>
      </c>
      <c r="P876">
        <v>2.9590000000000001</v>
      </c>
      <c r="Q876">
        <v>114.2</v>
      </c>
      <c r="R876">
        <v>39.825000000000003</v>
      </c>
      <c r="S876">
        <v>130.6</v>
      </c>
    </row>
    <row r="877" spans="1:19" x14ac:dyDescent="0.25">
      <c r="A877" s="6">
        <v>45148</v>
      </c>
      <c r="B877">
        <v>72.3</v>
      </c>
      <c r="C877">
        <v>88.82</v>
      </c>
      <c r="D877">
        <v>101.37</v>
      </c>
      <c r="E877">
        <v>105.18</v>
      </c>
      <c r="F877">
        <v>99.29</v>
      </c>
      <c r="G877">
        <v>82.82</v>
      </c>
      <c r="H877">
        <v>86.4</v>
      </c>
      <c r="I877">
        <v>87.32</v>
      </c>
      <c r="J877">
        <v>110.12</v>
      </c>
      <c r="K877">
        <v>22.9</v>
      </c>
      <c r="L877">
        <v>77749.679999999993</v>
      </c>
      <c r="M877">
        <v>47858.58</v>
      </c>
      <c r="N877">
        <v>11.045</v>
      </c>
      <c r="O877">
        <v>5.3039999999999997E-2</v>
      </c>
      <c r="P877">
        <v>2.7629999999999999</v>
      </c>
      <c r="Q877">
        <v>114.8</v>
      </c>
      <c r="R877">
        <v>37.055</v>
      </c>
      <c r="S877">
        <v>129.1</v>
      </c>
    </row>
    <row r="878" spans="1:19" x14ac:dyDescent="0.25">
      <c r="A878" s="6">
        <v>45149</v>
      </c>
      <c r="B878">
        <v>75.400000000000006</v>
      </c>
      <c r="C878">
        <v>92.25</v>
      </c>
      <c r="D878">
        <v>105.73</v>
      </c>
      <c r="E878">
        <v>111.3</v>
      </c>
      <c r="F878">
        <v>101.49</v>
      </c>
      <c r="G878">
        <v>83.19</v>
      </c>
      <c r="H878">
        <v>86.81</v>
      </c>
      <c r="I878">
        <v>87.63</v>
      </c>
      <c r="J878">
        <v>111.83</v>
      </c>
      <c r="K878">
        <v>22.5</v>
      </c>
      <c r="L878">
        <v>76974.259999999995</v>
      </c>
      <c r="M878">
        <v>47960.41</v>
      </c>
      <c r="N878">
        <v>11.085000000000001</v>
      </c>
      <c r="O878">
        <v>5.2830000000000002E-2</v>
      </c>
      <c r="P878">
        <v>2.77</v>
      </c>
      <c r="Q878">
        <v>113.99</v>
      </c>
      <c r="R878">
        <v>35.299999999999997</v>
      </c>
      <c r="S878">
        <v>128.5</v>
      </c>
    </row>
    <row r="879" spans="1:19" x14ac:dyDescent="0.25">
      <c r="A879" s="6">
        <v>45152</v>
      </c>
      <c r="B879">
        <v>75.400000000000006</v>
      </c>
      <c r="C879">
        <v>92.25</v>
      </c>
      <c r="D879">
        <v>105.73</v>
      </c>
      <c r="E879">
        <v>111.3</v>
      </c>
      <c r="F879">
        <v>101.49</v>
      </c>
      <c r="G879">
        <v>82.51</v>
      </c>
      <c r="H879">
        <v>86.21</v>
      </c>
      <c r="I879">
        <v>87.2</v>
      </c>
      <c r="J879">
        <v>111.92</v>
      </c>
      <c r="K879">
        <v>22.35</v>
      </c>
      <c r="L879">
        <v>76160.87</v>
      </c>
      <c r="M879">
        <v>46272.57</v>
      </c>
      <c r="N879">
        <v>11.145</v>
      </c>
      <c r="O879">
        <v>5.2400000000000002E-2</v>
      </c>
      <c r="P879">
        <v>2.7949999999999999</v>
      </c>
      <c r="Q879">
        <v>114.92</v>
      </c>
      <c r="R879">
        <v>34.435000000000002</v>
      </c>
      <c r="S879">
        <v>126.2</v>
      </c>
    </row>
    <row r="880" spans="1:19" x14ac:dyDescent="0.25">
      <c r="A880" s="6">
        <v>45153</v>
      </c>
      <c r="B880">
        <v>75.400000000000006</v>
      </c>
      <c r="C880">
        <v>92.25</v>
      </c>
      <c r="D880">
        <v>105.73</v>
      </c>
      <c r="E880">
        <v>111.3</v>
      </c>
      <c r="F880">
        <v>101.49</v>
      </c>
      <c r="G880">
        <v>80.989999999999995</v>
      </c>
      <c r="H880">
        <v>84.89</v>
      </c>
      <c r="I880">
        <v>86.39</v>
      </c>
      <c r="J880">
        <v>108.16</v>
      </c>
      <c r="K880">
        <v>22.25</v>
      </c>
      <c r="L880">
        <v>75590.77</v>
      </c>
      <c r="M880">
        <v>46473.07</v>
      </c>
      <c r="N880">
        <v>11.205</v>
      </c>
      <c r="O880">
        <v>5.2209999999999999E-2</v>
      </c>
      <c r="P880">
        <v>2.6589999999999998</v>
      </c>
      <c r="Q880">
        <v>114.11</v>
      </c>
      <c r="R880">
        <v>38.814999999999998</v>
      </c>
      <c r="S880">
        <v>125.2</v>
      </c>
    </row>
    <row r="881" spans="1:19" x14ac:dyDescent="0.25">
      <c r="A881" s="6">
        <v>45154</v>
      </c>
      <c r="B881">
        <v>75.400000000000006</v>
      </c>
      <c r="C881">
        <v>92.25</v>
      </c>
      <c r="D881">
        <v>105.73</v>
      </c>
      <c r="E881">
        <v>111.3</v>
      </c>
      <c r="F881">
        <v>101.49</v>
      </c>
      <c r="G881">
        <v>79.38</v>
      </c>
      <c r="H881">
        <v>83.45</v>
      </c>
      <c r="I881">
        <v>85.68</v>
      </c>
      <c r="J881">
        <v>106.34</v>
      </c>
      <c r="K881">
        <v>21.95</v>
      </c>
      <c r="L881">
        <v>74914.52</v>
      </c>
      <c r="M881">
        <v>45480.959999999999</v>
      </c>
      <c r="N881">
        <v>14.32</v>
      </c>
      <c r="O881">
        <v>5.2150000000000002E-2</v>
      </c>
      <c r="P881">
        <v>2.5920000000000001</v>
      </c>
      <c r="Q881">
        <v>113.97</v>
      </c>
      <c r="R881">
        <v>37.784999999999997</v>
      </c>
      <c r="S881">
        <v>125.2</v>
      </c>
    </row>
    <row r="882" spans="1:19" x14ac:dyDescent="0.25">
      <c r="A882" s="6">
        <v>45155</v>
      </c>
      <c r="B882">
        <v>75.400000000000006</v>
      </c>
      <c r="C882">
        <v>92.25</v>
      </c>
      <c r="D882">
        <v>105.73</v>
      </c>
      <c r="E882">
        <v>111.3</v>
      </c>
      <c r="F882">
        <v>101.49</v>
      </c>
      <c r="G882">
        <v>80.39</v>
      </c>
      <c r="H882">
        <v>84.12</v>
      </c>
      <c r="I882">
        <v>86</v>
      </c>
      <c r="J882">
        <v>108.4</v>
      </c>
      <c r="K882">
        <v>21.95</v>
      </c>
      <c r="L882">
        <v>74375.22</v>
      </c>
      <c r="M882">
        <v>42762.79</v>
      </c>
      <c r="N882">
        <v>14.16</v>
      </c>
      <c r="O882">
        <v>5.2420000000000001E-2</v>
      </c>
      <c r="P882">
        <v>2.621</v>
      </c>
      <c r="Q882">
        <v>113.61</v>
      </c>
      <c r="R882">
        <v>36.825000000000003</v>
      </c>
      <c r="S882">
        <v>126.35</v>
      </c>
    </row>
    <row r="883" spans="1:19" x14ac:dyDescent="0.25">
      <c r="A883" s="6">
        <v>45156</v>
      </c>
      <c r="B883">
        <v>79.28</v>
      </c>
      <c r="C883">
        <v>96.66</v>
      </c>
      <c r="D883">
        <v>110.94</v>
      </c>
      <c r="E883">
        <v>115.63</v>
      </c>
      <c r="F883">
        <v>103.82</v>
      </c>
      <c r="G883">
        <v>81.25</v>
      </c>
      <c r="H883">
        <v>84.8</v>
      </c>
      <c r="I883">
        <v>86.44</v>
      </c>
      <c r="J883">
        <v>110.04</v>
      </c>
      <c r="K883">
        <v>21.85</v>
      </c>
      <c r="L883">
        <v>73080.87</v>
      </c>
      <c r="M883">
        <v>42496.93</v>
      </c>
      <c r="N883">
        <v>13.95</v>
      </c>
      <c r="O883">
        <v>5.262E-2</v>
      </c>
      <c r="P883">
        <v>2.5510000000000002</v>
      </c>
      <c r="Q883">
        <v>113.75</v>
      </c>
      <c r="R883">
        <v>36.409999999999997</v>
      </c>
      <c r="S883">
        <v>123.9</v>
      </c>
    </row>
    <row r="884" spans="1:19" x14ac:dyDescent="0.25">
      <c r="A884" s="6">
        <v>45159</v>
      </c>
      <c r="B884">
        <v>79.28</v>
      </c>
      <c r="C884">
        <v>96.66</v>
      </c>
      <c r="D884">
        <v>110.94</v>
      </c>
      <c r="E884">
        <v>115.63</v>
      </c>
      <c r="F884">
        <v>103.82</v>
      </c>
      <c r="G884">
        <v>80.72</v>
      </c>
      <c r="H884">
        <v>84.46</v>
      </c>
      <c r="I884">
        <v>86.36</v>
      </c>
      <c r="J884">
        <v>108.71</v>
      </c>
      <c r="K884">
        <v>21.5</v>
      </c>
      <c r="L884">
        <v>73760.210000000006</v>
      </c>
      <c r="M884">
        <v>42232.66</v>
      </c>
      <c r="N884">
        <v>14.3</v>
      </c>
      <c r="O884">
        <v>5.2699999999999997E-2</v>
      </c>
      <c r="P884">
        <v>2.6320000000000001</v>
      </c>
      <c r="Q884">
        <v>113.86</v>
      </c>
      <c r="R884">
        <v>40.78</v>
      </c>
      <c r="S884">
        <v>124.35</v>
      </c>
    </row>
    <row r="885" spans="1:19" x14ac:dyDescent="0.25">
      <c r="A885" s="6">
        <v>45160</v>
      </c>
      <c r="B885">
        <v>79.28</v>
      </c>
      <c r="C885">
        <v>96.66</v>
      </c>
      <c r="D885">
        <v>110.94</v>
      </c>
      <c r="E885">
        <v>115.63</v>
      </c>
      <c r="F885">
        <v>103.82</v>
      </c>
      <c r="G885">
        <v>80.349999999999994</v>
      </c>
      <c r="H885">
        <v>84.03</v>
      </c>
      <c r="I885">
        <v>86.28</v>
      </c>
      <c r="J885">
        <v>108.1</v>
      </c>
      <c r="K885">
        <v>21.95</v>
      </c>
      <c r="L885">
        <v>73277.88</v>
      </c>
      <c r="M885">
        <v>42283.65</v>
      </c>
      <c r="N885">
        <v>14.3</v>
      </c>
      <c r="O885">
        <v>5.3179999999999998E-2</v>
      </c>
      <c r="P885">
        <v>2.56</v>
      </c>
      <c r="Q885">
        <v>113.25</v>
      </c>
      <c r="R885">
        <v>42.91</v>
      </c>
      <c r="S885">
        <v>124.5</v>
      </c>
    </row>
    <row r="886" spans="1:19" x14ac:dyDescent="0.25">
      <c r="A886" s="6">
        <v>45161</v>
      </c>
      <c r="B886">
        <v>79.28</v>
      </c>
      <c r="C886">
        <v>96.66</v>
      </c>
      <c r="D886">
        <v>110.94</v>
      </c>
      <c r="E886">
        <v>115.63</v>
      </c>
      <c r="F886">
        <v>103.82</v>
      </c>
      <c r="G886">
        <v>78.89</v>
      </c>
      <c r="H886">
        <v>83.21</v>
      </c>
      <c r="I886">
        <v>86.09</v>
      </c>
      <c r="J886">
        <v>107.15</v>
      </c>
      <c r="K886">
        <v>22.3</v>
      </c>
      <c r="L886">
        <v>74022.58</v>
      </c>
      <c r="M886">
        <v>44309.09</v>
      </c>
      <c r="N886">
        <v>13.734999999999999</v>
      </c>
      <c r="O886">
        <v>5.4089999999999999E-2</v>
      </c>
      <c r="P886">
        <v>2.4969999999999999</v>
      </c>
      <c r="Q886">
        <v>114.83</v>
      </c>
      <c r="R886">
        <v>36.784999999999997</v>
      </c>
      <c r="S886">
        <v>125.05</v>
      </c>
    </row>
    <row r="887" spans="1:19" x14ac:dyDescent="0.25">
      <c r="A887" s="6">
        <v>45162</v>
      </c>
      <c r="B887">
        <v>79.28</v>
      </c>
      <c r="C887">
        <v>96.66</v>
      </c>
      <c r="D887">
        <v>110.94</v>
      </c>
      <c r="E887">
        <v>115.63</v>
      </c>
      <c r="F887">
        <v>103.82</v>
      </c>
      <c r="G887">
        <v>79.05</v>
      </c>
      <c r="H887">
        <v>83.36</v>
      </c>
      <c r="I887">
        <v>86.18</v>
      </c>
      <c r="J887">
        <v>106.35</v>
      </c>
      <c r="K887">
        <v>22.25</v>
      </c>
      <c r="L887">
        <v>74301.56</v>
      </c>
      <c r="M887">
        <v>45260.42</v>
      </c>
      <c r="N887">
        <v>12.92</v>
      </c>
      <c r="O887">
        <v>5.3150000000000003E-2</v>
      </c>
      <c r="P887">
        <v>2.5190000000000001</v>
      </c>
      <c r="Q887">
        <v>115.26</v>
      </c>
      <c r="R887">
        <v>31.94</v>
      </c>
      <c r="S887">
        <v>124.9</v>
      </c>
    </row>
    <row r="888" spans="1:19" x14ac:dyDescent="0.25">
      <c r="A888" s="6">
        <v>45163</v>
      </c>
      <c r="B888">
        <v>82.54</v>
      </c>
      <c r="C888">
        <v>100.17</v>
      </c>
      <c r="D888">
        <v>115.36</v>
      </c>
      <c r="E888">
        <v>120.33</v>
      </c>
      <c r="F888">
        <v>105.88</v>
      </c>
      <c r="G888">
        <v>79.83</v>
      </c>
      <c r="H888">
        <v>84.48</v>
      </c>
      <c r="I888">
        <v>86.4</v>
      </c>
      <c r="J888">
        <v>108.25</v>
      </c>
      <c r="K888">
        <v>22.15</v>
      </c>
      <c r="L888">
        <v>73836.009999999995</v>
      </c>
      <c r="M888">
        <v>44840.81</v>
      </c>
      <c r="N888">
        <v>13.46</v>
      </c>
      <c r="O888">
        <v>5.3650000000000003E-2</v>
      </c>
      <c r="P888">
        <v>2.54</v>
      </c>
      <c r="Q888">
        <v>115.8</v>
      </c>
      <c r="R888">
        <v>34.774999999999999</v>
      </c>
      <c r="S888">
        <v>124.15</v>
      </c>
    </row>
    <row r="889" spans="1:19" x14ac:dyDescent="0.25">
      <c r="A889" s="6">
        <v>45166</v>
      </c>
      <c r="B889">
        <v>82.54</v>
      </c>
      <c r="C889">
        <v>100.17</v>
      </c>
      <c r="D889">
        <v>115.36</v>
      </c>
      <c r="E889">
        <v>120.33</v>
      </c>
      <c r="F889">
        <v>105.88</v>
      </c>
      <c r="G889">
        <v>80.099999999999994</v>
      </c>
      <c r="H889">
        <v>84.42</v>
      </c>
      <c r="I889">
        <v>86.39</v>
      </c>
      <c r="J889">
        <v>109.16</v>
      </c>
      <c r="K889">
        <v>22.55</v>
      </c>
      <c r="L889">
        <v>75079.61</v>
      </c>
      <c r="M889">
        <v>46001.120000000003</v>
      </c>
      <c r="N889">
        <v>13.46</v>
      </c>
      <c r="O889">
        <v>5.3719999999999997E-2</v>
      </c>
      <c r="P889">
        <v>2.5790000000000002</v>
      </c>
      <c r="Q889">
        <v>117.5</v>
      </c>
      <c r="R889">
        <v>38.414999999999999</v>
      </c>
      <c r="S889">
        <v>124.9</v>
      </c>
    </row>
    <row r="890" spans="1:19" x14ac:dyDescent="0.25">
      <c r="A890" s="6">
        <v>45167</v>
      </c>
      <c r="B890">
        <v>82.54</v>
      </c>
      <c r="C890">
        <v>100.17</v>
      </c>
      <c r="D890">
        <v>115.36</v>
      </c>
      <c r="E890">
        <v>120.33</v>
      </c>
      <c r="F890">
        <v>105.88</v>
      </c>
      <c r="G890">
        <v>81.16</v>
      </c>
      <c r="H890">
        <v>85.49</v>
      </c>
      <c r="I890">
        <v>86.43</v>
      </c>
      <c r="J890">
        <v>109.81</v>
      </c>
      <c r="K890">
        <v>22.8</v>
      </c>
      <c r="L890">
        <v>74776.179999999993</v>
      </c>
      <c r="M890">
        <v>45399.81</v>
      </c>
      <c r="N890">
        <v>13.395</v>
      </c>
      <c r="O890">
        <v>5.4100000000000002E-2</v>
      </c>
      <c r="P890">
        <v>2.556</v>
      </c>
      <c r="Q890">
        <v>118.57</v>
      </c>
      <c r="R890">
        <v>35.195</v>
      </c>
      <c r="S890">
        <v>125.55</v>
      </c>
    </row>
    <row r="891" spans="1:19" x14ac:dyDescent="0.25">
      <c r="A891" s="6">
        <v>45168</v>
      </c>
      <c r="B891">
        <v>82.54</v>
      </c>
      <c r="C891">
        <v>100.17</v>
      </c>
      <c r="D891">
        <v>115.36</v>
      </c>
      <c r="E891">
        <v>120.33</v>
      </c>
      <c r="F891">
        <v>105.88</v>
      </c>
      <c r="G891">
        <v>81.63</v>
      </c>
      <c r="H891">
        <v>85.86</v>
      </c>
      <c r="I891">
        <v>86.42</v>
      </c>
      <c r="J891">
        <v>110.88</v>
      </c>
      <c r="K891">
        <v>22.7</v>
      </c>
      <c r="L891">
        <v>75256.19</v>
      </c>
      <c r="M891">
        <v>46153.8</v>
      </c>
      <c r="N891">
        <v>13.404999999999999</v>
      </c>
      <c r="O891">
        <v>5.3510000000000002E-2</v>
      </c>
      <c r="P891">
        <v>2.7959999999999998</v>
      </c>
      <c r="Q891">
        <v>117.9</v>
      </c>
      <c r="R891">
        <v>35.991999999999997</v>
      </c>
      <c r="S891">
        <v>126.15</v>
      </c>
    </row>
    <row r="892" spans="1:19" x14ac:dyDescent="0.25">
      <c r="A892" s="6">
        <v>45169</v>
      </c>
      <c r="B892">
        <v>82.54</v>
      </c>
      <c r="C892">
        <v>100.17</v>
      </c>
      <c r="D892">
        <v>115.36</v>
      </c>
      <c r="E892">
        <v>120.33</v>
      </c>
      <c r="F892">
        <v>105.88</v>
      </c>
      <c r="G892">
        <v>83.63</v>
      </c>
      <c r="H892">
        <v>86.86</v>
      </c>
      <c r="I892">
        <v>86.46</v>
      </c>
      <c r="J892">
        <v>111.19</v>
      </c>
      <c r="K892">
        <v>22.85</v>
      </c>
      <c r="L892">
        <v>74953.73</v>
      </c>
      <c r="M892">
        <v>44965.07</v>
      </c>
      <c r="N892">
        <v>13.2</v>
      </c>
      <c r="O892">
        <v>5.2949999999999997E-2</v>
      </c>
      <c r="P892">
        <v>2.7679999999999998</v>
      </c>
      <c r="Q892">
        <v>117.99</v>
      </c>
      <c r="R892">
        <v>35.03</v>
      </c>
      <c r="S892">
        <v>126.2</v>
      </c>
    </row>
    <row r="893" spans="1:19" x14ac:dyDescent="0.25">
      <c r="A893" s="6">
        <v>45170</v>
      </c>
      <c r="B893">
        <v>81.790000000000006</v>
      </c>
      <c r="C893">
        <v>99.41</v>
      </c>
      <c r="D893">
        <v>113.72</v>
      </c>
      <c r="E893">
        <v>112.63</v>
      </c>
      <c r="F893">
        <v>108.31</v>
      </c>
      <c r="G893">
        <v>85.55</v>
      </c>
      <c r="H893">
        <v>88.55</v>
      </c>
      <c r="I893">
        <v>89.68</v>
      </c>
      <c r="J893">
        <v>113.52</v>
      </c>
      <c r="K893">
        <v>22.963090128755539</v>
      </c>
      <c r="L893">
        <v>74786.789999999994</v>
      </c>
      <c r="M893">
        <v>44067.88</v>
      </c>
      <c r="N893">
        <v>13.395</v>
      </c>
      <c r="O893">
        <v>5.305E-2</v>
      </c>
      <c r="P893">
        <v>2.7650000000000001</v>
      </c>
      <c r="Q893">
        <v>117.01</v>
      </c>
      <c r="R893">
        <v>35.616999999999997</v>
      </c>
      <c r="S893">
        <v>131.75</v>
      </c>
    </row>
    <row r="894" spans="1:19" x14ac:dyDescent="0.25">
      <c r="A894" s="6">
        <v>45173</v>
      </c>
      <c r="B894">
        <v>81.790000000000006</v>
      </c>
      <c r="C894">
        <v>99.41</v>
      </c>
      <c r="D894">
        <v>113.72</v>
      </c>
      <c r="E894">
        <v>112.63</v>
      </c>
      <c r="F894">
        <v>108.31</v>
      </c>
      <c r="G894">
        <v>85.82</v>
      </c>
      <c r="H894">
        <v>89</v>
      </c>
      <c r="I894">
        <v>90.240000000000009</v>
      </c>
      <c r="J894">
        <v>113.52500000000001</v>
      </c>
      <c r="K894">
        <v>23.65</v>
      </c>
      <c r="L894">
        <v>75375.22</v>
      </c>
      <c r="M894">
        <v>43743.199999999997</v>
      </c>
      <c r="N894">
        <v>13.254189189189105</v>
      </c>
      <c r="O894">
        <v>5.2420000000000001E-2</v>
      </c>
      <c r="P894">
        <v>2.6469999999999998</v>
      </c>
      <c r="Q894">
        <v>115.825</v>
      </c>
      <c r="R894">
        <v>33.795000000000002</v>
      </c>
      <c r="S894">
        <v>137.1</v>
      </c>
    </row>
    <row r="895" spans="1:19" x14ac:dyDescent="0.25">
      <c r="A895" s="6">
        <v>45174</v>
      </c>
      <c r="B895">
        <v>81.790000000000006</v>
      </c>
      <c r="C895">
        <v>99.41</v>
      </c>
      <c r="D895">
        <v>113.72</v>
      </c>
      <c r="E895">
        <v>112.63</v>
      </c>
      <c r="F895">
        <v>108.31</v>
      </c>
      <c r="G895">
        <v>86.69</v>
      </c>
      <c r="H895">
        <v>90.04</v>
      </c>
      <c r="I895">
        <v>90.8</v>
      </c>
      <c r="J895">
        <v>113.53</v>
      </c>
      <c r="K895">
        <v>23.5</v>
      </c>
      <c r="L895">
        <v>75016</v>
      </c>
      <c r="M895">
        <v>42658.83</v>
      </c>
      <c r="N895">
        <v>13.24</v>
      </c>
      <c r="O895">
        <v>5.203E-2</v>
      </c>
      <c r="P895">
        <v>2.5819999999999999</v>
      </c>
      <c r="Q895">
        <v>114.64</v>
      </c>
      <c r="R895">
        <v>34.450000000000003</v>
      </c>
      <c r="S895">
        <v>138.1</v>
      </c>
    </row>
    <row r="896" spans="1:19" x14ac:dyDescent="0.25">
      <c r="A896" s="6">
        <v>45175</v>
      </c>
      <c r="B896">
        <v>81.790000000000006</v>
      </c>
      <c r="C896">
        <v>99.41</v>
      </c>
      <c r="D896">
        <v>113.72</v>
      </c>
      <c r="E896">
        <v>112.63</v>
      </c>
      <c r="F896">
        <v>108.31</v>
      </c>
      <c r="G896">
        <v>87.54</v>
      </c>
      <c r="H896">
        <v>90.6</v>
      </c>
      <c r="I896">
        <v>91.69</v>
      </c>
      <c r="J896">
        <v>114.51</v>
      </c>
      <c r="K896">
        <v>23.45</v>
      </c>
      <c r="L896">
        <v>74411.02</v>
      </c>
      <c r="M896">
        <v>43057.13</v>
      </c>
      <c r="N896">
        <v>13.21</v>
      </c>
      <c r="O896">
        <v>5.2069999999999998E-2</v>
      </c>
      <c r="P896">
        <v>2.5099999999999998</v>
      </c>
      <c r="Q896">
        <v>113.61</v>
      </c>
      <c r="R896">
        <v>31.074999999999999</v>
      </c>
      <c r="S896">
        <v>137</v>
      </c>
    </row>
    <row r="897" spans="1:19" x14ac:dyDescent="0.25">
      <c r="A897" s="6">
        <v>45176</v>
      </c>
      <c r="B897">
        <v>81.790000000000006</v>
      </c>
      <c r="C897">
        <v>99.41</v>
      </c>
      <c r="D897">
        <v>113.72</v>
      </c>
      <c r="E897">
        <v>112.63</v>
      </c>
      <c r="F897">
        <v>108.31</v>
      </c>
      <c r="G897">
        <v>86.87</v>
      </c>
      <c r="H897">
        <v>89.92</v>
      </c>
      <c r="I897">
        <v>90.86</v>
      </c>
      <c r="J897">
        <v>113.95</v>
      </c>
      <c r="K897">
        <v>23.65</v>
      </c>
      <c r="L897">
        <v>73185.119999999995</v>
      </c>
      <c r="M897">
        <v>42462.9</v>
      </c>
      <c r="N897">
        <v>13.32</v>
      </c>
      <c r="O897">
        <v>5.2130000000000003E-2</v>
      </c>
      <c r="P897">
        <v>2.5790000000000002</v>
      </c>
      <c r="Q897">
        <v>115.23</v>
      </c>
      <c r="R897">
        <v>32.755000000000003</v>
      </c>
      <c r="S897">
        <v>138</v>
      </c>
    </row>
    <row r="898" spans="1:19" x14ac:dyDescent="0.25">
      <c r="A898" s="6">
        <v>45177</v>
      </c>
      <c r="B898">
        <v>79.64</v>
      </c>
      <c r="C898">
        <v>97.85</v>
      </c>
      <c r="D898">
        <v>111.5</v>
      </c>
      <c r="E898">
        <v>115.37</v>
      </c>
      <c r="F898">
        <v>108.41</v>
      </c>
      <c r="G898">
        <v>87.51</v>
      </c>
      <c r="H898">
        <v>90.65</v>
      </c>
      <c r="I898">
        <v>91.37</v>
      </c>
      <c r="J898">
        <v>115.61</v>
      </c>
      <c r="K898">
        <v>23.816442557423215</v>
      </c>
      <c r="L898">
        <v>73652.67</v>
      </c>
      <c r="M898">
        <v>42560.92</v>
      </c>
      <c r="N898">
        <v>13.33</v>
      </c>
      <c r="O898">
        <v>5.2260000000000001E-2</v>
      </c>
      <c r="P898">
        <v>2.605</v>
      </c>
      <c r="Q898">
        <v>114.96</v>
      </c>
      <c r="R898">
        <v>34.51</v>
      </c>
      <c r="S898">
        <v>142</v>
      </c>
    </row>
    <row r="899" spans="1:19" x14ac:dyDescent="0.25">
      <c r="A899" s="6">
        <v>45180</v>
      </c>
      <c r="B899">
        <v>79.64</v>
      </c>
      <c r="C899">
        <v>97.85</v>
      </c>
      <c r="D899">
        <v>111.5</v>
      </c>
      <c r="E899">
        <v>115.37</v>
      </c>
      <c r="F899">
        <v>108.41</v>
      </c>
      <c r="G899">
        <v>87.29</v>
      </c>
      <c r="H899">
        <v>90.64</v>
      </c>
      <c r="I899">
        <v>91.38</v>
      </c>
      <c r="J899">
        <v>114.16</v>
      </c>
      <c r="K899">
        <v>23.75</v>
      </c>
      <c r="L899">
        <v>74106.179999999993</v>
      </c>
      <c r="M899">
        <v>42814.45</v>
      </c>
      <c r="N899">
        <v>13.385</v>
      </c>
      <c r="O899">
        <v>5.2970000000000003E-2</v>
      </c>
      <c r="P899">
        <v>2.6080000000000001</v>
      </c>
      <c r="Q899">
        <v>115.03</v>
      </c>
      <c r="R899">
        <v>35.85</v>
      </c>
      <c r="S899">
        <v>140.19999999999999</v>
      </c>
    </row>
    <row r="900" spans="1:19" x14ac:dyDescent="0.25">
      <c r="A900" s="6">
        <v>45181</v>
      </c>
      <c r="B900">
        <v>79.64</v>
      </c>
      <c r="C900">
        <v>97.85</v>
      </c>
      <c r="D900">
        <v>111.5</v>
      </c>
      <c r="E900">
        <v>115.37</v>
      </c>
      <c r="F900">
        <v>108.41</v>
      </c>
      <c r="G900">
        <v>88.84</v>
      </c>
      <c r="H900">
        <v>92.06</v>
      </c>
      <c r="I900">
        <v>92.34</v>
      </c>
      <c r="J900">
        <v>117.49</v>
      </c>
      <c r="K900">
        <v>23.35</v>
      </c>
      <c r="L900">
        <v>74086.62</v>
      </c>
      <c r="M900">
        <v>43313.81</v>
      </c>
      <c r="N900">
        <v>13.39</v>
      </c>
      <c r="O900">
        <v>5.2859999999999997E-2</v>
      </c>
      <c r="P900">
        <v>2.7429999999999999</v>
      </c>
      <c r="Q900">
        <v>115.99</v>
      </c>
      <c r="R900">
        <v>34.700000000000003</v>
      </c>
      <c r="S900">
        <v>132.6</v>
      </c>
    </row>
    <row r="901" spans="1:19" x14ac:dyDescent="0.25">
      <c r="A901" s="6">
        <v>45182</v>
      </c>
      <c r="B901">
        <v>79.64</v>
      </c>
      <c r="C901">
        <v>97.85</v>
      </c>
      <c r="D901">
        <v>111.5</v>
      </c>
      <c r="E901">
        <v>115.37</v>
      </c>
      <c r="F901">
        <v>108.41</v>
      </c>
      <c r="G901">
        <v>88.52</v>
      </c>
      <c r="H901">
        <v>91.88</v>
      </c>
      <c r="I901">
        <v>92.18</v>
      </c>
      <c r="J901">
        <v>116.44</v>
      </c>
      <c r="K901">
        <v>23.75</v>
      </c>
      <c r="L901">
        <v>73302.559999999998</v>
      </c>
      <c r="M901">
        <v>43127.72</v>
      </c>
      <c r="N901">
        <v>13.39</v>
      </c>
      <c r="O901">
        <v>5.3150000000000003E-2</v>
      </c>
      <c r="P901">
        <v>2.68</v>
      </c>
      <c r="Q901">
        <v>116.77</v>
      </c>
      <c r="R901">
        <v>36.814999999999998</v>
      </c>
      <c r="S901">
        <v>134.35</v>
      </c>
    </row>
    <row r="902" spans="1:19" x14ac:dyDescent="0.25">
      <c r="A902" s="6">
        <v>45183</v>
      </c>
      <c r="B902">
        <v>79.64</v>
      </c>
      <c r="C902">
        <v>97.85</v>
      </c>
      <c r="D902">
        <v>111.5</v>
      </c>
      <c r="E902">
        <v>115.37</v>
      </c>
      <c r="F902">
        <v>108.41</v>
      </c>
      <c r="G902">
        <v>90.16</v>
      </c>
      <c r="H902">
        <v>93.7</v>
      </c>
      <c r="I902">
        <v>93.45</v>
      </c>
      <c r="J902">
        <v>118.52</v>
      </c>
      <c r="K902">
        <v>24.65</v>
      </c>
      <c r="L902">
        <v>74354.37</v>
      </c>
      <c r="M902">
        <v>44298.38</v>
      </c>
      <c r="N902">
        <v>13.365</v>
      </c>
      <c r="O902">
        <v>5.2560000000000003E-2</v>
      </c>
      <c r="P902">
        <v>2.7080000000000002</v>
      </c>
      <c r="Q902">
        <v>116.9</v>
      </c>
      <c r="R902">
        <v>35.520000000000003</v>
      </c>
      <c r="S902">
        <v>134.85</v>
      </c>
    </row>
    <row r="903" spans="1:19" x14ac:dyDescent="0.25">
      <c r="A903" s="6">
        <v>45184</v>
      </c>
      <c r="B903">
        <v>85.45</v>
      </c>
      <c r="C903">
        <v>104.8</v>
      </c>
      <c r="D903">
        <v>118.88</v>
      </c>
      <c r="E903">
        <v>122.34</v>
      </c>
      <c r="F903">
        <v>111.18</v>
      </c>
      <c r="G903">
        <v>90.77</v>
      </c>
      <c r="H903">
        <v>93.93</v>
      </c>
      <c r="I903">
        <v>93.56</v>
      </c>
      <c r="J903">
        <v>116.7</v>
      </c>
      <c r="K903">
        <v>24.7</v>
      </c>
      <c r="L903">
        <v>74589.81</v>
      </c>
      <c r="M903">
        <v>45703.05</v>
      </c>
      <c r="N903">
        <v>13.329000000000001</v>
      </c>
      <c r="O903">
        <v>5.2580000000000002E-2</v>
      </c>
      <c r="P903">
        <v>2.6440000000000001</v>
      </c>
      <c r="Q903">
        <v>115.72</v>
      </c>
      <c r="R903">
        <v>36.484999999999999</v>
      </c>
      <c r="S903">
        <v>134.35</v>
      </c>
    </row>
    <row r="904" spans="1:19" x14ac:dyDescent="0.25">
      <c r="A904" s="6">
        <v>45187</v>
      </c>
      <c r="B904">
        <v>85.45</v>
      </c>
      <c r="C904">
        <v>104.8</v>
      </c>
      <c r="D904">
        <v>118.88</v>
      </c>
      <c r="E904">
        <v>122.34</v>
      </c>
      <c r="F904">
        <v>111.18</v>
      </c>
      <c r="G904">
        <v>91.48</v>
      </c>
      <c r="H904">
        <v>94.43</v>
      </c>
      <c r="I904">
        <v>93.64</v>
      </c>
      <c r="J904">
        <v>117.64</v>
      </c>
      <c r="K904">
        <v>24.65</v>
      </c>
      <c r="L904">
        <v>73908.03</v>
      </c>
      <c r="M904">
        <v>45245.14</v>
      </c>
      <c r="N904">
        <v>13.99</v>
      </c>
      <c r="O904">
        <v>5.2580000000000002E-2</v>
      </c>
      <c r="P904">
        <v>2.7280000000000002</v>
      </c>
      <c r="Q904">
        <v>115.89</v>
      </c>
      <c r="R904">
        <v>34.475000000000001</v>
      </c>
      <c r="S904">
        <v>133</v>
      </c>
    </row>
    <row r="905" spans="1:19" x14ac:dyDescent="0.25">
      <c r="A905" s="6">
        <v>45188</v>
      </c>
      <c r="B905">
        <v>85.45</v>
      </c>
      <c r="C905">
        <v>104.8</v>
      </c>
      <c r="D905">
        <v>118.88</v>
      </c>
      <c r="E905">
        <v>122.34</v>
      </c>
      <c r="F905">
        <v>111.18</v>
      </c>
      <c r="G905">
        <v>91.2</v>
      </c>
      <c r="H905">
        <v>94.34</v>
      </c>
      <c r="I905">
        <v>93.15</v>
      </c>
      <c r="J905">
        <v>117.33</v>
      </c>
      <c r="K905">
        <v>25.3</v>
      </c>
      <c r="L905">
        <v>73806.42</v>
      </c>
      <c r="M905">
        <v>45048.18</v>
      </c>
      <c r="N905">
        <v>14.25</v>
      </c>
      <c r="O905">
        <v>5.2780000000000001E-2</v>
      </c>
      <c r="P905">
        <v>2.8479999999999999</v>
      </c>
      <c r="Q905">
        <v>115.47</v>
      </c>
      <c r="R905">
        <v>36.78</v>
      </c>
      <c r="S905">
        <v>133</v>
      </c>
    </row>
    <row r="906" spans="1:19" x14ac:dyDescent="0.25">
      <c r="A906" s="6">
        <v>45189</v>
      </c>
      <c r="B906">
        <v>85.45</v>
      </c>
      <c r="C906">
        <v>104.8</v>
      </c>
      <c r="D906">
        <v>118.88</v>
      </c>
      <c r="E906">
        <v>122.34</v>
      </c>
      <c r="F906">
        <v>111.18</v>
      </c>
      <c r="G906">
        <v>90.28</v>
      </c>
      <c r="H906">
        <v>93.53</v>
      </c>
      <c r="I906">
        <v>93.14</v>
      </c>
      <c r="J906">
        <v>116.4</v>
      </c>
      <c r="K906">
        <v>25.15</v>
      </c>
      <c r="L906">
        <v>74824.09</v>
      </c>
      <c r="M906">
        <v>46525.18</v>
      </c>
      <c r="N906">
        <v>14.24</v>
      </c>
      <c r="O906">
        <v>5.3030000000000001E-2</v>
      </c>
      <c r="P906">
        <v>2.7330000000000001</v>
      </c>
      <c r="Q906">
        <v>115.35</v>
      </c>
      <c r="R906">
        <v>37.284999999999997</v>
      </c>
      <c r="S906">
        <v>133</v>
      </c>
    </row>
    <row r="907" spans="1:19" x14ac:dyDescent="0.25">
      <c r="A907" s="6">
        <v>45190</v>
      </c>
      <c r="B907">
        <v>85.45</v>
      </c>
      <c r="C907">
        <v>104.8</v>
      </c>
      <c r="D907">
        <v>118.88</v>
      </c>
      <c r="E907">
        <v>122.34</v>
      </c>
      <c r="F907">
        <v>111.18</v>
      </c>
      <c r="G907">
        <v>89.63</v>
      </c>
      <c r="H907">
        <v>93.3</v>
      </c>
      <c r="I907">
        <v>93.04</v>
      </c>
      <c r="J907">
        <v>114.76</v>
      </c>
      <c r="K907">
        <v>24.95</v>
      </c>
      <c r="L907">
        <v>73238.11</v>
      </c>
      <c r="M907">
        <v>45080.22</v>
      </c>
      <c r="N907">
        <v>14.33</v>
      </c>
      <c r="O907">
        <v>5.2729999999999999E-2</v>
      </c>
      <c r="P907">
        <v>2.61</v>
      </c>
      <c r="Q907">
        <v>112.42</v>
      </c>
      <c r="R907">
        <v>39.104999999999997</v>
      </c>
      <c r="S907">
        <v>131.6</v>
      </c>
    </row>
    <row r="908" spans="1:19" x14ac:dyDescent="0.25">
      <c r="A908" s="6">
        <v>45191</v>
      </c>
      <c r="B908">
        <v>88.71</v>
      </c>
      <c r="C908">
        <v>107.76</v>
      </c>
      <c r="D908">
        <v>123.98</v>
      </c>
      <c r="E908">
        <v>131.77000000000001</v>
      </c>
      <c r="F908">
        <v>116.48</v>
      </c>
      <c r="G908">
        <v>90.03</v>
      </c>
      <c r="H908">
        <v>93.27</v>
      </c>
      <c r="I908">
        <v>93.05</v>
      </c>
      <c r="J908">
        <v>114.94</v>
      </c>
      <c r="K908">
        <v>25.15</v>
      </c>
      <c r="L908">
        <v>73398.78</v>
      </c>
      <c r="M908">
        <v>44977.93</v>
      </c>
      <c r="N908">
        <v>14.595000000000001</v>
      </c>
      <c r="O908">
        <v>5.3289999999999997E-2</v>
      </c>
      <c r="P908">
        <v>2.637</v>
      </c>
      <c r="Q908">
        <v>110.17</v>
      </c>
      <c r="R908">
        <v>39.790999999999997</v>
      </c>
      <c r="S908">
        <v>130.75</v>
      </c>
    </row>
    <row r="909" spans="1:19" x14ac:dyDescent="0.25">
      <c r="A909" s="6">
        <v>45194</v>
      </c>
      <c r="B909">
        <v>88.71</v>
      </c>
      <c r="C909">
        <v>107.76</v>
      </c>
      <c r="D909">
        <v>123.98</v>
      </c>
      <c r="E909">
        <v>131.77000000000001</v>
      </c>
      <c r="F909">
        <v>116.48</v>
      </c>
      <c r="G909">
        <v>89.68</v>
      </c>
      <c r="H909">
        <v>93.29</v>
      </c>
      <c r="I909">
        <v>92.91</v>
      </c>
      <c r="J909">
        <v>116.23</v>
      </c>
      <c r="K909">
        <v>25</v>
      </c>
      <c r="L909">
        <v>73065.725945944898</v>
      </c>
      <c r="M909">
        <v>45076.56729729753</v>
      </c>
      <c r="N909">
        <v>14.99</v>
      </c>
      <c r="O909">
        <v>5.323E-2</v>
      </c>
      <c r="P909">
        <v>2.6389999999999998</v>
      </c>
      <c r="Q909">
        <v>109.18</v>
      </c>
      <c r="R909">
        <v>44.44</v>
      </c>
      <c r="S909">
        <v>131.15</v>
      </c>
    </row>
    <row r="910" spans="1:19" x14ac:dyDescent="0.25">
      <c r="A910" s="6">
        <v>45195</v>
      </c>
      <c r="B910">
        <v>88.71</v>
      </c>
      <c r="C910">
        <v>107.76</v>
      </c>
      <c r="D910">
        <v>123.98</v>
      </c>
      <c r="E910">
        <v>131.77000000000001</v>
      </c>
      <c r="F910">
        <v>116.48</v>
      </c>
      <c r="G910">
        <v>90.39</v>
      </c>
      <c r="H910">
        <v>93.96</v>
      </c>
      <c r="I910">
        <v>93.03</v>
      </c>
      <c r="J910">
        <v>116.41</v>
      </c>
      <c r="K910">
        <v>24.75</v>
      </c>
      <c r="L910">
        <v>72652.100000000006</v>
      </c>
      <c r="M910">
        <v>44554.06</v>
      </c>
      <c r="N910">
        <v>14.65</v>
      </c>
      <c r="O910">
        <v>5.2400000000000002E-2</v>
      </c>
      <c r="P910">
        <v>2.6560000000000001</v>
      </c>
      <c r="Q910">
        <v>107.23</v>
      </c>
      <c r="R910">
        <v>40.32</v>
      </c>
      <c r="S910">
        <v>131.75</v>
      </c>
    </row>
    <row r="911" spans="1:19" x14ac:dyDescent="0.25">
      <c r="A911" s="6">
        <v>45196</v>
      </c>
      <c r="B911">
        <v>88.71</v>
      </c>
      <c r="C911">
        <v>107.76</v>
      </c>
      <c r="D911">
        <v>123.98</v>
      </c>
      <c r="E911">
        <v>131.77000000000001</v>
      </c>
      <c r="F911">
        <v>116.48</v>
      </c>
      <c r="G911">
        <v>93.68</v>
      </c>
      <c r="H911">
        <v>96.55</v>
      </c>
      <c r="I911">
        <v>93.26</v>
      </c>
      <c r="J911">
        <v>120.2</v>
      </c>
      <c r="K911">
        <v>24.9</v>
      </c>
      <c r="L911">
        <v>72174.14</v>
      </c>
      <c r="M911">
        <v>42759.26</v>
      </c>
      <c r="N911">
        <v>14.595000000000001</v>
      </c>
      <c r="O911">
        <v>5.2010000000000001E-2</v>
      </c>
      <c r="P911">
        <v>2.7639999999999998</v>
      </c>
      <c r="Q911">
        <v>108.27</v>
      </c>
      <c r="R911">
        <v>39.295000000000002</v>
      </c>
      <c r="S911">
        <v>132.1</v>
      </c>
    </row>
    <row r="912" spans="1:19" x14ac:dyDescent="0.25">
      <c r="A912" s="6">
        <v>45197</v>
      </c>
      <c r="B912">
        <v>88.71</v>
      </c>
      <c r="C912">
        <v>107.76</v>
      </c>
      <c r="D912">
        <v>123.98</v>
      </c>
      <c r="E912">
        <v>131.77000000000001</v>
      </c>
      <c r="F912">
        <v>116.48</v>
      </c>
      <c r="G912">
        <v>91.71</v>
      </c>
      <c r="H912">
        <v>95.38</v>
      </c>
      <c r="I912">
        <v>93.16</v>
      </c>
      <c r="J912">
        <v>119.47</v>
      </c>
      <c r="K912">
        <v>25.05</v>
      </c>
      <c r="L912">
        <v>72505.990000000005</v>
      </c>
      <c r="M912">
        <v>42280.93</v>
      </c>
      <c r="N912">
        <v>14.76</v>
      </c>
      <c r="O912">
        <v>5.2639999999999999E-2</v>
      </c>
      <c r="P912">
        <v>2.9449999999999998</v>
      </c>
      <c r="Q912">
        <v>110.82</v>
      </c>
      <c r="R912">
        <v>39.735999999999997</v>
      </c>
      <c r="S912">
        <v>131.05000000000001</v>
      </c>
    </row>
    <row r="913" spans="1:19" x14ac:dyDescent="0.25">
      <c r="A913" s="6">
        <v>45198</v>
      </c>
      <c r="B913">
        <v>89.84</v>
      </c>
      <c r="C913">
        <v>109.47</v>
      </c>
      <c r="D913">
        <v>125.8</v>
      </c>
      <c r="E913">
        <v>133.79</v>
      </c>
      <c r="F913">
        <v>118.29</v>
      </c>
      <c r="G913">
        <v>90.79</v>
      </c>
      <c r="H913">
        <v>95.31</v>
      </c>
      <c r="I913">
        <v>93.31</v>
      </c>
      <c r="J913">
        <v>117.58</v>
      </c>
      <c r="K913">
        <v>25.4</v>
      </c>
      <c r="L913">
        <v>72382.89</v>
      </c>
      <c r="M913">
        <v>41843.379999999997</v>
      </c>
      <c r="N913">
        <v>14.63</v>
      </c>
      <c r="O913">
        <v>5.2789999999999997E-2</v>
      </c>
      <c r="P913">
        <v>2.9289999999999998</v>
      </c>
      <c r="Q913">
        <v>110.02</v>
      </c>
      <c r="R913">
        <v>41.859000000000002</v>
      </c>
      <c r="S913">
        <v>132.19999999999999</v>
      </c>
    </row>
    <row r="914" spans="1:19" x14ac:dyDescent="0.25">
      <c r="A914" s="6">
        <v>45201</v>
      </c>
      <c r="B914">
        <v>89.84</v>
      </c>
      <c r="C914">
        <v>109.47</v>
      </c>
      <c r="D914">
        <v>125.8</v>
      </c>
      <c r="E914">
        <v>133.79</v>
      </c>
      <c r="F914">
        <v>118.29</v>
      </c>
      <c r="G914">
        <v>88.82</v>
      </c>
      <c r="H914">
        <v>90.71</v>
      </c>
      <c r="I914">
        <v>91.33</v>
      </c>
      <c r="J914">
        <v>115.63</v>
      </c>
      <c r="K914">
        <v>25.147297297297314</v>
      </c>
      <c r="L914">
        <v>71238.06</v>
      </c>
      <c r="M914">
        <v>40144.589999999997</v>
      </c>
      <c r="N914">
        <v>14.395</v>
      </c>
      <c r="O914">
        <v>5.2019999999999997E-2</v>
      </c>
      <c r="P914">
        <v>2.84</v>
      </c>
      <c r="Q914">
        <v>109.22</v>
      </c>
      <c r="R914">
        <v>39.335000000000001</v>
      </c>
      <c r="S914">
        <v>133</v>
      </c>
    </row>
    <row r="915" spans="1:19" x14ac:dyDescent="0.25">
      <c r="A915" s="6">
        <v>45202</v>
      </c>
      <c r="B915">
        <v>89.84</v>
      </c>
      <c r="C915">
        <v>109.47</v>
      </c>
      <c r="D915">
        <v>125.8</v>
      </c>
      <c r="E915">
        <v>133.79</v>
      </c>
      <c r="F915">
        <v>118.29</v>
      </c>
      <c r="G915">
        <v>89.23</v>
      </c>
      <c r="H915">
        <v>90.92</v>
      </c>
      <c r="I915">
        <v>91.43</v>
      </c>
      <c r="J915">
        <v>115.83</v>
      </c>
      <c r="K915">
        <v>24.4</v>
      </c>
      <c r="L915">
        <v>70773.210000000006</v>
      </c>
      <c r="M915">
        <v>39779.230000000003</v>
      </c>
      <c r="N915">
        <v>14.244999999999999</v>
      </c>
      <c r="O915">
        <v>5.1679999999999997E-2</v>
      </c>
      <c r="P915">
        <v>2.9489999999999998</v>
      </c>
      <c r="Q915">
        <v>107.59</v>
      </c>
      <c r="R915">
        <v>36.984999999999999</v>
      </c>
      <c r="S915">
        <v>133</v>
      </c>
    </row>
    <row r="916" spans="1:19" x14ac:dyDescent="0.25">
      <c r="A916" s="6">
        <v>45203</v>
      </c>
      <c r="B916">
        <v>89.84</v>
      </c>
      <c r="C916">
        <v>109.47</v>
      </c>
      <c r="D916">
        <v>125.8</v>
      </c>
      <c r="E916">
        <v>133.79</v>
      </c>
      <c r="F916">
        <v>118.29</v>
      </c>
      <c r="G916">
        <v>84.22</v>
      </c>
      <c r="H916">
        <v>85.81</v>
      </c>
      <c r="I916">
        <v>86.93</v>
      </c>
      <c r="J916">
        <v>111.5</v>
      </c>
      <c r="K916">
        <v>24.3</v>
      </c>
      <c r="L916">
        <v>70564.69</v>
      </c>
      <c r="M916">
        <v>39722.82</v>
      </c>
      <c r="N916">
        <v>14.15</v>
      </c>
      <c r="O916">
        <v>5.1670000000000001E-2</v>
      </c>
      <c r="P916">
        <v>2.9620000000000002</v>
      </c>
      <c r="Q916">
        <v>109.03</v>
      </c>
      <c r="R916">
        <v>38.44</v>
      </c>
      <c r="S916">
        <v>129.65</v>
      </c>
    </row>
    <row r="917" spans="1:19" x14ac:dyDescent="0.25">
      <c r="A917" s="6">
        <v>45204</v>
      </c>
      <c r="B917">
        <v>89.84</v>
      </c>
      <c r="C917">
        <v>109.47</v>
      </c>
      <c r="D917">
        <v>125.8</v>
      </c>
      <c r="E917">
        <v>133.79</v>
      </c>
      <c r="F917">
        <v>118.29</v>
      </c>
      <c r="G917">
        <v>82.31</v>
      </c>
      <c r="H917">
        <v>84.07</v>
      </c>
      <c r="I917">
        <v>85.5</v>
      </c>
      <c r="J917">
        <v>108.99</v>
      </c>
      <c r="K917">
        <v>24.3</v>
      </c>
      <c r="L917">
        <v>71249.59</v>
      </c>
      <c r="M917">
        <v>39830.99</v>
      </c>
      <c r="N917">
        <v>14.105</v>
      </c>
      <c r="O917">
        <v>5.1209999999999999E-2</v>
      </c>
      <c r="P917">
        <v>3.1659999999999999</v>
      </c>
      <c r="Q917">
        <v>109.69</v>
      </c>
      <c r="R917">
        <v>36.204999999999998</v>
      </c>
      <c r="S917">
        <v>133.19999999999999</v>
      </c>
    </row>
    <row r="918" spans="1:19" x14ac:dyDescent="0.25">
      <c r="A918" s="6">
        <v>45205</v>
      </c>
      <c r="B918">
        <v>84.48</v>
      </c>
      <c r="C918">
        <v>101.92</v>
      </c>
      <c r="D918">
        <v>117.35</v>
      </c>
      <c r="E918">
        <v>125.44</v>
      </c>
      <c r="F918">
        <v>119.6</v>
      </c>
      <c r="G918">
        <v>82.79</v>
      </c>
      <c r="H918">
        <v>84.58</v>
      </c>
      <c r="I918">
        <v>85.88</v>
      </c>
      <c r="J918">
        <v>107.17</v>
      </c>
      <c r="K918">
        <v>24.5</v>
      </c>
      <c r="L918">
        <v>71657.25</v>
      </c>
      <c r="M918">
        <v>40455.800000000003</v>
      </c>
      <c r="N918">
        <v>14.074999999999999</v>
      </c>
      <c r="O918">
        <v>5.1720000000000002E-2</v>
      </c>
      <c r="P918">
        <v>3.3380000000000001</v>
      </c>
      <c r="Q918">
        <v>110.88</v>
      </c>
      <c r="R918">
        <v>38.231000000000002</v>
      </c>
      <c r="S918">
        <v>133.80000000000001</v>
      </c>
    </row>
    <row r="919" spans="1:19" x14ac:dyDescent="0.25">
      <c r="A919" s="6">
        <v>45208</v>
      </c>
      <c r="B919">
        <v>84.48</v>
      </c>
      <c r="C919">
        <v>101.92</v>
      </c>
      <c r="D919">
        <v>117.35</v>
      </c>
      <c r="E919">
        <v>125.44</v>
      </c>
      <c r="F919">
        <v>119.6</v>
      </c>
      <c r="G919">
        <v>86.38</v>
      </c>
      <c r="H919">
        <v>88.15</v>
      </c>
      <c r="I919">
        <v>88.54</v>
      </c>
      <c r="J919">
        <v>110.92</v>
      </c>
      <c r="K919">
        <v>25</v>
      </c>
      <c r="L919">
        <v>71648.39</v>
      </c>
      <c r="M919">
        <v>42542.51</v>
      </c>
      <c r="N919">
        <v>14.154999999999999</v>
      </c>
      <c r="O919">
        <v>5.1700000000000003E-2</v>
      </c>
      <c r="P919">
        <v>3.3759999999999999</v>
      </c>
      <c r="Q919">
        <v>112.13</v>
      </c>
      <c r="R919">
        <v>43.954999999999998</v>
      </c>
      <c r="S919">
        <v>131.5</v>
      </c>
    </row>
    <row r="920" spans="1:19" x14ac:dyDescent="0.25">
      <c r="A920" s="6">
        <v>45209</v>
      </c>
      <c r="B920">
        <v>84.48</v>
      </c>
      <c r="C920">
        <v>101.92</v>
      </c>
      <c r="D920">
        <v>117.35</v>
      </c>
      <c r="E920">
        <v>125.44</v>
      </c>
      <c r="F920">
        <v>119.6</v>
      </c>
      <c r="G920">
        <v>85.97</v>
      </c>
      <c r="H920">
        <v>87.65</v>
      </c>
      <c r="I920">
        <v>88.22</v>
      </c>
      <c r="J920">
        <v>110.45</v>
      </c>
      <c r="K920">
        <v>24.8</v>
      </c>
      <c r="L920">
        <v>73840.5</v>
      </c>
      <c r="M920">
        <v>44879.21</v>
      </c>
      <c r="N920">
        <v>14.244999999999999</v>
      </c>
      <c r="O920">
        <v>5.2560000000000003E-2</v>
      </c>
      <c r="P920">
        <v>3.3820000000000001</v>
      </c>
      <c r="Q920">
        <v>111.76</v>
      </c>
      <c r="R920">
        <v>49.454999999999998</v>
      </c>
      <c r="S920">
        <v>134</v>
      </c>
    </row>
    <row r="921" spans="1:19" x14ac:dyDescent="0.25">
      <c r="A921" s="6">
        <v>45210</v>
      </c>
      <c r="B921">
        <v>84.48</v>
      </c>
      <c r="C921">
        <v>101.92</v>
      </c>
      <c r="D921">
        <v>117.35</v>
      </c>
      <c r="E921">
        <v>125.44</v>
      </c>
      <c r="F921">
        <v>119.6</v>
      </c>
      <c r="G921">
        <v>83.49</v>
      </c>
      <c r="H921">
        <v>85.82</v>
      </c>
      <c r="I921">
        <v>87.21</v>
      </c>
      <c r="J921">
        <v>106.49</v>
      </c>
      <c r="K921">
        <v>24.7</v>
      </c>
      <c r="L921">
        <v>73849.53</v>
      </c>
      <c r="M921">
        <v>45475.45</v>
      </c>
      <c r="N921">
        <v>14.305</v>
      </c>
      <c r="O921">
        <v>5.3080000000000002E-2</v>
      </c>
      <c r="P921">
        <v>3.3769999999999998</v>
      </c>
      <c r="Q921">
        <v>111.45</v>
      </c>
      <c r="R921">
        <v>46.07</v>
      </c>
      <c r="S921">
        <v>133.19999999999999</v>
      </c>
    </row>
    <row r="922" spans="1:19" x14ac:dyDescent="0.25">
      <c r="A922" s="6">
        <v>45211</v>
      </c>
      <c r="B922">
        <v>84.48</v>
      </c>
      <c r="C922">
        <v>101.92</v>
      </c>
      <c r="D922">
        <v>117.35</v>
      </c>
      <c r="E922">
        <v>125.44</v>
      </c>
      <c r="F922">
        <v>119.6</v>
      </c>
      <c r="G922">
        <v>82.91</v>
      </c>
      <c r="H922">
        <v>86</v>
      </c>
      <c r="I922">
        <v>87.37</v>
      </c>
      <c r="J922">
        <v>106.47</v>
      </c>
      <c r="K922">
        <v>24.75</v>
      </c>
      <c r="L922">
        <v>73390.81</v>
      </c>
      <c r="M922">
        <v>46076.33</v>
      </c>
      <c r="N922">
        <v>14.36</v>
      </c>
      <c r="O922">
        <v>5.2549999999999999E-2</v>
      </c>
      <c r="P922">
        <v>3.3439999999999999</v>
      </c>
      <c r="Q922">
        <v>110.77</v>
      </c>
      <c r="R922">
        <v>53</v>
      </c>
      <c r="S922">
        <v>134.9</v>
      </c>
    </row>
    <row r="923" spans="1:19" x14ac:dyDescent="0.25">
      <c r="A923" s="6">
        <v>45212</v>
      </c>
      <c r="B923">
        <v>91.16</v>
      </c>
      <c r="C923">
        <v>112.25</v>
      </c>
      <c r="D923">
        <v>125.93</v>
      </c>
      <c r="E923">
        <v>133.41</v>
      </c>
      <c r="F923">
        <v>123.7</v>
      </c>
      <c r="G923">
        <v>87.69</v>
      </c>
      <c r="H923">
        <v>90.89</v>
      </c>
      <c r="I923">
        <v>90.12</v>
      </c>
      <c r="J923">
        <v>109.87</v>
      </c>
      <c r="K923">
        <v>24.6</v>
      </c>
      <c r="L923">
        <v>72919.72</v>
      </c>
      <c r="M923">
        <v>48333.07</v>
      </c>
      <c r="N923">
        <v>14.475</v>
      </c>
      <c r="O923">
        <v>5.2639999999999999E-2</v>
      </c>
      <c r="P923">
        <v>3.2360000000000002</v>
      </c>
      <c r="Q923">
        <v>110.43</v>
      </c>
      <c r="R923">
        <v>53.981999999999999</v>
      </c>
      <c r="S923">
        <v>134.5</v>
      </c>
    </row>
    <row r="924" spans="1:19" x14ac:dyDescent="0.25">
      <c r="A924" s="6">
        <v>45215</v>
      </c>
      <c r="B924">
        <v>91.16</v>
      </c>
      <c r="C924">
        <v>112.25</v>
      </c>
      <c r="D924">
        <v>125.93</v>
      </c>
      <c r="E924">
        <v>133.41</v>
      </c>
      <c r="F924">
        <v>123.7</v>
      </c>
      <c r="G924">
        <v>86.66</v>
      </c>
      <c r="H924">
        <v>89.65</v>
      </c>
      <c r="I924">
        <v>89.61</v>
      </c>
      <c r="J924">
        <v>109.95</v>
      </c>
      <c r="K924">
        <v>24.95</v>
      </c>
      <c r="L924">
        <v>73146.75</v>
      </c>
      <c r="M924">
        <v>47887.94</v>
      </c>
      <c r="N924">
        <v>17.72</v>
      </c>
      <c r="O924">
        <v>5.323E-2</v>
      </c>
      <c r="P924">
        <v>3.109</v>
      </c>
      <c r="Q924">
        <v>111.92</v>
      </c>
      <c r="R924">
        <v>48.465000000000003</v>
      </c>
      <c r="S924">
        <v>135.1</v>
      </c>
    </row>
    <row r="925" spans="1:19" x14ac:dyDescent="0.25">
      <c r="A925" s="6">
        <v>45216</v>
      </c>
      <c r="B925">
        <v>91.16</v>
      </c>
      <c r="C925">
        <v>112.25</v>
      </c>
      <c r="D925">
        <v>125.93</v>
      </c>
      <c r="E925">
        <v>133.41</v>
      </c>
      <c r="F925">
        <v>123.7</v>
      </c>
      <c r="G925">
        <v>86.66</v>
      </c>
      <c r="H925">
        <v>89.9</v>
      </c>
      <c r="I925">
        <v>89.84</v>
      </c>
      <c r="J925">
        <v>111.39</v>
      </c>
      <c r="K925">
        <v>24.75</v>
      </c>
      <c r="L925">
        <v>72831.8</v>
      </c>
      <c r="M925">
        <v>48304.44</v>
      </c>
      <c r="N925">
        <v>17.645</v>
      </c>
      <c r="O925">
        <v>5.3100000000000001E-2</v>
      </c>
      <c r="P925">
        <v>3.0790000000000002</v>
      </c>
      <c r="Q925">
        <v>111.76</v>
      </c>
      <c r="R925">
        <v>48.895000000000003</v>
      </c>
      <c r="S925">
        <v>136</v>
      </c>
    </row>
    <row r="926" spans="1:19" x14ac:dyDescent="0.25">
      <c r="A926" s="6">
        <v>45217</v>
      </c>
      <c r="B926">
        <v>91.16</v>
      </c>
      <c r="C926">
        <v>112.25</v>
      </c>
      <c r="D926">
        <v>125.93</v>
      </c>
      <c r="E926">
        <v>133.41</v>
      </c>
      <c r="F926">
        <v>123.7</v>
      </c>
      <c r="G926">
        <v>88.32</v>
      </c>
      <c r="H926">
        <v>91.5</v>
      </c>
      <c r="I926">
        <v>90.53</v>
      </c>
      <c r="J926">
        <v>112.95</v>
      </c>
      <c r="K926">
        <v>24.75</v>
      </c>
      <c r="L926">
        <v>71968.67</v>
      </c>
      <c r="M926">
        <v>47493.34</v>
      </c>
      <c r="N926">
        <v>18.29</v>
      </c>
      <c r="O926">
        <v>5.2639999999999999E-2</v>
      </c>
      <c r="P926">
        <v>3.056</v>
      </c>
      <c r="Q926">
        <v>109.64</v>
      </c>
      <c r="R926">
        <v>50.835000000000001</v>
      </c>
      <c r="S926">
        <v>133.6</v>
      </c>
    </row>
    <row r="927" spans="1:19" x14ac:dyDescent="0.25">
      <c r="A927" s="6">
        <v>45218</v>
      </c>
      <c r="B927">
        <v>91.16</v>
      </c>
      <c r="C927">
        <v>112.25</v>
      </c>
      <c r="D927">
        <v>125.93</v>
      </c>
      <c r="E927">
        <v>133.41</v>
      </c>
      <c r="F927">
        <v>123.7</v>
      </c>
      <c r="G927">
        <v>89.37</v>
      </c>
      <c r="H927">
        <v>92.38</v>
      </c>
      <c r="I927">
        <v>90.83</v>
      </c>
      <c r="J927">
        <v>113.02</v>
      </c>
      <c r="K927">
        <v>24.2</v>
      </c>
      <c r="L927">
        <v>70961.33</v>
      </c>
      <c r="M927">
        <v>46016.37</v>
      </c>
      <c r="N927">
        <v>18.245000000000001</v>
      </c>
      <c r="O927">
        <v>5.2560000000000003E-2</v>
      </c>
      <c r="P927">
        <v>2.9569999999999999</v>
      </c>
      <c r="Q927">
        <v>109.57</v>
      </c>
      <c r="R927">
        <v>50.17</v>
      </c>
      <c r="S927">
        <v>133.69999999999999</v>
      </c>
    </row>
    <row r="928" spans="1:19" x14ac:dyDescent="0.25">
      <c r="A928" s="6">
        <v>45219</v>
      </c>
      <c r="B928">
        <v>94.45</v>
      </c>
      <c r="C928">
        <v>113.71</v>
      </c>
      <c r="D928">
        <v>128.44</v>
      </c>
      <c r="E928">
        <v>134.72999999999999</v>
      </c>
      <c r="F928">
        <v>124.55</v>
      </c>
      <c r="G928">
        <v>88.75</v>
      </c>
      <c r="H928">
        <v>92.16</v>
      </c>
      <c r="I928">
        <v>90.66</v>
      </c>
      <c r="J928">
        <v>111.08</v>
      </c>
      <c r="K928">
        <v>24.15</v>
      </c>
      <c r="L928">
        <v>70198.009999999995</v>
      </c>
      <c r="M928">
        <v>47586.400000000001</v>
      </c>
      <c r="N928">
        <v>18.399999999999999</v>
      </c>
      <c r="O928">
        <v>5.2639999999999999E-2</v>
      </c>
      <c r="P928">
        <v>2.899</v>
      </c>
      <c r="Q928">
        <v>108.02</v>
      </c>
      <c r="R928">
        <v>51.112000000000002</v>
      </c>
      <c r="S928">
        <v>131.15</v>
      </c>
    </row>
    <row r="929" spans="1:19" x14ac:dyDescent="0.25">
      <c r="A929" s="6">
        <v>45222</v>
      </c>
      <c r="B929">
        <v>94.45</v>
      </c>
      <c r="C929">
        <v>113.71</v>
      </c>
      <c r="D929">
        <v>128.44</v>
      </c>
      <c r="E929">
        <v>134.72999999999999</v>
      </c>
      <c r="F929">
        <v>124.55</v>
      </c>
      <c r="G929">
        <v>85.49</v>
      </c>
      <c r="H929">
        <v>89.83</v>
      </c>
      <c r="I929">
        <v>90.07</v>
      </c>
      <c r="J929">
        <v>109.45</v>
      </c>
      <c r="K929">
        <v>24.128378378378329</v>
      </c>
      <c r="L929">
        <v>70100.28</v>
      </c>
      <c r="M929">
        <v>45518.11</v>
      </c>
      <c r="N929">
        <v>18.585000000000001</v>
      </c>
      <c r="O929">
        <v>5.2720000000000003E-2</v>
      </c>
      <c r="P929">
        <v>2.9260000000000002</v>
      </c>
      <c r="Q929">
        <v>107.71</v>
      </c>
      <c r="R929">
        <v>51.274999999999999</v>
      </c>
      <c r="S929">
        <v>126.3</v>
      </c>
    </row>
    <row r="930" spans="1:19" x14ac:dyDescent="0.25">
      <c r="A930" s="6">
        <v>45223</v>
      </c>
      <c r="B930">
        <v>94.45</v>
      </c>
      <c r="C930">
        <v>113.71</v>
      </c>
      <c r="D930">
        <v>128.44</v>
      </c>
      <c r="E930">
        <v>134.72999999999999</v>
      </c>
      <c r="F930">
        <v>124.55</v>
      </c>
      <c r="G930">
        <v>83.74</v>
      </c>
      <c r="H930">
        <v>88.07</v>
      </c>
      <c r="I930">
        <v>89.54</v>
      </c>
      <c r="J930">
        <v>108.39</v>
      </c>
      <c r="K930">
        <v>24.15</v>
      </c>
      <c r="L930">
        <v>70578.25</v>
      </c>
      <c r="M930">
        <v>44584.84</v>
      </c>
      <c r="N930">
        <v>17.84</v>
      </c>
      <c r="O930">
        <v>5.246E-2</v>
      </c>
      <c r="P930">
        <v>2.9710000000000001</v>
      </c>
      <c r="Q930">
        <v>106.93</v>
      </c>
      <c r="R930">
        <v>49.265000000000001</v>
      </c>
      <c r="S930">
        <v>124.45</v>
      </c>
    </row>
    <row r="931" spans="1:19" x14ac:dyDescent="0.25">
      <c r="A931" s="6">
        <v>45224</v>
      </c>
      <c r="B931">
        <v>94.45</v>
      </c>
      <c r="C931">
        <v>113.71</v>
      </c>
      <c r="D931">
        <v>128.44</v>
      </c>
      <c r="E931">
        <v>134.72999999999999</v>
      </c>
      <c r="F931">
        <v>124.55</v>
      </c>
      <c r="G931">
        <v>85.39</v>
      </c>
      <c r="H931">
        <v>90.13</v>
      </c>
      <c r="I931">
        <v>90.02</v>
      </c>
      <c r="J931">
        <v>108.59</v>
      </c>
      <c r="K931">
        <v>24.1</v>
      </c>
      <c r="L931">
        <v>70274.34</v>
      </c>
      <c r="M931">
        <v>44392.56</v>
      </c>
      <c r="N931">
        <v>17.954999999999998</v>
      </c>
      <c r="O931">
        <v>5.2269999999999997E-2</v>
      </c>
      <c r="P931">
        <v>3.01</v>
      </c>
      <c r="Q931">
        <v>106.73</v>
      </c>
      <c r="R931">
        <v>49.924999999999997</v>
      </c>
      <c r="S931">
        <v>124.45</v>
      </c>
    </row>
    <row r="932" spans="1:19" x14ac:dyDescent="0.25">
      <c r="A932" s="6">
        <v>45225</v>
      </c>
      <c r="B932">
        <v>94.45</v>
      </c>
      <c r="C932">
        <v>113.71</v>
      </c>
      <c r="D932">
        <v>128.44</v>
      </c>
      <c r="E932">
        <v>134.72999999999999</v>
      </c>
      <c r="F932">
        <v>124.55</v>
      </c>
      <c r="G932">
        <v>83.21</v>
      </c>
      <c r="H932">
        <v>87.93</v>
      </c>
      <c r="I932">
        <v>89.64</v>
      </c>
      <c r="J932">
        <v>107.6</v>
      </c>
      <c r="K932">
        <v>24.15</v>
      </c>
      <c r="L932">
        <v>69930.52</v>
      </c>
      <c r="M932">
        <v>44802.67</v>
      </c>
      <c r="N932">
        <v>17.91</v>
      </c>
      <c r="O932">
        <v>5.2720000000000003E-2</v>
      </c>
      <c r="P932">
        <v>3.214</v>
      </c>
      <c r="Q932">
        <v>107.29</v>
      </c>
      <c r="R932">
        <v>50.81</v>
      </c>
      <c r="S932">
        <v>123.45</v>
      </c>
    </row>
    <row r="933" spans="1:19" x14ac:dyDescent="0.25">
      <c r="A933" s="6">
        <v>45226</v>
      </c>
      <c r="B933">
        <v>88.64</v>
      </c>
      <c r="C933">
        <v>107.51</v>
      </c>
      <c r="D933">
        <v>121.68</v>
      </c>
      <c r="E933">
        <v>126.8</v>
      </c>
      <c r="F933">
        <v>121.91</v>
      </c>
      <c r="G933">
        <v>85.54</v>
      </c>
      <c r="H933">
        <v>90.48</v>
      </c>
      <c r="I933">
        <v>89.88</v>
      </c>
      <c r="J933">
        <v>105.55</v>
      </c>
      <c r="K933">
        <v>24.4</v>
      </c>
      <c r="L933">
        <v>69451.97</v>
      </c>
      <c r="M933">
        <v>44317.71</v>
      </c>
      <c r="N933">
        <v>17.895</v>
      </c>
      <c r="O933">
        <v>5.296E-2</v>
      </c>
      <c r="P933">
        <v>3.1640000000000001</v>
      </c>
      <c r="Q933">
        <v>104.72</v>
      </c>
      <c r="R933">
        <v>50.53</v>
      </c>
      <c r="S933">
        <v>124.95</v>
      </c>
    </row>
    <row r="934" spans="1:19" x14ac:dyDescent="0.25">
      <c r="A934" s="6">
        <v>45229</v>
      </c>
      <c r="B934">
        <v>88.64</v>
      </c>
      <c r="C934">
        <v>107.51</v>
      </c>
      <c r="D934">
        <v>121.68</v>
      </c>
      <c r="E934">
        <v>126.8</v>
      </c>
      <c r="F934">
        <v>121.91</v>
      </c>
      <c r="G934">
        <v>82.31</v>
      </c>
      <c r="H934">
        <v>87.45</v>
      </c>
      <c r="I934">
        <v>89.68</v>
      </c>
      <c r="J934">
        <v>105.88</v>
      </c>
      <c r="K934">
        <v>24.05</v>
      </c>
      <c r="L934">
        <v>69871.16</v>
      </c>
      <c r="M934">
        <v>44623.19</v>
      </c>
      <c r="N934">
        <v>17.91</v>
      </c>
      <c r="O934">
        <v>5.2979999999999999E-2</v>
      </c>
      <c r="P934">
        <v>3.3519999999999999</v>
      </c>
      <c r="Q934">
        <v>106.03</v>
      </c>
      <c r="R934">
        <v>50.546999999999997</v>
      </c>
      <c r="S934">
        <v>125.3</v>
      </c>
    </row>
    <row r="935" spans="1:19" x14ac:dyDescent="0.25">
      <c r="A935" s="6">
        <v>45230</v>
      </c>
      <c r="B935">
        <v>88.64</v>
      </c>
      <c r="C935">
        <v>107.51</v>
      </c>
      <c r="D935">
        <v>121.68</v>
      </c>
      <c r="E935">
        <v>126.8</v>
      </c>
      <c r="F935">
        <v>121.91</v>
      </c>
      <c r="G935">
        <v>81.02</v>
      </c>
      <c r="H935">
        <v>87.41</v>
      </c>
      <c r="I935">
        <v>89.76</v>
      </c>
      <c r="J935">
        <v>105.85</v>
      </c>
      <c r="K935">
        <v>24</v>
      </c>
      <c r="L935">
        <v>69653.440000000002</v>
      </c>
      <c r="M935">
        <v>43674.89</v>
      </c>
      <c r="N935">
        <v>17.72</v>
      </c>
      <c r="O935">
        <v>5.3620000000000001E-2</v>
      </c>
      <c r="P935">
        <v>3.5750000000000002</v>
      </c>
      <c r="Q935">
        <v>107.44</v>
      </c>
      <c r="R935">
        <v>48.005000000000003</v>
      </c>
      <c r="S935">
        <v>125.85</v>
      </c>
    </row>
    <row r="936" spans="1:19" x14ac:dyDescent="0.25">
      <c r="A936" s="6">
        <v>45231</v>
      </c>
      <c r="B936">
        <v>88.64</v>
      </c>
      <c r="C936">
        <v>107.51</v>
      </c>
      <c r="D936">
        <v>121.68</v>
      </c>
      <c r="E936">
        <v>126.8</v>
      </c>
      <c r="F936">
        <v>121.91</v>
      </c>
      <c r="G936">
        <v>80.44</v>
      </c>
      <c r="H936">
        <v>84.63</v>
      </c>
      <c r="I936">
        <v>85.24</v>
      </c>
      <c r="J936">
        <v>105.64</v>
      </c>
      <c r="K936">
        <v>24.05</v>
      </c>
      <c r="L936">
        <v>69740.3</v>
      </c>
      <c r="M936">
        <v>42239.93</v>
      </c>
      <c r="N936">
        <v>17.655000000000001</v>
      </c>
      <c r="O936">
        <v>5.4010000000000002E-2</v>
      </c>
      <c r="P936">
        <v>3.4940000000000002</v>
      </c>
      <c r="Q936">
        <v>108.25</v>
      </c>
      <c r="R936">
        <v>47.755000000000003</v>
      </c>
      <c r="S936">
        <v>124.85</v>
      </c>
    </row>
    <row r="937" spans="1:19" x14ac:dyDescent="0.25">
      <c r="A937" s="6">
        <v>45232</v>
      </c>
      <c r="B937">
        <v>88.64</v>
      </c>
      <c r="C937">
        <v>107.51</v>
      </c>
      <c r="D937">
        <v>121.68</v>
      </c>
      <c r="E937">
        <v>126.8</v>
      </c>
      <c r="F937">
        <v>121.91</v>
      </c>
      <c r="G937">
        <v>82.46</v>
      </c>
      <c r="H937">
        <v>86.85</v>
      </c>
      <c r="I937">
        <v>87.65</v>
      </c>
      <c r="J937">
        <v>109.11</v>
      </c>
      <c r="K937">
        <v>24.2</v>
      </c>
      <c r="L937">
        <v>71383.92</v>
      </c>
      <c r="M937">
        <v>42047</v>
      </c>
      <c r="N937">
        <v>17.645</v>
      </c>
      <c r="O937">
        <v>5.4280000000000002E-2</v>
      </c>
      <c r="P937">
        <v>3.472</v>
      </c>
      <c r="Q937">
        <v>106.26</v>
      </c>
      <c r="R937">
        <v>48.564999999999998</v>
      </c>
      <c r="S937">
        <v>126.65</v>
      </c>
    </row>
    <row r="938" spans="1:19" x14ac:dyDescent="0.25">
      <c r="A938" s="6">
        <v>45233</v>
      </c>
      <c r="B938">
        <v>83.18</v>
      </c>
      <c r="C938">
        <v>101.26</v>
      </c>
      <c r="D938">
        <v>114.85</v>
      </c>
      <c r="E938">
        <v>122.27</v>
      </c>
      <c r="F938">
        <v>117.57</v>
      </c>
      <c r="G938">
        <v>80.510000000000005</v>
      </c>
      <c r="H938">
        <v>84.89</v>
      </c>
      <c r="I938">
        <v>85.93</v>
      </c>
      <c r="J938">
        <v>107.78</v>
      </c>
      <c r="K938">
        <v>24.55</v>
      </c>
      <c r="L938">
        <v>72856.179999999993</v>
      </c>
      <c r="M938">
        <v>44135.63</v>
      </c>
      <c r="N938">
        <v>17.57</v>
      </c>
      <c r="O938">
        <v>5.4699999999999999E-2</v>
      </c>
      <c r="P938">
        <v>3.5150000000000001</v>
      </c>
      <c r="Q938">
        <v>107.91</v>
      </c>
      <c r="R938">
        <v>48.057000000000002</v>
      </c>
      <c r="S938">
        <v>127.6</v>
      </c>
    </row>
    <row r="939" spans="1:19" x14ac:dyDescent="0.25">
      <c r="A939" s="6">
        <v>45236</v>
      </c>
      <c r="B939">
        <v>83.18</v>
      </c>
      <c r="C939">
        <v>101.26</v>
      </c>
      <c r="D939">
        <v>114.85</v>
      </c>
      <c r="E939">
        <v>122.27</v>
      </c>
      <c r="F939">
        <v>117.57</v>
      </c>
      <c r="G939">
        <v>80.819999999999993</v>
      </c>
      <c r="H939">
        <v>85.18</v>
      </c>
      <c r="I939">
        <v>86.32</v>
      </c>
      <c r="J939">
        <v>105.87</v>
      </c>
      <c r="K939">
        <v>23.8</v>
      </c>
      <c r="L939">
        <v>73293.69</v>
      </c>
      <c r="M939">
        <v>45572.88</v>
      </c>
      <c r="N939">
        <v>17.445</v>
      </c>
      <c r="O939">
        <v>5.4609999999999999E-2</v>
      </c>
      <c r="P939">
        <v>3.2639999999999998</v>
      </c>
      <c r="Q939">
        <v>107.79</v>
      </c>
      <c r="R939">
        <v>44.83</v>
      </c>
      <c r="S939">
        <v>133.44999999999999</v>
      </c>
    </row>
    <row r="940" spans="1:19" x14ac:dyDescent="0.25">
      <c r="A940" s="6">
        <v>45237</v>
      </c>
      <c r="B940">
        <v>83.18</v>
      </c>
      <c r="C940">
        <v>101.26</v>
      </c>
      <c r="D940">
        <v>114.85</v>
      </c>
      <c r="E940">
        <v>122.27</v>
      </c>
      <c r="F940">
        <v>117.57</v>
      </c>
      <c r="G940">
        <v>77.37</v>
      </c>
      <c r="H940">
        <v>81.61</v>
      </c>
      <c r="I940">
        <v>83.58</v>
      </c>
      <c r="J940">
        <v>104.21</v>
      </c>
      <c r="K940">
        <v>23.95</v>
      </c>
      <c r="L940">
        <v>71572.990000000005</v>
      </c>
      <c r="M940">
        <v>43346.95</v>
      </c>
      <c r="N940">
        <v>17.355</v>
      </c>
      <c r="O940">
        <v>5.45E-2</v>
      </c>
      <c r="P940">
        <v>3.14</v>
      </c>
      <c r="Q940">
        <v>108.22</v>
      </c>
      <c r="R940">
        <v>46.055</v>
      </c>
      <c r="S940">
        <v>133</v>
      </c>
    </row>
    <row r="941" spans="1:19" x14ac:dyDescent="0.25">
      <c r="A941" s="6">
        <v>45238</v>
      </c>
      <c r="B941">
        <v>83.18</v>
      </c>
      <c r="C941">
        <v>101.26</v>
      </c>
      <c r="D941">
        <v>114.85</v>
      </c>
      <c r="E941">
        <v>122.27</v>
      </c>
      <c r="F941">
        <v>117.57</v>
      </c>
      <c r="G941">
        <v>75.33</v>
      </c>
      <c r="H941">
        <v>79.540000000000006</v>
      </c>
      <c r="I941">
        <v>82.2</v>
      </c>
      <c r="J941">
        <v>102.93</v>
      </c>
      <c r="K941">
        <v>23.95</v>
      </c>
      <c r="L941">
        <v>72465.63</v>
      </c>
      <c r="M941">
        <v>44315.58</v>
      </c>
      <c r="N941">
        <v>17.29</v>
      </c>
      <c r="O941">
        <v>5.4129999999999998E-2</v>
      </c>
      <c r="P941">
        <v>3.1059999999999999</v>
      </c>
      <c r="Q941">
        <v>109.17</v>
      </c>
      <c r="R941">
        <v>45.774999999999999</v>
      </c>
      <c r="S941">
        <v>132.4</v>
      </c>
    </row>
    <row r="942" spans="1:19" x14ac:dyDescent="0.25">
      <c r="A942" s="6">
        <v>45239</v>
      </c>
      <c r="B942">
        <v>83.18</v>
      </c>
      <c r="C942">
        <v>101.26</v>
      </c>
      <c r="D942">
        <v>114.85</v>
      </c>
      <c r="E942">
        <v>122.27</v>
      </c>
      <c r="F942">
        <v>117.57</v>
      </c>
      <c r="G942">
        <v>75.739999999999995</v>
      </c>
      <c r="H942">
        <v>80.010000000000005</v>
      </c>
      <c r="I942">
        <v>82.44</v>
      </c>
      <c r="J942">
        <v>102.96</v>
      </c>
      <c r="K942">
        <v>24.25</v>
      </c>
      <c r="L942">
        <v>72226.67</v>
      </c>
      <c r="M942">
        <v>43110.19</v>
      </c>
      <c r="N942">
        <v>17.254999999999999</v>
      </c>
      <c r="O942">
        <v>5.355E-2</v>
      </c>
      <c r="P942">
        <v>3.0409999999999999</v>
      </c>
      <c r="Q942">
        <v>108.55</v>
      </c>
      <c r="R942">
        <v>48.13</v>
      </c>
      <c r="S942">
        <v>131.15</v>
      </c>
    </row>
    <row r="943" spans="1:19" x14ac:dyDescent="0.25">
      <c r="A943" s="6">
        <v>45240</v>
      </c>
      <c r="B943">
        <v>77.81</v>
      </c>
      <c r="C943">
        <v>94.6</v>
      </c>
      <c r="D943">
        <v>108.43</v>
      </c>
      <c r="E943">
        <v>116.69</v>
      </c>
      <c r="F943">
        <v>114.04</v>
      </c>
      <c r="G943">
        <v>77.17</v>
      </c>
      <c r="H943">
        <v>81.430000000000007</v>
      </c>
      <c r="I943">
        <v>83.35</v>
      </c>
      <c r="J943">
        <v>103.75</v>
      </c>
      <c r="K943">
        <v>24.4</v>
      </c>
      <c r="L943">
        <v>71393.3</v>
      </c>
      <c r="M943">
        <v>40859.550000000003</v>
      </c>
      <c r="N943">
        <v>17.184999999999999</v>
      </c>
      <c r="O943">
        <v>5.339E-2</v>
      </c>
      <c r="P943">
        <v>3.0329999999999999</v>
      </c>
      <c r="Q943">
        <v>109.78</v>
      </c>
      <c r="R943">
        <v>46.63</v>
      </c>
      <c r="S943">
        <v>131.44999999999999</v>
      </c>
    </row>
    <row r="944" spans="1:19" x14ac:dyDescent="0.25">
      <c r="A944" s="6">
        <v>45243</v>
      </c>
      <c r="B944">
        <v>77.81</v>
      </c>
      <c r="C944">
        <v>94.6</v>
      </c>
      <c r="D944">
        <v>108.43</v>
      </c>
      <c r="E944">
        <v>116.69</v>
      </c>
      <c r="F944">
        <v>114.04</v>
      </c>
      <c r="G944">
        <v>78.260000000000005</v>
      </c>
      <c r="H944">
        <v>82.52</v>
      </c>
      <c r="I944">
        <v>83.86</v>
      </c>
      <c r="J944">
        <v>104.84</v>
      </c>
      <c r="K944">
        <v>24.4</v>
      </c>
      <c r="L944">
        <v>71633.17</v>
      </c>
      <c r="M944">
        <v>41141.660000000003</v>
      </c>
      <c r="N944">
        <v>17.2</v>
      </c>
      <c r="O944">
        <v>5.339E-2</v>
      </c>
      <c r="P944">
        <v>3.1970000000000001</v>
      </c>
      <c r="Q944">
        <v>108.66</v>
      </c>
      <c r="R944">
        <v>47.875</v>
      </c>
      <c r="S944">
        <v>132.5</v>
      </c>
    </row>
    <row r="945" spans="1:19" x14ac:dyDescent="0.25">
      <c r="A945" s="6">
        <v>45244</v>
      </c>
      <c r="B945">
        <v>77.81</v>
      </c>
      <c r="C945">
        <v>94.6</v>
      </c>
      <c r="D945">
        <v>108.43</v>
      </c>
      <c r="E945">
        <v>116.69</v>
      </c>
      <c r="F945">
        <v>114.04</v>
      </c>
      <c r="G945">
        <v>78.260000000000005</v>
      </c>
      <c r="H945">
        <v>82.47</v>
      </c>
      <c r="I945">
        <v>83.82</v>
      </c>
      <c r="J945">
        <v>104.29</v>
      </c>
      <c r="K945">
        <v>24.2</v>
      </c>
      <c r="L945">
        <v>73443.5</v>
      </c>
      <c r="M945">
        <v>42939.72</v>
      </c>
      <c r="N945">
        <v>17.125</v>
      </c>
      <c r="O945">
        <v>5.4850000000000003E-2</v>
      </c>
      <c r="P945">
        <v>3.1059999999999999</v>
      </c>
      <c r="Q945">
        <v>110.45</v>
      </c>
      <c r="R945">
        <v>47.61</v>
      </c>
      <c r="S945">
        <v>135.5</v>
      </c>
    </row>
    <row r="946" spans="1:19" x14ac:dyDescent="0.25">
      <c r="A946" s="6">
        <v>45245</v>
      </c>
      <c r="B946">
        <v>77.81</v>
      </c>
      <c r="C946">
        <v>94.6</v>
      </c>
      <c r="D946">
        <v>108.43</v>
      </c>
      <c r="E946">
        <v>116.69</v>
      </c>
      <c r="F946">
        <v>114.04</v>
      </c>
      <c r="G946">
        <v>76.66</v>
      </c>
      <c r="H946">
        <v>81.180000000000007</v>
      </c>
      <c r="I946">
        <v>83.21</v>
      </c>
      <c r="J946">
        <v>103.66</v>
      </c>
      <c r="K946">
        <v>24.85</v>
      </c>
      <c r="L946">
        <v>74800.289999999994</v>
      </c>
      <c r="M946">
        <v>43188.54</v>
      </c>
      <c r="N946">
        <v>17.102</v>
      </c>
      <c r="O946">
        <v>5.4960000000000002E-2</v>
      </c>
      <c r="P946">
        <v>3.3620000000000001</v>
      </c>
      <c r="Q946">
        <v>111.05</v>
      </c>
      <c r="R946">
        <v>47.034999999999997</v>
      </c>
      <c r="S946">
        <v>135.5</v>
      </c>
    </row>
    <row r="947" spans="1:19" x14ac:dyDescent="0.25">
      <c r="A947" s="6">
        <v>45246</v>
      </c>
      <c r="B947">
        <v>77.81</v>
      </c>
      <c r="C947">
        <v>94.6</v>
      </c>
      <c r="D947">
        <v>108.43</v>
      </c>
      <c r="E947">
        <v>116.69</v>
      </c>
      <c r="F947">
        <v>114.04</v>
      </c>
      <c r="G947">
        <v>72.900000000000006</v>
      </c>
      <c r="H947">
        <v>77.42</v>
      </c>
      <c r="I947">
        <v>81.510000000000005</v>
      </c>
      <c r="J947">
        <v>102.46</v>
      </c>
      <c r="K947">
        <v>25.2</v>
      </c>
      <c r="L947">
        <v>73736.61</v>
      </c>
      <c r="M947">
        <v>43631.13</v>
      </c>
      <c r="N947">
        <v>17.100000000000001</v>
      </c>
      <c r="O947">
        <v>5.4440000000000002E-2</v>
      </c>
      <c r="P947">
        <v>3.2389999999999999</v>
      </c>
      <c r="Q947">
        <v>112.27</v>
      </c>
      <c r="R947">
        <v>45.85</v>
      </c>
      <c r="S947">
        <v>136.1</v>
      </c>
    </row>
    <row r="948" spans="1:19" x14ac:dyDescent="0.25">
      <c r="A948" s="6">
        <v>45247</v>
      </c>
      <c r="B948">
        <v>74.8</v>
      </c>
      <c r="C948">
        <v>91.56</v>
      </c>
      <c r="D948">
        <v>104.62</v>
      </c>
      <c r="E948">
        <v>110.41</v>
      </c>
      <c r="F948">
        <v>113.29</v>
      </c>
      <c r="G948">
        <v>75.89</v>
      </c>
      <c r="H948">
        <v>80.61</v>
      </c>
      <c r="I948">
        <v>83.08</v>
      </c>
      <c r="J948">
        <v>104.96</v>
      </c>
      <c r="K948">
        <v>24.85</v>
      </c>
      <c r="L948">
        <v>73920.75</v>
      </c>
      <c r="M948">
        <v>43351.83</v>
      </c>
      <c r="N948">
        <v>16.975000000000001</v>
      </c>
      <c r="O948">
        <v>5.4399999999999997E-2</v>
      </c>
      <c r="P948">
        <v>3.1309999999999998</v>
      </c>
      <c r="Q948">
        <v>111.4</v>
      </c>
      <c r="R948">
        <v>45.064</v>
      </c>
      <c r="S948">
        <v>138.05000000000001</v>
      </c>
    </row>
    <row r="949" spans="1:19" x14ac:dyDescent="0.25">
      <c r="A949" s="6">
        <v>45250</v>
      </c>
      <c r="B949">
        <v>74.8</v>
      </c>
      <c r="C949">
        <v>91.56</v>
      </c>
      <c r="D949">
        <v>104.62</v>
      </c>
      <c r="E949">
        <v>110.41</v>
      </c>
      <c r="F949">
        <v>113.29</v>
      </c>
      <c r="G949">
        <v>77.599999999999994</v>
      </c>
      <c r="H949">
        <v>82.32</v>
      </c>
      <c r="I949">
        <v>83.78</v>
      </c>
      <c r="J949">
        <v>104.5</v>
      </c>
      <c r="K949">
        <v>25.35</v>
      </c>
      <c r="L949">
        <v>74321.48</v>
      </c>
      <c r="M949">
        <v>43228.18</v>
      </c>
      <c r="N949">
        <v>17.125</v>
      </c>
      <c r="O949">
        <v>5.45E-2</v>
      </c>
      <c r="P949">
        <v>2.8820000000000001</v>
      </c>
      <c r="Q949">
        <v>112.15</v>
      </c>
      <c r="R949">
        <v>45.82</v>
      </c>
      <c r="S949">
        <v>138</v>
      </c>
    </row>
    <row r="950" spans="1:19" x14ac:dyDescent="0.25">
      <c r="A950" s="6">
        <v>45251</v>
      </c>
      <c r="B950">
        <v>74.8</v>
      </c>
      <c r="C950">
        <v>91.56</v>
      </c>
      <c r="D950">
        <v>104.62</v>
      </c>
      <c r="E950">
        <v>110.41</v>
      </c>
      <c r="F950">
        <v>113.29</v>
      </c>
      <c r="G950">
        <v>77.77</v>
      </c>
      <c r="H950">
        <v>82.45</v>
      </c>
      <c r="I950">
        <v>83.92</v>
      </c>
      <c r="J950">
        <v>104.46</v>
      </c>
      <c r="K950">
        <v>25.1</v>
      </c>
      <c r="L950">
        <v>74270.740000000005</v>
      </c>
      <c r="M950">
        <v>42913.87</v>
      </c>
      <c r="N950">
        <v>16.465</v>
      </c>
      <c r="O950">
        <v>5.3650000000000003E-2</v>
      </c>
      <c r="P950">
        <v>2.8460000000000001</v>
      </c>
      <c r="Q950">
        <v>113.45</v>
      </c>
      <c r="R950">
        <v>44.064999999999998</v>
      </c>
      <c r="S950">
        <v>141.85</v>
      </c>
    </row>
    <row r="951" spans="1:19" x14ac:dyDescent="0.25">
      <c r="A951" s="6">
        <v>45252</v>
      </c>
      <c r="B951">
        <v>74.8</v>
      </c>
      <c r="C951">
        <v>91.56</v>
      </c>
      <c r="D951">
        <v>104.62</v>
      </c>
      <c r="E951">
        <v>110.41</v>
      </c>
      <c r="F951">
        <v>113.29</v>
      </c>
      <c r="G951">
        <v>77.099999999999994</v>
      </c>
      <c r="H951">
        <v>81.96</v>
      </c>
      <c r="I951">
        <v>83.76</v>
      </c>
      <c r="J951">
        <v>104.01</v>
      </c>
      <c r="K951">
        <v>25.2</v>
      </c>
      <c r="L951">
        <v>74763.960000000006</v>
      </c>
      <c r="M951">
        <v>44177.88</v>
      </c>
      <c r="N951">
        <v>16.489999999999998</v>
      </c>
      <c r="O951">
        <v>5.2949999999999997E-2</v>
      </c>
      <c r="P951">
        <v>2.8969999999999998</v>
      </c>
      <c r="Q951">
        <v>114.32</v>
      </c>
      <c r="R951">
        <v>44.615000000000002</v>
      </c>
      <c r="S951">
        <v>143.6</v>
      </c>
    </row>
    <row r="952" spans="1:19" x14ac:dyDescent="0.25">
      <c r="A952" s="6">
        <v>45253</v>
      </c>
      <c r="B952">
        <v>74.8</v>
      </c>
      <c r="C952">
        <v>91.56</v>
      </c>
      <c r="D952">
        <v>104.62</v>
      </c>
      <c r="E952">
        <v>110.41</v>
      </c>
      <c r="F952">
        <v>113.29</v>
      </c>
      <c r="G952">
        <v>76.34</v>
      </c>
      <c r="H952">
        <v>81.42</v>
      </c>
      <c r="I952">
        <v>83.580000000000013</v>
      </c>
      <c r="J952">
        <v>104.28999999999999</v>
      </c>
      <c r="K952">
        <v>25.55</v>
      </c>
      <c r="L952">
        <v>75438.710000000006</v>
      </c>
      <c r="M952">
        <v>43696.55</v>
      </c>
      <c r="N952">
        <v>16.49616064257043</v>
      </c>
      <c r="O952">
        <v>5.3129999999999997E-2</v>
      </c>
      <c r="P952">
        <v>2.93</v>
      </c>
      <c r="Q952">
        <v>114.35499999999999</v>
      </c>
      <c r="R952">
        <v>46.58</v>
      </c>
      <c r="S952">
        <v>145.1</v>
      </c>
    </row>
    <row r="953" spans="1:19" x14ac:dyDescent="0.25">
      <c r="A953" s="6">
        <v>45254</v>
      </c>
      <c r="B953">
        <v>76.819999999999993</v>
      </c>
      <c r="C953">
        <v>94.01</v>
      </c>
      <c r="D953">
        <v>105.44</v>
      </c>
      <c r="E953">
        <v>109.99</v>
      </c>
      <c r="F953">
        <v>111.68</v>
      </c>
      <c r="G953">
        <v>75.540000000000006</v>
      </c>
      <c r="H953">
        <v>80.58</v>
      </c>
      <c r="I953">
        <v>83.4</v>
      </c>
      <c r="J953">
        <v>104.57</v>
      </c>
      <c r="K953">
        <v>25.25</v>
      </c>
      <c r="L953">
        <v>75712.399999999994</v>
      </c>
      <c r="M953">
        <v>44133.26</v>
      </c>
      <c r="N953">
        <v>17.094999999999999</v>
      </c>
      <c r="O953">
        <v>5.3089999999999998E-2</v>
      </c>
      <c r="P953">
        <v>2.855</v>
      </c>
      <c r="Q953">
        <v>114.39</v>
      </c>
      <c r="R953">
        <v>46.655000000000001</v>
      </c>
      <c r="S953">
        <v>142.05000000000001</v>
      </c>
    </row>
    <row r="954" spans="1:19" x14ac:dyDescent="0.25">
      <c r="A954" s="6">
        <v>45257</v>
      </c>
      <c r="B954">
        <v>76.819999999999993</v>
      </c>
      <c r="C954">
        <v>94.01</v>
      </c>
      <c r="D954">
        <v>105.44</v>
      </c>
      <c r="E954">
        <v>109.99</v>
      </c>
      <c r="F954">
        <v>111.68</v>
      </c>
      <c r="G954">
        <v>74.86</v>
      </c>
      <c r="H954">
        <v>79.98</v>
      </c>
      <c r="I954">
        <v>83.32</v>
      </c>
      <c r="J954">
        <v>103.96</v>
      </c>
      <c r="K954">
        <v>25.35</v>
      </c>
      <c r="L954">
        <v>75369.88</v>
      </c>
      <c r="M954">
        <v>45271.519999999997</v>
      </c>
      <c r="N954">
        <v>16.504999999999999</v>
      </c>
      <c r="O954">
        <v>5.3589999999999999E-2</v>
      </c>
      <c r="P954">
        <v>2.794</v>
      </c>
      <c r="Q954">
        <v>113.14</v>
      </c>
      <c r="R954">
        <v>43.984999999999999</v>
      </c>
      <c r="S954">
        <v>144.44999999999999</v>
      </c>
    </row>
    <row r="955" spans="1:19" x14ac:dyDescent="0.25">
      <c r="A955" s="6">
        <v>45258</v>
      </c>
      <c r="B955">
        <v>76.819999999999993</v>
      </c>
      <c r="C955">
        <v>94.01</v>
      </c>
      <c r="D955">
        <v>105.44</v>
      </c>
      <c r="E955">
        <v>109.99</v>
      </c>
      <c r="F955">
        <v>111.68</v>
      </c>
      <c r="G955">
        <v>76.41</v>
      </c>
      <c r="H955">
        <v>81.680000000000007</v>
      </c>
      <c r="I955">
        <v>83.46</v>
      </c>
      <c r="J955">
        <v>103.9</v>
      </c>
      <c r="K955">
        <v>25.05</v>
      </c>
      <c r="L955">
        <v>75589.179999999993</v>
      </c>
      <c r="M955">
        <v>46960.49</v>
      </c>
      <c r="N955">
        <v>16.420000000000002</v>
      </c>
      <c r="O955">
        <v>5.3749999999999999E-2</v>
      </c>
      <c r="P955">
        <v>2.706</v>
      </c>
      <c r="Q955">
        <v>112.78</v>
      </c>
      <c r="R955">
        <v>42.774999999999999</v>
      </c>
      <c r="S955">
        <v>144.44999999999999</v>
      </c>
    </row>
    <row r="956" spans="1:19" x14ac:dyDescent="0.25">
      <c r="A956" s="6">
        <v>45259</v>
      </c>
      <c r="B956">
        <v>76.819999999999993</v>
      </c>
      <c r="C956">
        <v>94.01</v>
      </c>
      <c r="D956">
        <v>105.44</v>
      </c>
      <c r="E956">
        <v>109.99</v>
      </c>
      <c r="F956">
        <v>111.68</v>
      </c>
      <c r="G956">
        <v>77.86</v>
      </c>
      <c r="H956">
        <v>83.1</v>
      </c>
      <c r="I956">
        <v>83.49</v>
      </c>
      <c r="J956">
        <v>102.34</v>
      </c>
      <c r="K956">
        <v>25.3</v>
      </c>
      <c r="L956">
        <v>75241.41</v>
      </c>
      <c r="M956">
        <v>47737.07</v>
      </c>
      <c r="N956">
        <v>16.245000000000001</v>
      </c>
      <c r="O956">
        <v>5.3310000000000003E-2</v>
      </c>
      <c r="P956">
        <v>2.8039999999999998</v>
      </c>
      <c r="Q956">
        <v>112.69</v>
      </c>
      <c r="R956">
        <v>40.36</v>
      </c>
      <c r="S956">
        <v>143.75</v>
      </c>
    </row>
    <row r="957" spans="1:19" x14ac:dyDescent="0.25">
      <c r="A957" s="6">
        <v>45260</v>
      </c>
      <c r="B957">
        <v>76.819999999999993</v>
      </c>
      <c r="C957">
        <v>94.01</v>
      </c>
      <c r="D957">
        <v>105.44</v>
      </c>
      <c r="E957">
        <v>109.99</v>
      </c>
      <c r="F957">
        <v>111.68</v>
      </c>
      <c r="G957">
        <v>75.959999999999994</v>
      </c>
      <c r="H957">
        <v>82.83</v>
      </c>
      <c r="I957">
        <v>83.56</v>
      </c>
      <c r="J957">
        <v>102.74</v>
      </c>
      <c r="K957">
        <v>25.55</v>
      </c>
      <c r="L957">
        <v>75534.36</v>
      </c>
      <c r="M957">
        <v>47965.9</v>
      </c>
      <c r="N957">
        <v>16.135000000000002</v>
      </c>
      <c r="O957">
        <v>5.3019999999999998E-2</v>
      </c>
      <c r="P957">
        <v>2.802</v>
      </c>
      <c r="Q957">
        <v>113.84</v>
      </c>
      <c r="R957">
        <v>42.09</v>
      </c>
      <c r="S957">
        <v>143.85</v>
      </c>
    </row>
    <row r="958" spans="1:19" x14ac:dyDescent="0.25">
      <c r="A958" s="6">
        <v>45261</v>
      </c>
      <c r="B958">
        <v>76.19</v>
      </c>
      <c r="C958">
        <v>93.15</v>
      </c>
      <c r="D958">
        <v>105.08</v>
      </c>
      <c r="E958">
        <v>104.96</v>
      </c>
      <c r="F958">
        <v>110.66</v>
      </c>
      <c r="G958">
        <v>74.069999999999993</v>
      </c>
      <c r="H958">
        <v>78.88</v>
      </c>
      <c r="I958">
        <v>79.44</v>
      </c>
      <c r="J958">
        <v>102.99</v>
      </c>
      <c r="K958">
        <v>25.1</v>
      </c>
      <c r="L958">
        <v>75705.850000000006</v>
      </c>
      <c r="M958">
        <v>48048.82</v>
      </c>
      <c r="N958">
        <v>16.25</v>
      </c>
      <c r="O958">
        <v>5.3600000000000002E-2</v>
      </c>
      <c r="P958">
        <v>2.7730000000000001</v>
      </c>
      <c r="Q958">
        <v>114.24</v>
      </c>
      <c r="R958">
        <v>43.496000000000002</v>
      </c>
      <c r="S958">
        <v>142.69999999999999</v>
      </c>
    </row>
    <row r="959" spans="1:19" x14ac:dyDescent="0.25">
      <c r="A959" s="6">
        <v>45264</v>
      </c>
      <c r="B959">
        <v>76.19</v>
      </c>
      <c r="C959">
        <v>93.15</v>
      </c>
      <c r="D959">
        <v>105.08</v>
      </c>
      <c r="E959">
        <v>104.96</v>
      </c>
      <c r="F959">
        <v>110.66</v>
      </c>
      <c r="G959">
        <v>73.040000000000006</v>
      </c>
      <c r="H959">
        <v>78.03</v>
      </c>
      <c r="I959">
        <v>78.19</v>
      </c>
      <c r="J959">
        <v>102.43</v>
      </c>
      <c r="K959">
        <v>25.6</v>
      </c>
      <c r="L959">
        <v>75941.06</v>
      </c>
      <c r="M959">
        <v>46679.03</v>
      </c>
      <c r="N959">
        <v>16.05</v>
      </c>
      <c r="O959">
        <v>5.3159999999999999E-2</v>
      </c>
      <c r="P959">
        <v>2.6509999999999998</v>
      </c>
      <c r="Q959">
        <v>115.03</v>
      </c>
      <c r="R959">
        <v>40.104999999999997</v>
      </c>
      <c r="S959">
        <v>144.94999999999999</v>
      </c>
    </row>
    <row r="960" spans="1:19" x14ac:dyDescent="0.25">
      <c r="A960" s="6">
        <v>45265</v>
      </c>
      <c r="B960">
        <v>76.19</v>
      </c>
      <c r="C960">
        <v>93.15</v>
      </c>
      <c r="D960">
        <v>105.08</v>
      </c>
      <c r="E960">
        <v>104.96</v>
      </c>
      <c r="F960">
        <v>110.66</v>
      </c>
      <c r="G960">
        <v>72.319999999999993</v>
      </c>
      <c r="H960">
        <v>77.2</v>
      </c>
      <c r="I960">
        <v>77.48</v>
      </c>
      <c r="J960">
        <v>100.44</v>
      </c>
      <c r="K960">
        <v>25.1</v>
      </c>
      <c r="L960">
        <v>75215.490000000005</v>
      </c>
      <c r="M960">
        <v>45817.57</v>
      </c>
      <c r="N960">
        <v>16.059999999999999</v>
      </c>
      <c r="O960">
        <v>5.2729999999999999E-2</v>
      </c>
      <c r="P960">
        <v>2.6669999999999998</v>
      </c>
      <c r="Q960">
        <v>114.08</v>
      </c>
      <c r="R960">
        <v>38.134999999999998</v>
      </c>
      <c r="S960">
        <v>143.85</v>
      </c>
    </row>
    <row r="961" spans="1:19" x14ac:dyDescent="0.25">
      <c r="A961" s="6">
        <v>45266</v>
      </c>
      <c r="B961">
        <v>76.19</v>
      </c>
      <c r="C961">
        <v>93.15</v>
      </c>
      <c r="D961">
        <v>105.08</v>
      </c>
      <c r="E961">
        <v>104.96</v>
      </c>
      <c r="F961">
        <v>110.66</v>
      </c>
      <c r="G961">
        <v>69.38</v>
      </c>
      <c r="H961">
        <v>74.3</v>
      </c>
      <c r="I961">
        <v>75.3</v>
      </c>
      <c r="J961">
        <v>99.11</v>
      </c>
      <c r="K961">
        <v>24.9</v>
      </c>
      <c r="L961">
        <v>75400.62</v>
      </c>
      <c r="M961">
        <v>46027.74</v>
      </c>
      <c r="N961">
        <v>16.004999999999999</v>
      </c>
      <c r="O961">
        <v>5.2729999999999999E-2</v>
      </c>
      <c r="P961">
        <v>2.5169999999999999</v>
      </c>
      <c r="Q961">
        <v>113.08</v>
      </c>
      <c r="R961">
        <v>39.314999999999998</v>
      </c>
      <c r="S961">
        <v>147.75</v>
      </c>
    </row>
    <row r="962" spans="1:19" x14ac:dyDescent="0.25">
      <c r="A962" s="6">
        <v>45267</v>
      </c>
      <c r="B962">
        <v>76.19</v>
      </c>
      <c r="C962">
        <v>93.15</v>
      </c>
      <c r="D962">
        <v>105.08</v>
      </c>
      <c r="E962">
        <v>104.96</v>
      </c>
      <c r="F962">
        <v>110.66</v>
      </c>
      <c r="G962">
        <v>69.34</v>
      </c>
      <c r="H962">
        <v>74.05</v>
      </c>
      <c r="I962">
        <v>75.27</v>
      </c>
      <c r="J962">
        <v>98.42</v>
      </c>
      <c r="K962">
        <v>24.75</v>
      </c>
      <c r="L962">
        <v>74787.039999999994</v>
      </c>
      <c r="M962">
        <v>45693.56</v>
      </c>
      <c r="N962">
        <v>16.05</v>
      </c>
      <c r="O962">
        <v>5.3280000000000001E-2</v>
      </c>
      <c r="P962">
        <v>2.52</v>
      </c>
      <c r="Q962">
        <v>112.53</v>
      </c>
      <c r="R962">
        <v>39.97</v>
      </c>
      <c r="S962">
        <v>157.75</v>
      </c>
    </row>
    <row r="963" spans="1:19" x14ac:dyDescent="0.25">
      <c r="A963" s="6">
        <v>45268</v>
      </c>
      <c r="B963">
        <v>73.959999999999994</v>
      </c>
      <c r="C963">
        <v>89.28</v>
      </c>
      <c r="D963">
        <v>100.27</v>
      </c>
      <c r="E963">
        <v>101.73</v>
      </c>
      <c r="F963">
        <v>108.33</v>
      </c>
      <c r="G963">
        <v>71.23</v>
      </c>
      <c r="H963">
        <v>75.84</v>
      </c>
      <c r="I963">
        <v>76.510000000000005</v>
      </c>
      <c r="J963">
        <v>99.55</v>
      </c>
      <c r="K963">
        <v>24.65</v>
      </c>
      <c r="L963">
        <v>73790.850000000006</v>
      </c>
      <c r="M963">
        <v>45352.02</v>
      </c>
      <c r="N963">
        <v>15.975</v>
      </c>
      <c r="O963">
        <v>5.2729999999999999E-2</v>
      </c>
      <c r="P963">
        <v>2.504</v>
      </c>
      <c r="Q963">
        <v>113.34</v>
      </c>
      <c r="R963">
        <v>38.6</v>
      </c>
      <c r="S963">
        <v>152.69999999999999</v>
      </c>
    </row>
    <row r="964" spans="1:19" x14ac:dyDescent="0.25">
      <c r="A964" s="6">
        <v>45271</v>
      </c>
      <c r="B964">
        <v>73.959999999999994</v>
      </c>
      <c r="C964">
        <v>89.28</v>
      </c>
      <c r="D964">
        <v>100.27</v>
      </c>
      <c r="E964">
        <v>101.73</v>
      </c>
      <c r="F964">
        <v>108.33</v>
      </c>
      <c r="G964">
        <v>71.319999999999993</v>
      </c>
      <c r="H964">
        <v>76.03</v>
      </c>
      <c r="I964">
        <v>76.77</v>
      </c>
      <c r="J964">
        <v>99.62</v>
      </c>
      <c r="K964">
        <v>24.85</v>
      </c>
      <c r="L964">
        <v>73892.3</v>
      </c>
      <c r="M964">
        <v>45537.19</v>
      </c>
      <c r="N964">
        <v>15.744999999999999</v>
      </c>
      <c r="O964">
        <v>5.2409999999999998E-2</v>
      </c>
      <c r="P964">
        <v>2.35</v>
      </c>
      <c r="Q964">
        <v>116.14</v>
      </c>
      <c r="R964">
        <v>36.119999999999997</v>
      </c>
      <c r="S964">
        <v>153.6</v>
      </c>
    </row>
    <row r="965" spans="1:19" x14ac:dyDescent="0.25">
      <c r="A965" s="6">
        <v>45272</v>
      </c>
      <c r="B965">
        <v>73.959999999999994</v>
      </c>
      <c r="C965">
        <v>89.28</v>
      </c>
      <c r="D965">
        <v>100.27</v>
      </c>
      <c r="E965">
        <v>101.73</v>
      </c>
      <c r="F965">
        <v>108.33</v>
      </c>
      <c r="G965">
        <v>68.61</v>
      </c>
      <c r="H965">
        <v>73.239999999999995</v>
      </c>
      <c r="I965">
        <v>74.98</v>
      </c>
      <c r="J965">
        <v>98.05</v>
      </c>
      <c r="K965">
        <v>24.65</v>
      </c>
      <c r="L965">
        <v>72621.84</v>
      </c>
      <c r="M965">
        <v>44573.54</v>
      </c>
      <c r="N965">
        <v>15.615</v>
      </c>
      <c r="O965">
        <v>5.2729999999999999E-2</v>
      </c>
      <c r="P965">
        <v>2.3109999999999999</v>
      </c>
      <c r="Q965">
        <v>117.93</v>
      </c>
      <c r="R965">
        <v>34.704999999999998</v>
      </c>
      <c r="S965">
        <v>151.30000000000001</v>
      </c>
    </row>
    <row r="966" spans="1:19" x14ac:dyDescent="0.25">
      <c r="A966" s="6">
        <v>45273</v>
      </c>
      <c r="B966">
        <v>73.959999999999994</v>
      </c>
      <c r="C966">
        <v>89.28</v>
      </c>
      <c r="D966">
        <v>100.27</v>
      </c>
      <c r="E966">
        <v>101.73</v>
      </c>
      <c r="F966">
        <v>108.33</v>
      </c>
      <c r="G966">
        <v>69.47</v>
      </c>
      <c r="H966">
        <v>74.260000000000005</v>
      </c>
      <c r="I966">
        <v>74.87</v>
      </c>
      <c r="J966">
        <v>98.92</v>
      </c>
      <c r="K966">
        <v>24.55</v>
      </c>
      <c r="L966">
        <v>72640.509999999995</v>
      </c>
      <c r="M966">
        <v>43675.29</v>
      </c>
      <c r="N966">
        <v>15.455</v>
      </c>
      <c r="O966">
        <v>5.3519999999999998E-2</v>
      </c>
      <c r="P966">
        <v>2.335</v>
      </c>
      <c r="Q966">
        <v>121.54</v>
      </c>
      <c r="R966">
        <v>35.81</v>
      </c>
      <c r="S966">
        <v>153.1</v>
      </c>
    </row>
    <row r="967" spans="1:19" x14ac:dyDescent="0.25">
      <c r="A967" s="6">
        <v>45274</v>
      </c>
      <c r="B967">
        <v>73.959999999999994</v>
      </c>
      <c r="C967">
        <v>89.28</v>
      </c>
      <c r="D967">
        <v>100.27</v>
      </c>
      <c r="E967">
        <v>101.73</v>
      </c>
      <c r="F967">
        <v>108.33</v>
      </c>
      <c r="G967">
        <v>71.58</v>
      </c>
      <c r="H967">
        <v>76.61</v>
      </c>
      <c r="I967">
        <v>76.3</v>
      </c>
      <c r="J967">
        <v>101.58</v>
      </c>
      <c r="K967">
        <v>24.45</v>
      </c>
      <c r="L967">
        <v>75289.86</v>
      </c>
      <c r="M967">
        <v>48879.54</v>
      </c>
      <c r="N967">
        <v>15.324999999999999</v>
      </c>
      <c r="O967">
        <v>5.4539999999999998E-2</v>
      </c>
      <c r="P967">
        <v>2.3919999999999999</v>
      </c>
      <c r="Q967">
        <v>123.33</v>
      </c>
      <c r="R967">
        <v>34.85</v>
      </c>
      <c r="S967">
        <v>152.55000000000001</v>
      </c>
    </row>
    <row r="968" spans="1:19" x14ac:dyDescent="0.25">
      <c r="A968" s="6">
        <v>45275</v>
      </c>
      <c r="B968">
        <v>70.8</v>
      </c>
      <c r="C968">
        <v>86.89</v>
      </c>
      <c r="D968">
        <v>98.24</v>
      </c>
      <c r="E968">
        <v>99.81</v>
      </c>
      <c r="F968">
        <v>104.07</v>
      </c>
      <c r="G968">
        <v>71.430000000000007</v>
      </c>
      <c r="H968">
        <v>76.55</v>
      </c>
      <c r="I968">
        <v>76.34</v>
      </c>
      <c r="J968">
        <v>100.9</v>
      </c>
      <c r="K968">
        <v>24.9</v>
      </c>
      <c r="L968">
        <v>73524.705793992151</v>
      </c>
      <c r="M968">
        <v>46192.661030042917</v>
      </c>
      <c r="N968">
        <v>15.196999999999999</v>
      </c>
      <c r="O968">
        <v>5.4469999999999998E-2</v>
      </c>
      <c r="P968">
        <v>2.4910000000000001</v>
      </c>
      <c r="Q968">
        <v>123.1</v>
      </c>
      <c r="R968">
        <v>33.19</v>
      </c>
      <c r="S968">
        <v>151</v>
      </c>
    </row>
    <row r="969" spans="1:19" x14ac:dyDescent="0.25">
      <c r="A969" s="6">
        <v>45278</v>
      </c>
      <c r="B969">
        <v>70.8</v>
      </c>
      <c r="C969">
        <v>86.89</v>
      </c>
      <c r="D969">
        <v>98.24</v>
      </c>
      <c r="E969">
        <v>99.81</v>
      </c>
      <c r="F969">
        <v>104.07</v>
      </c>
      <c r="G969">
        <v>72.47</v>
      </c>
      <c r="H969">
        <v>77.95</v>
      </c>
      <c r="I969">
        <v>76.72</v>
      </c>
      <c r="J969">
        <v>101.65</v>
      </c>
      <c r="K969">
        <v>25.25</v>
      </c>
      <c r="L969">
        <v>74301.59</v>
      </c>
      <c r="M969">
        <v>48948.42</v>
      </c>
      <c r="N969">
        <v>12.395</v>
      </c>
      <c r="O969">
        <v>5.3789999999999998E-2</v>
      </c>
      <c r="P969">
        <v>2.5030000000000001</v>
      </c>
      <c r="Q969">
        <v>123.56</v>
      </c>
      <c r="R969">
        <v>35.520000000000003</v>
      </c>
      <c r="S969">
        <v>153.1</v>
      </c>
    </row>
    <row r="970" spans="1:19" x14ac:dyDescent="0.25">
      <c r="A970" s="6">
        <v>45279</v>
      </c>
      <c r="B970">
        <v>70.8</v>
      </c>
      <c r="C970">
        <v>86.89</v>
      </c>
      <c r="D970">
        <v>98.24</v>
      </c>
      <c r="E970">
        <v>99.81</v>
      </c>
      <c r="F970">
        <v>104.07</v>
      </c>
      <c r="G970">
        <v>73.44</v>
      </c>
      <c r="H970">
        <v>79.23</v>
      </c>
      <c r="I970">
        <v>77.19</v>
      </c>
      <c r="J970">
        <v>102.99</v>
      </c>
      <c r="K970">
        <v>25.1</v>
      </c>
      <c r="L970">
        <v>74842.59</v>
      </c>
      <c r="M970">
        <v>50602.19</v>
      </c>
      <c r="N970">
        <v>11.775</v>
      </c>
      <c r="O970">
        <v>5.4550000000000001E-2</v>
      </c>
      <c r="P970">
        <v>2.492</v>
      </c>
      <c r="Q970">
        <v>123.77</v>
      </c>
      <c r="R970">
        <v>32.57</v>
      </c>
      <c r="S970">
        <v>154.19999999999999</v>
      </c>
    </row>
    <row r="971" spans="1:19" x14ac:dyDescent="0.25">
      <c r="A971" s="6">
        <v>45280</v>
      </c>
      <c r="B971">
        <v>70.8</v>
      </c>
      <c r="C971">
        <v>86.89</v>
      </c>
      <c r="D971">
        <v>98.24</v>
      </c>
      <c r="E971">
        <v>99.81</v>
      </c>
      <c r="F971">
        <v>104.07</v>
      </c>
      <c r="G971">
        <v>74.22</v>
      </c>
      <c r="H971">
        <v>79.7</v>
      </c>
      <c r="I971">
        <v>77.36</v>
      </c>
      <c r="J971">
        <v>101.27</v>
      </c>
      <c r="K971">
        <v>25.3</v>
      </c>
      <c r="L971">
        <v>74893.5</v>
      </c>
      <c r="M971">
        <v>50094.9</v>
      </c>
      <c r="N971">
        <v>11.81</v>
      </c>
      <c r="O971">
        <v>5.4519999999999999E-2</v>
      </c>
      <c r="P971">
        <v>2.4470000000000001</v>
      </c>
      <c r="Q971">
        <v>122.36</v>
      </c>
      <c r="R971">
        <v>33.520000000000003</v>
      </c>
      <c r="S971">
        <v>143.94999999999999</v>
      </c>
    </row>
    <row r="972" spans="1:19" x14ac:dyDescent="0.25">
      <c r="A972" s="6">
        <v>45281</v>
      </c>
      <c r="B972">
        <v>70.8</v>
      </c>
      <c r="C972">
        <v>86.89</v>
      </c>
      <c r="D972">
        <v>98.24</v>
      </c>
      <c r="E972">
        <v>99.81</v>
      </c>
      <c r="F972">
        <v>104.07</v>
      </c>
      <c r="G972">
        <v>73.89</v>
      </c>
      <c r="H972">
        <v>79.39</v>
      </c>
      <c r="I972">
        <v>77.27</v>
      </c>
      <c r="J972">
        <v>101.73</v>
      </c>
      <c r="K972">
        <v>25.35</v>
      </c>
      <c r="L972">
        <v>75412.929999999993</v>
      </c>
      <c r="M972">
        <v>50664.75</v>
      </c>
      <c r="N972">
        <v>11.935</v>
      </c>
      <c r="O972">
        <v>5.4460000000000001E-2</v>
      </c>
      <c r="P972">
        <v>2.5720000000000001</v>
      </c>
      <c r="Q972">
        <v>124.23</v>
      </c>
      <c r="R972">
        <v>34.204999999999998</v>
      </c>
      <c r="S972">
        <v>147.1</v>
      </c>
    </row>
    <row r="973" spans="1:19" x14ac:dyDescent="0.25">
      <c r="A973" s="6">
        <v>45282</v>
      </c>
      <c r="B973">
        <v>70.349999999999994</v>
      </c>
      <c r="C973">
        <v>86.36</v>
      </c>
      <c r="D973">
        <v>97.18</v>
      </c>
      <c r="E973">
        <v>97.99</v>
      </c>
      <c r="F973">
        <v>103.44</v>
      </c>
      <c r="G973">
        <v>73.56</v>
      </c>
      <c r="H973">
        <v>79.069999999999993</v>
      </c>
      <c r="I973">
        <v>77.290000000000006</v>
      </c>
      <c r="J973">
        <v>101.91</v>
      </c>
      <c r="K973">
        <v>25.95</v>
      </c>
      <c r="L973">
        <v>74379.570000000007</v>
      </c>
      <c r="M973">
        <v>50734.39</v>
      </c>
      <c r="N973">
        <v>11.945</v>
      </c>
      <c r="O973">
        <v>5.4179999999999999E-2</v>
      </c>
      <c r="P973">
        <v>2.61</v>
      </c>
      <c r="Q973">
        <v>125.72</v>
      </c>
      <c r="R973">
        <v>34.173999999999999</v>
      </c>
      <c r="S973">
        <v>152.55000000000001</v>
      </c>
    </row>
    <row r="974" spans="1:19" x14ac:dyDescent="0.25">
      <c r="A974" s="6">
        <v>45285</v>
      </c>
      <c r="B974">
        <v>70.349999999999994</v>
      </c>
      <c r="C974">
        <v>86.36</v>
      </c>
      <c r="D974">
        <v>97.18</v>
      </c>
      <c r="E974">
        <v>97.99</v>
      </c>
      <c r="F974">
        <v>103.44</v>
      </c>
      <c r="G974">
        <v>73.790000000000006</v>
      </c>
      <c r="H974">
        <v>80.069999999999993</v>
      </c>
      <c r="I974">
        <v>77.44</v>
      </c>
      <c r="J974">
        <v>102.02500000000001</v>
      </c>
      <c r="K974">
        <v>26.006756756756658</v>
      </c>
      <c r="L974">
        <v>75675.081803735346</v>
      </c>
      <c r="M974">
        <v>53393.137738082558</v>
      </c>
      <c r="N974">
        <v>9.8272702702670358</v>
      </c>
      <c r="O974">
        <v>5.4260000000000003E-2</v>
      </c>
      <c r="P974">
        <v>2.4180000000000001</v>
      </c>
      <c r="Q974">
        <v>126.185</v>
      </c>
      <c r="R974">
        <v>34.174499999999995</v>
      </c>
      <c r="S974">
        <v>156.4</v>
      </c>
    </row>
    <row r="975" spans="1:19" x14ac:dyDescent="0.25">
      <c r="A975" s="6">
        <v>45286</v>
      </c>
      <c r="B975">
        <v>70.349999999999994</v>
      </c>
      <c r="C975">
        <v>86.36</v>
      </c>
      <c r="D975">
        <v>97.18</v>
      </c>
      <c r="E975">
        <v>97.99</v>
      </c>
      <c r="F975">
        <v>103.44</v>
      </c>
      <c r="G975">
        <v>75.569999999999993</v>
      </c>
      <c r="H975">
        <v>81.069999999999993</v>
      </c>
      <c r="I975">
        <v>77.59</v>
      </c>
      <c r="J975">
        <v>102.14</v>
      </c>
      <c r="K975">
        <v>26.199897735573359</v>
      </c>
      <c r="L975">
        <v>75673.942100527696</v>
      </c>
      <c r="M975">
        <v>53571.86371942237</v>
      </c>
      <c r="N975">
        <v>11.945</v>
      </c>
      <c r="O975">
        <v>5.364E-2</v>
      </c>
      <c r="P975">
        <v>2.5499999999999998</v>
      </c>
      <c r="Q975">
        <v>126.65</v>
      </c>
      <c r="R975">
        <v>34.174999999999997</v>
      </c>
      <c r="S975">
        <v>156.4</v>
      </c>
    </row>
    <row r="976" spans="1:19" x14ac:dyDescent="0.25">
      <c r="A976" s="6">
        <v>45287</v>
      </c>
      <c r="B976">
        <v>70.349999999999994</v>
      </c>
      <c r="C976">
        <v>86.36</v>
      </c>
      <c r="D976">
        <v>97.18</v>
      </c>
      <c r="E976">
        <v>97.99</v>
      </c>
      <c r="F976">
        <v>103.44</v>
      </c>
      <c r="G976">
        <v>74.11</v>
      </c>
      <c r="H976">
        <v>79.650000000000006</v>
      </c>
      <c r="I976">
        <v>77.39</v>
      </c>
      <c r="J976">
        <v>101.66</v>
      </c>
      <c r="K976">
        <v>26.3</v>
      </c>
      <c r="L976">
        <v>76657.94</v>
      </c>
      <c r="M976">
        <v>52207.55</v>
      </c>
      <c r="N976">
        <v>11.87</v>
      </c>
      <c r="O976">
        <v>5.4370000000000002E-2</v>
      </c>
      <c r="P976">
        <v>2.6190000000000002</v>
      </c>
      <c r="Q976">
        <v>127.79</v>
      </c>
      <c r="R976">
        <v>35.515000000000001</v>
      </c>
      <c r="S976">
        <v>154.75</v>
      </c>
    </row>
    <row r="977" spans="1:19" x14ac:dyDescent="0.25">
      <c r="A977" s="6">
        <v>45288</v>
      </c>
      <c r="B977">
        <v>70.349999999999994</v>
      </c>
      <c r="C977">
        <v>86.36</v>
      </c>
      <c r="D977">
        <v>97.18</v>
      </c>
      <c r="E977">
        <v>97.99</v>
      </c>
      <c r="F977">
        <v>103.44</v>
      </c>
      <c r="G977">
        <v>71.77</v>
      </c>
      <c r="H977">
        <v>78.39</v>
      </c>
      <c r="I977">
        <v>77.290000000000006</v>
      </c>
      <c r="J977">
        <v>100.19</v>
      </c>
      <c r="K977">
        <v>26.35</v>
      </c>
      <c r="L977">
        <v>76485.73</v>
      </c>
      <c r="M977">
        <v>50762.19</v>
      </c>
      <c r="N977">
        <v>11.725</v>
      </c>
      <c r="O977">
        <v>5.3870000000000001E-2</v>
      </c>
      <c r="P977">
        <v>2.5569999999999999</v>
      </c>
      <c r="Q977">
        <v>128.6</v>
      </c>
      <c r="R977">
        <v>33.104999999999997</v>
      </c>
      <c r="S977">
        <v>161.5</v>
      </c>
    </row>
    <row r="978" spans="1:19" x14ac:dyDescent="0.25">
      <c r="A978" s="6">
        <v>45289</v>
      </c>
      <c r="B978">
        <v>70.83</v>
      </c>
      <c r="C978">
        <v>84.89</v>
      </c>
      <c r="D978">
        <v>97.04</v>
      </c>
      <c r="E978">
        <v>97.56</v>
      </c>
      <c r="F978">
        <v>103.05</v>
      </c>
      <c r="G978">
        <v>71.650000000000006</v>
      </c>
      <c r="H978">
        <v>77.040000000000006</v>
      </c>
      <c r="I978">
        <v>77.33</v>
      </c>
      <c r="J978">
        <v>99.98</v>
      </c>
      <c r="K978">
        <v>26.75</v>
      </c>
      <c r="L978">
        <v>76893.149999999994</v>
      </c>
      <c r="M978">
        <v>49946.59</v>
      </c>
      <c r="N978">
        <v>11.52</v>
      </c>
      <c r="O978">
        <v>5.4609999999999999E-2</v>
      </c>
      <c r="P978">
        <v>2.5139999999999998</v>
      </c>
      <c r="Q978">
        <v>128.43</v>
      </c>
      <c r="R978">
        <v>32.35</v>
      </c>
      <c r="S978">
        <v>168</v>
      </c>
    </row>
    <row r="979" spans="1:19" x14ac:dyDescent="0.25">
      <c r="A979" s="6">
        <v>45292</v>
      </c>
      <c r="B979">
        <v>70.83</v>
      </c>
      <c r="C979">
        <v>84.89</v>
      </c>
      <c r="D979">
        <v>97.04</v>
      </c>
      <c r="E979">
        <v>97.56</v>
      </c>
      <c r="F979">
        <v>103.05</v>
      </c>
      <c r="G979">
        <v>71.97</v>
      </c>
      <c r="H979">
        <v>76.465000000000003</v>
      </c>
      <c r="I979">
        <v>76.650000000000006</v>
      </c>
      <c r="J979">
        <v>101.17</v>
      </c>
      <c r="K979">
        <v>26.861783112551166</v>
      </c>
      <c r="L979">
        <v>78071.229375546798</v>
      </c>
      <c r="M979">
        <v>50912.584408673458</v>
      </c>
      <c r="N979">
        <v>11.623525931336872</v>
      </c>
      <c r="O979">
        <v>5.4629999999999998E-2</v>
      </c>
      <c r="P979">
        <v>2.6669999999999998</v>
      </c>
      <c r="Q979">
        <v>127.44</v>
      </c>
      <c r="R979">
        <v>31.46</v>
      </c>
      <c r="S979">
        <v>168</v>
      </c>
    </row>
    <row r="980" spans="1:19" x14ac:dyDescent="0.25">
      <c r="A980" s="6">
        <v>45293</v>
      </c>
      <c r="B980">
        <v>70.83</v>
      </c>
      <c r="C980">
        <v>84.89</v>
      </c>
      <c r="D980">
        <v>97.04</v>
      </c>
      <c r="E980">
        <v>94.75</v>
      </c>
      <c r="F980">
        <v>103.05</v>
      </c>
      <c r="G980">
        <v>70.38</v>
      </c>
      <c r="H980">
        <v>75.89</v>
      </c>
      <c r="I980">
        <v>75.97</v>
      </c>
      <c r="J980">
        <v>102.36</v>
      </c>
      <c r="K980">
        <v>27.5</v>
      </c>
      <c r="L980">
        <v>75709.14</v>
      </c>
      <c r="M980">
        <v>48660.02</v>
      </c>
      <c r="N980">
        <v>11.494999999999999</v>
      </c>
      <c r="O980">
        <v>5.3830000000000003E-2</v>
      </c>
      <c r="P980">
        <v>2.5680000000000001</v>
      </c>
      <c r="Q980">
        <v>126.45</v>
      </c>
      <c r="R980">
        <v>30.57</v>
      </c>
      <c r="S980">
        <v>165.95</v>
      </c>
    </row>
    <row r="981" spans="1:19" x14ac:dyDescent="0.25">
      <c r="A981" s="6">
        <v>45294</v>
      </c>
      <c r="B981">
        <v>70.83</v>
      </c>
      <c r="C981">
        <v>84.89</v>
      </c>
      <c r="D981">
        <v>97.04</v>
      </c>
      <c r="E981">
        <v>94.75</v>
      </c>
      <c r="F981">
        <v>103.05</v>
      </c>
      <c r="G981">
        <v>72.7</v>
      </c>
      <c r="H981">
        <v>78.25</v>
      </c>
      <c r="I981">
        <v>78.2</v>
      </c>
      <c r="J981">
        <v>103.22</v>
      </c>
      <c r="K981">
        <v>27.65</v>
      </c>
      <c r="L981">
        <v>74510.720000000001</v>
      </c>
      <c r="M981">
        <v>46173.52</v>
      </c>
      <c r="N981">
        <v>11.5</v>
      </c>
      <c r="O981">
        <v>5.339E-2</v>
      </c>
      <c r="P981">
        <v>2.6680000000000001</v>
      </c>
      <c r="Q981">
        <v>124.81</v>
      </c>
      <c r="R981">
        <v>32.795000000000002</v>
      </c>
      <c r="S981">
        <v>163.15</v>
      </c>
    </row>
    <row r="982" spans="1:19" x14ac:dyDescent="0.25">
      <c r="A982" s="6">
        <v>45295</v>
      </c>
      <c r="B982">
        <v>70.83</v>
      </c>
      <c r="C982">
        <v>84.89</v>
      </c>
      <c r="D982">
        <v>97.04</v>
      </c>
      <c r="E982">
        <v>94.75</v>
      </c>
      <c r="F982">
        <v>103.05</v>
      </c>
      <c r="G982">
        <v>72.19</v>
      </c>
      <c r="H982">
        <v>77.59</v>
      </c>
      <c r="I982">
        <v>77.14</v>
      </c>
      <c r="J982">
        <v>102.32</v>
      </c>
      <c r="K982">
        <v>28.2</v>
      </c>
      <c r="L982">
        <v>74522.490000000005</v>
      </c>
      <c r="M982">
        <v>45511.88</v>
      </c>
      <c r="N982">
        <v>11.555</v>
      </c>
      <c r="O982">
        <v>5.3429999999999998E-2</v>
      </c>
      <c r="P982">
        <v>2.8210000000000002</v>
      </c>
      <c r="Q982">
        <v>125.62</v>
      </c>
      <c r="R982">
        <v>33.409999999999997</v>
      </c>
      <c r="S982">
        <v>165.95</v>
      </c>
    </row>
    <row r="983" spans="1:19" x14ac:dyDescent="0.25">
      <c r="A983" s="6">
        <v>45296</v>
      </c>
      <c r="B983">
        <v>70.58</v>
      </c>
      <c r="C983">
        <v>84.87</v>
      </c>
      <c r="D983">
        <v>96.54</v>
      </c>
      <c r="E983">
        <v>94.75</v>
      </c>
      <c r="F983">
        <v>102.62</v>
      </c>
      <c r="G983">
        <v>73.81</v>
      </c>
      <c r="H983">
        <v>78.760000000000005</v>
      </c>
      <c r="I983">
        <v>78.290000000000006</v>
      </c>
      <c r="J983">
        <v>102.63</v>
      </c>
      <c r="K983">
        <v>28.1</v>
      </c>
      <c r="L983">
        <v>74488.2</v>
      </c>
      <c r="M983">
        <v>45269.93</v>
      </c>
      <c r="N983">
        <v>11.565</v>
      </c>
      <c r="O983">
        <v>5.3499999999999999E-2</v>
      </c>
      <c r="P983">
        <v>2.8929999999999998</v>
      </c>
      <c r="Q983">
        <v>125.79</v>
      </c>
      <c r="R983">
        <v>34.549999999999997</v>
      </c>
      <c r="S983">
        <v>164.2</v>
      </c>
    </row>
    <row r="984" spans="1:19" x14ac:dyDescent="0.25">
      <c r="A984" s="6">
        <v>45299</v>
      </c>
      <c r="B984">
        <v>70.58</v>
      </c>
      <c r="C984">
        <v>84.87</v>
      </c>
      <c r="D984">
        <v>96.54</v>
      </c>
      <c r="E984">
        <v>96.94</v>
      </c>
      <c r="F984">
        <v>102.62</v>
      </c>
      <c r="G984">
        <v>70.77</v>
      </c>
      <c r="H984">
        <v>76.12</v>
      </c>
      <c r="I984">
        <v>76.16</v>
      </c>
      <c r="J984">
        <v>100.92</v>
      </c>
      <c r="K984">
        <v>28.2</v>
      </c>
      <c r="L984">
        <v>74103.23</v>
      </c>
      <c r="M984">
        <v>44412.800000000003</v>
      </c>
      <c r="N984">
        <v>11.48</v>
      </c>
      <c r="O984">
        <v>5.373E-2</v>
      </c>
      <c r="P984">
        <v>2.98</v>
      </c>
      <c r="Q984">
        <v>128.41</v>
      </c>
      <c r="R984">
        <v>31.58</v>
      </c>
      <c r="S984">
        <v>160.9</v>
      </c>
    </row>
    <row r="985" spans="1:19" x14ac:dyDescent="0.25">
      <c r="A985" s="6">
        <v>45300</v>
      </c>
      <c r="B985">
        <v>70.58</v>
      </c>
      <c r="C985">
        <v>84.87</v>
      </c>
      <c r="D985">
        <v>96.54</v>
      </c>
      <c r="E985">
        <v>96.94</v>
      </c>
      <c r="F985">
        <v>102.62</v>
      </c>
      <c r="G985">
        <v>72.239999999999995</v>
      </c>
      <c r="H985">
        <v>77.59</v>
      </c>
      <c r="I985">
        <v>77.41</v>
      </c>
      <c r="J985">
        <v>99.67</v>
      </c>
      <c r="K985">
        <v>28.5</v>
      </c>
      <c r="L985">
        <v>73826.149999999994</v>
      </c>
      <c r="M985">
        <v>43746.12</v>
      </c>
      <c r="N985">
        <v>11.3</v>
      </c>
      <c r="O985">
        <v>5.3460000000000001E-2</v>
      </c>
      <c r="P985">
        <v>3.19</v>
      </c>
      <c r="Q985">
        <v>127.04</v>
      </c>
      <c r="R985">
        <v>30.64</v>
      </c>
      <c r="S985">
        <v>162.85</v>
      </c>
    </row>
    <row r="986" spans="1:19" x14ac:dyDescent="0.25">
      <c r="A986" s="6">
        <v>45301</v>
      </c>
      <c r="B986">
        <v>70.58</v>
      </c>
      <c r="C986">
        <v>84.87</v>
      </c>
      <c r="D986">
        <v>96.54</v>
      </c>
      <c r="E986">
        <v>96.94</v>
      </c>
      <c r="F986">
        <v>102.62</v>
      </c>
      <c r="G986">
        <v>71.37</v>
      </c>
      <c r="H986">
        <v>76.8</v>
      </c>
      <c r="I986">
        <v>77.040000000000006</v>
      </c>
      <c r="J986">
        <v>98.69</v>
      </c>
      <c r="K986">
        <v>28.65</v>
      </c>
      <c r="L986">
        <v>73586.98</v>
      </c>
      <c r="M986">
        <v>43357.79</v>
      </c>
      <c r="N986">
        <v>11.285</v>
      </c>
      <c r="O986">
        <v>5.3499999999999999E-2</v>
      </c>
      <c r="P986">
        <v>3.0390000000000001</v>
      </c>
      <c r="Q986">
        <v>127.65</v>
      </c>
      <c r="R986">
        <v>30.94</v>
      </c>
      <c r="S986">
        <v>164.05</v>
      </c>
    </row>
    <row r="987" spans="1:19" x14ac:dyDescent="0.25">
      <c r="A987" s="6">
        <v>45302</v>
      </c>
      <c r="B987">
        <v>70.58</v>
      </c>
      <c r="C987">
        <v>84.87</v>
      </c>
      <c r="D987">
        <v>96.54</v>
      </c>
      <c r="E987">
        <v>96.94</v>
      </c>
      <c r="F987">
        <v>102.62</v>
      </c>
      <c r="G987">
        <v>72.02</v>
      </c>
      <c r="H987">
        <v>77.41</v>
      </c>
      <c r="I987">
        <v>77.48</v>
      </c>
      <c r="J987">
        <v>98.67</v>
      </c>
      <c r="K987">
        <v>27.8</v>
      </c>
      <c r="L987">
        <v>73834.28</v>
      </c>
      <c r="M987">
        <v>43473.14</v>
      </c>
      <c r="N987">
        <v>11.244999999999999</v>
      </c>
      <c r="O987">
        <v>5.3629999999999997E-2</v>
      </c>
      <c r="P987">
        <v>3.097</v>
      </c>
      <c r="Q987">
        <v>126.77</v>
      </c>
      <c r="R987">
        <v>30.815000000000001</v>
      </c>
      <c r="S987">
        <v>166.9</v>
      </c>
    </row>
    <row r="988" spans="1:19" x14ac:dyDescent="0.25">
      <c r="A988" s="6">
        <v>45303</v>
      </c>
      <c r="B988">
        <v>68.88</v>
      </c>
      <c r="C988">
        <v>84.49</v>
      </c>
      <c r="D988">
        <v>94.3</v>
      </c>
      <c r="E988">
        <v>96.94</v>
      </c>
      <c r="F988">
        <v>101.8</v>
      </c>
      <c r="G988">
        <v>72.680000000000007</v>
      </c>
      <c r="H988">
        <v>78.290000000000006</v>
      </c>
      <c r="I988">
        <v>77.88</v>
      </c>
      <c r="J988">
        <v>99.95</v>
      </c>
      <c r="K988">
        <v>28.4</v>
      </c>
      <c r="L988">
        <v>74240.759999999995</v>
      </c>
      <c r="M988">
        <v>45277.56</v>
      </c>
      <c r="N988">
        <v>11.2</v>
      </c>
      <c r="O988">
        <v>5.3699999999999998E-2</v>
      </c>
      <c r="P988">
        <v>3.3130000000000002</v>
      </c>
      <c r="Q988">
        <v>126.96</v>
      </c>
      <c r="R988">
        <v>31.99</v>
      </c>
      <c r="S988">
        <v>164.4</v>
      </c>
    </row>
    <row r="989" spans="1:19" x14ac:dyDescent="0.25">
      <c r="A989" s="6">
        <v>45306</v>
      </c>
      <c r="B989">
        <v>68.88</v>
      </c>
      <c r="C989">
        <v>84.49</v>
      </c>
      <c r="D989">
        <v>94.3</v>
      </c>
      <c r="E989">
        <v>96.23</v>
      </c>
      <c r="F989">
        <v>101.8</v>
      </c>
      <c r="G989">
        <v>72.790000000000006</v>
      </c>
      <c r="H989">
        <v>78.150000000000006</v>
      </c>
      <c r="I989">
        <v>77.789999999999992</v>
      </c>
      <c r="J989">
        <v>98.82</v>
      </c>
      <c r="K989">
        <v>28.55</v>
      </c>
      <c r="L989">
        <v>73675.740000000005</v>
      </c>
      <c r="M989">
        <v>45268.07</v>
      </c>
      <c r="N989">
        <v>11.022162162161749</v>
      </c>
      <c r="O989">
        <v>5.3490000000000003E-2</v>
      </c>
      <c r="P989">
        <v>3.0659999999999998</v>
      </c>
      <c r="Q989">
        <v>126.495</v>
      </c>
      <c r="R989">
        <v>29.914999999999999</v>
      </c>
      <c r="S989">
        <v>163.65</v>
      </c>
    </row>
    <row r="990" spans="1:19" x14ac:dyDescent="0.25">
      <c r="A990" s="6">
        <v>45307</v>
      </c>
      <c r="B990">
        <v>68.88</v>
      </c>
      <c r="C990">
        <v>84.49</v>
      </c>
      <c r="D990">
        <v>94.3</v>
      </c>
      <c r="E990">
        <v>96.23</v>
      </c>
      <c r="F990">
        <v>101.8</v>
      </c>
      <c r="G990">
        <v>72.400000000000006</v>
      </c>
      <c r="H990">
        <v>78.290000000000006</v>
      </c>
      <c r="I990">
        <v>77.7</v>
      </c>
      <c r="J990">
        <v>97.69</v>
      </c>
      <c r="K990">
        <v>28.45</v>
      </c>
      <c r="L990">
        <v>73007.62</v>
      </c>
      <c r="M990">
        <v>44252.01</v>
      </c>
      <c r="N990">
        <v>10.025</v>
      </c>
      <c r="O990">
        <v>5.2690000000000001E-2</v>
      </c>
      <c r="P990">
        <v>2.9</v>
      </c>
      <c r="Q990">
        <v>126.03</v>
      </c>
      <c r="R990">
        <v>29.655000000000001</v>
      </c>
      <c r="S990">
        <v>164.1</v>
      </c>
    </row>
    <row r="991" spans="1:19" x14ac:dyDescent="0.25">
      <c r="A991" s="6">
        <v>45308</v>
      </c>
      <c r="B991">
        <v>68.88</v>
      </c>
      <c r="C991">
        <v>84.49</v>
      </c>
      <c r="D991">
        <v>94.3</v>
      </c>
      <c r="E991">
        <v>96.23</v>
      </c>
      <c r="F991">
        <v>101.8</v>
      </c>
      <c r="G991">
        <v>72.56</v>
      </c>
      <c r="H991">
        <v>77.88</v>
      </c>
      <c r="I991">
        <v>77.45</v>
      </c>
      <c r="J991">
        <v>96.98</v>
      </c>
      <c r="K991">
        <v>27.8</v>
      </c>
      <c r="L991">
        <v>71693.09</v>
      </c>
      <c r="M991">
        <v>42706.79</v>
      </c>
      <c r="N991">
        <v>9.5500000000000007</v>
      </c>
      <c r="O991">
        <v>5.2449999999999997E-2</v>
      </c>
      <c r="P991">
        <v>2.87</v>
      </c>
      <c r="Q991">
        <v>125.83</v>
      </c>
      <c r="R991">
        <v>27.71</v>
      </c>
      <c r="S991">
        <v>147.25</v>
      </c>
    </row>
    <row r="992" spans="1:19" x14ac:dyDescent="0.25">
      <c r="A992" s="6">
        <v>45309</v>
      </c>
      <c r="B992">
        <v>68.88</v>
      </c>
      <c r="C992">
        <v>84.49</v>
      </c>
      <c r="D992">
        <v>94.3</v>
      </c>
      <c r="E992">
        <v>96.23</v>
      </c>
      <c r="F992">
        <v>101.8</v>
      </c>
      <c r="G992">
        <v>74.08</v>
      </c>
      <c r="H992">
        <v>79.099999999999994</v>
      </c>
      <c r="I992">
        <v>77.989999999999995</v>
      </c>
      <c r="J992">
        <v>96.8</v>
      </c>
      <c r="K992">
        <v>27.8</v>
      </c>
      <c r="L992">
        <v>72344.399999999994</v>
      </c>
      <c r="M992">
        <v>43026.28</v>
      </c>
      <c r="N992">
        <v>9.5549999999999997</v>
      </c>
      <c r="O992">
        <v>5.2789999999999997E-2</v>
      </c>
      <c r="P992">
        <v>2.6970000000000001</v>
      </c>
      <c r="Q992">
        <v>126.63</v>
      </c>
      <c r="R992">
        <v>27.895</v>
      </c>
      <c r="S992">
        <v>137.19999999999999</v>
      </c>
    </row>
    <row r="993" spans="1:19" x14ac:dyDescent="0.25">
      <c r="A993" s="6">
        <v>45310</v>
      </c>
      <c r="B993">
        <v>66.819999999999993</v>
      </c>
      <c r="C993">
        <v>82.68</v>
      </c>
      <c r="D993">
        <v>92.74</v>
      </c>
      <c r="E993">
        <v>96.23</v>
      </c>
      <c r="F993">
        <v>99.5</v>
      </c>
      <c r="G993">
        <v>73.41</v>
      </c>
      <c r="H993">
        <v>78.56</v>
      </c>
      <c r="I993">
        <v>77.77</v>
      </c>
      <c r="J993">
        <v>96.95</v>
      </c>
      <c r="K993">
        <v>27</v>
      </c>
      <c r="L993">
        <v>72660.91</v>
      </c>
      <c r="M993">
        <v>43198.57</v>
      </c>
      <c r="N993">
        <v>9.5850000000000009</v>
      </c>
      <c r="O993">
        <v>5.2569999999999999E-2</v>
      </c>
      <c r="P993">
        <v>2.5190000000000001</v>
      </c>
      <c r="Q993">
        <v>126.45</v>
      </c>
      <c r="R993">
        <v>28.428999999999998</v>
      </c>
      <c r="S993">
        <v>140.05000000000001</v>
      </c>
    </row>
    <row r="994" spans="1:19" x14ac:dyDescent="0.25">
      <c r="A994" s="6">
        <v>45313</v>
      </c>
      <c r="B994">
        <v>66.819999999999993</v>
      </c>
      <c r="C994">
        <v>82.68</v>
      </c>
      <c r="D994">
        <v>92.74</v>
      </c>
      <c r="E994">
        <v>91.04</v>
      </c>
      <c r="F994">
        <v>99.5</v>
      </c>
      <c r="G994">
        <v>75.19</v>
      </c>
      <c r="H994">
        <v>80.06</v>
      </c>
      <c r="I994">
        <v>78.3</v>
      </c>
      <c r="J994">
        <v>96.82</v>
      </c>
      <c r="K994">
        <v>26.65</v>
      </c>
      <c r="L994">
        <v>72351.5</v>
      </c>
      <c r="M994">
        <v>43084.83</v>
      </c>
      <c r="N994">
        <v>9.4049999999999994</v>
      </c>
      <c r="O994">
        <v>5.2069999999999998E-2</v>
      </c>
      <c r="P994">
        <v>2.419</v>
      </c>
      <c r="Q994">
        <v>127.3</v>
      </c>
      <c r="R994">
        <v>27.265000000000001</v>
      </c>
      <c r="S994">
        <v>136.44999999999999</v>
      </c>
    </row>
    <row r="995" spans="1:19" x14ac:dyDescent="0.25">
      <c r="A995" s="6">
        <v>45314</v>
      </c>
      <c r="B995">
        <v>66.819999999999993</v>
      </c>
      <c r="C995">
        <v>82.68</v>
      </c>
      <c r="D995">
        <v>92.74</v>
      </c>
      <c r="E995">
        <v>91.04</v>
      </c>
      <c r="F995">
        <v>99.5</v>
      </c>
      <c r="G995">
        <v>74.37</v>
      </c>
      <c r="H995">
        <v>79.55</v>
      </c>
      <c r="I995">
        <v>78.180000000000007</v>
      </c>
      <c r="J995">
        <v>97.91</v>
      </c>
      <c r="K995">
        <v>27.15</v>
      </c>
      <c r="L995">
        <v>73337.19</v>
      </c>
      <c r="M995">
        <v>44556.160000000003</v>
      </c>
      <c r="N995">
        <v>9.3350000000000009</v>
      </c>
      <c r="O995">
        <v>5.2510000000000001E-2</v>
      </c>
      <c r="P995">
        <v>2.4500000000000002</v>
      </c>
      <c r="Q995">
        <v>127.14</v>
      </c>
      <c r="R995">
        <v>27.225000000000001</v>
      </c>
      <c r="S995">
        <v>136.44999999999999</v>
      </c>
    </row>
    <row r="996" spans="1:19" x14ac:dyDescent="0.25">
      <c r="A996" s="6">
        <v>45315</v>
      </c>
      <c r="B996">
        <v>66.819999999999993</v>
      </c>
      <c r="C996">
        <v>82.68</v>
      </c>
      <c r="D996">
        <v>92.74</v>
      </c>
      <c r="E996">
        <v>91.04</v>
      </c>
      <c r="F996">
        <v>99.5</v>
      </c>
      <c r="G996">
        <v>75.09</v>
      </c>
      <c r="H996">
        <v>80.040000000000006</v>
      </c>
      <c r="I996">
        <v>78.33</v>
      </c>
      <c r="J996">
        <v>99.6</v>
      </c>
      <c r="K996">
        <v>28.5</v>
      </c>
      <c r="L996">
        <v>74320.11</v>
      </c>
      <c r="M996">
        <v>46171.85</v>
      </c>
      <c r="N996">
        <v>9.5749999999999993</v>
      </c>
      <c r="O996">
        <v>5.2920000000000002E-2</v>
      </c>
      <c r="P996">
        <v>2.641</v>
      </c>
      <c r="Q996">
        <v>127.04</v>
      </c>
      <c r="R996">
        <v>28.93</v>
      </c>
      <c r="S996">
        <v>136.80000000000001</v>
      </c>
    </row>
    <row r="997" spans="1:19" x14ac:dyDescent="0.25">
      <c r="A997" s="6">
        <v>45316</v>
      </c>
      <c r="B997">
        <v>66.819999999999993</v>
      </c>
      <c r="C997">
        <v>82.68</v>
      </c>
      <c r="D997">
        <v>92.74</v>
      </c>
      <c r="E997">
        <v>91.04</v>
      </c>
      <c r="F997">
        <v>99.5</v>
      </c>
      <c r="G997">
        <v>77.36</v>
      </c>
      <c r="H997">
        <v>82.43</v>
      </c>
      <c r="I997">
        <v>78.81</v>
      </c>
      <c r="J997">
        <v>102.13</v>
      </c>
      <c r="K997">
        <v>29.55</v>
      </c>
      <c r="L997">
        <v>74040.539999999994</v>
      </c>
      <c r="M997">
        <v>46310.15</v>
      </c>
      <c r="N997">
        <v>9.39</v>
      </c>
      <c r="O997">
        <v>5.2979999999999999E-2</v>
      </c>
      <c r="P997">
        <v>2.5710000000000002</v>
      </c>
      <c r="Q997">
        <v>127.29</v>
      </c>
      <c r="R997">
        <v>27.785</v>
      </c>
      <c r="S997">
        <v>135.69999999999999</v>
      </c>
    </row>
    <row r="998" spans="1:19" x14ac:dyDescent="0.25">
      <c r="A998" s="6">
        <v>45317</v>
      </c>
      <c r="B998">
        <v>63.76</v>
      </c>
      <c r="C998">
        <v>79.22</v>
      </c>
      <c r="D998">
        <v>89.26</v>
      </c>
      <c r="E998">
        <v>91.04</v>
      </c>
      <c r="F998">
        <v>97.7</v>
      </c>
      <c r="G998">
        <v>78.010000000000005</v>
      </c>
      <c r="H998">
        <v>83.55</v>
      </c>
      <c r="I998">
        <v>78.89</v>
      </c>
      <c r="J998">
        <v>103</v>
      </c>
      <c r="K998">
        <v>29.65</v>
      </c>
      <c r="L998">
        <v>75084.38</v>
      </c>
      <c r="M998">
        <v>46889.74</v>
      </c>
      <c r="N998">
        <v>9.2899999999999991</v>
      </c>
      <c r="O998">
        <v>5.3199999999999997E-2</v>
      </c>
      <c r="P998">
        <v>2.7120000000000002</v>
      </c>
      <c r="Q998">
        <v>127.26</v>
      </c>
      <c r="R998">
        <v>28.079000000000001</v>
      </c>
      <c r="S998">
        <v>140.44999999999999</v>
      </c>
    </row>
    <row r="999" spans="1:19" x14ac:dyDescent="0.25">
      <c r="A999" s="6">
        <v>45320</v>
      </c>
      <c r="B999">
        <v>63.76</v>
      </c>
      <c r="C999">
        <v>79.22</v>
      </c>
      <c r="D999">
        <v>89.26</v>
      </c>
      <c r="E999">
        <v>90.16</v>
      </c>
      <c r="F999">
        <v>97.7</v>
      </c>
      <c r="G999">
        <v>76.78</v>
      </c>
      <c r="H999">
        <v>82.4</v>
      </c>
      <c r="I999">
        <v>78.78</v>
      </c>
      <c r="J999">
        <v>103.13</v>
      </c>
      <c r="K999">
        <v>29.8</v>
      </c>
      <c r="L999">
        <v>74370.53</v>
      </c>
      <c r="M999">
        <v>46346.57</v>
      </c>
      <c r="N999">
        <v>9.39</v>
      </c>
      <c r="O999">
        <v>5.3120000000000001E-2</v>
      </c>
      <c r="P999">
        <v>2.4900000000000002</v>
      </c>
      <c r="Q999">
        <v>128.18</v>
      </c>
      <c r="R999">
        <v>28.175000000000001</v>
      </c>
      <c r="S999">
        <v>140.44999999999999</v>
      </c>
    </row>
    <row r="1000" spans="1:19" x14ac:dyDescent="0.25">
      <c r="A1000" s="6">
        <v>45321</v>
      </c>
      <c r="B1000">
        <v>63.76</v>
      </c>
      <c r="C1000">
        <v>79.22</v>
      </c>
      <c r="D1000">
        <v>89.26</v>
      </c>
      <c r="E1000">
        <v>90.16</v>
      </c>
      <c r="F1000">
        <v>97.7</v>
      </c>
      <c r="G1000">
        <v>77.819999999999993</v>
      </c>
      <c r="H1000">
        <v>82.87</v>
      </c>
      <c r="I1000">
        <v>78.83</v>
      </c>
      <c r="J1000">
        <v>104.85</v>
      </c>
      <c r="K1000">
        <v>28.95</v>
      </c>
      <c r="L1000">
        <v>74611.45</v>
      </c>
      <c r="M1000">
        <v>47100.28</v>
      </c>
      <c r="N1000">
        <v>9.48</v>
      </c>
      <c r="O1000">
        <v>5.314E-2</v>
      </c>
      <c r="P1000">
        <v>2.077</v>
      </c>
      <c r="Q1000">
        <v>129.02000000000001</v>
      </c>
      <c r="R1000">
        <v>29.390999999999998</v>
      </c>
      <c r="S1000">
        <v>145.1</v>
      </c>
    </row>
    <row r="1001" spans="1:19" x14ac:dyDescent="0.25">
      <c r="A1001" s="6">
        <v>45322</v>
      </c>
      <c r="B1001">
        <v>63.76</v>
      </c>
      <c r="C1001">
        <v>79.22</v>
      </c>
      <c r="D1001">
        <v>89.26</v>
      </c>
      <c r="E1001">
        <v>90.16</v>
      </c>
      <c r="F1001">
        <v>97.7</v>
      </c>
      <c r="G1001">
        <v>75.849999999999994</v>
      </c>
      <c r="H1001">
        <v>81.709999999999994</v>
      </c>
      <c r="I1001">
        <v>78.849999999999994</v>
      </c>
      <c r="J1001">
        <v>102.81</v>
      </c>
      <c r="K1001">
        <v>29.55</v>
      </c>
      <c r="L1001">
        <v>74555.87</v>
      </c>
      <c r="M1001">
        <v>46961.27</v>
      </c>
      <c r="N1001">
        <v>9.5299999999999994</v>
      </c>
      <c r="O1001">
        <v>5.348E-2</v>
      </c>
      <c r="P1001">
        <v>2.1</v>
      </c>
      <c r="Q1001">
        <v>127.33</v>
      </c>
      <c r="R1001">
        <v>30.234999999999999</v>
      </c>
      <c r="S1001">
        <v>147.6</v>
      </c>
    </row>
    <row r="1002" spans="1:19" x14ac:dyDescent="0.25">
      <c r="A1002" s="6">
        <v>45323</v>
      </c>
      <c r="B1002">
        <v>63.76</v>
      </c>
      <c r="C1002">
        <v>79.22</v>
      </c>
      <c r="D1002">
        <v>89.26</v>
      </c>
      <c r="E1002">
        <v>90.16</v>
      </c>
      <c r="F1002">
        <v>97.7</v>
      </c>
      <c r="G1002">
        <v>73.819999999999993</v>
      </c>
      <c r="H1002">
        <v>78.7</v>
      </c>
      <c r="I1002">
        <v>78.569999999999993</v>
      </c>
      <c r="J1002">
        <v>102.39</v>
      </c>
      <c r="K1002">
        <v>29.3</v>
      </c>
      <c r="L1002">
        <v>74469.95</v>
      </c>
      <c r="M1002">
        <v>47705.03</v>
      </c>
      <c r="N1002">
        <v>9.4600000000000009</v>
      </c>
      <c r="O1002">
        <v>5.3760000000000002E-2</v>
      </c>
      <c r="P1002">
        <v>2.0499999999999998</v>
      </c>
      <c r="Q1002">
        <v>129.72999999999999</v>
      </c>
      <c r="R1002">
        <v>28.99</v>
      </c>
      <c r="S1002">
        <v>146.30000000000001</v>
      </c>
    </row>
    <row r="1003" spans="1:19" x14ac:dyDescent="0.25">
      <c r="A1003" s="6">
        <v>45324</v>
      </c>
      <c r="B1003">
        <v>63.95</v>
      </c>
      <c r="C1003">
        <v>78.739999999999995</v>
      </c>
      <c r="D1003">
        <v>88.83</v>
      </c>
      <c r="E1003">
        <v>90.16</v>
      </c>
      <c r="F1003">
        <v>95.42</v>
      </c>
      <c r="G1003">
        <v>72.28</v>
      </c>
      <c r="H1003">
        <v>77.33</v>
      </c>
      <c r="I1003">
        <v>77.36</v>
      </c>
      <c r="J1003">
        <v>101.97</v>
      </c>
      <c r="K1003">
        <v>29.75</v>
      </c>
      <c r="L1003">
        <v>74381.960000000006</v>
      </c>
      <c r="M1003">
        <v>46915.01</v>
      </c>
      <c r="N1003">
        <v>9.4600000000000009</v>
      </c>
      <c r="O1003">
        <v>5.2880000000000003E-2</v>
      </c>
      <c r="P1003">
        <v>2.0790000000000002</v>
      </c>
      <c r="Q1003">
        <v>128.69999999999999</v>
      </c>
      <c r="R1003">
        <v>29.305</v>
      </c>
      <c r="S1003">
        <v>146.05000000000001</v>
      </c>
    </row>
    <row r="1004" spans="1:19" x14ac:dyDescent="0.25">
      <c r="A1004" s="6">
        <v>45327</v>
      </c>
      <c r="B1004">
        <v>63.95</v>
      </c>
      <c r="C1004">
        <v>78.739999999999995</v>
      </c>
      <c r="D1004">
        <v>88.83</v>
      </c>
      <c r="E1004">
        <v>92.22</v>
      </c>
      <c r="F1004">
        <v>95.42</v>
      </c>
      <c r="G1004">
        <v>72.78</v>
      </c>
      <c r="H1004">
        <v>77.989999999999995</v>
      </c>
      <c r="I1004">
        <v>78.08</v>
      </c>
      <c r="J1004">
        <v>101.55</v>
      </c>
      <c r="K1004">
        <v>29.75</v>
      </c>
      <c r="L1004">
        <v>74033.919999999998</v>
      </c>
      <c r="M1004">
        <v>45847.74</v>
      </c>
      <c r="N1004">
        <v>9.4550000000000001</v>
      </c>
      <c r="O1004">
        <v>5.2420000000000001E-2</v>
      </c>
      <c r="P1004">
        <v>2.0819999999999999</v>
      </c>
      <c r="Q1004">
        <v>126.75</v>
      </c>
      <c r="R1004">
        <v>28.34</v>
      </c>
      <c r="S1004">
        <v>146.55000000000001</v>
      </c>
    </row>
    <row r="1005" spans="1:19" x14ac:dyDescent="0.25">
      <c r="A1005" s="6">
        <v>45328</v>
      </c>
      <c r="B1005">
        <v>63.95</v>
      </c>
      <c r="C1005">
        <v>78.739999999999995</v>
      </c>
      <c r="D1005">
        <v>88.83</v>
      </c>
      <c r="E1005">
        <v>92.22</v>
      </c>
      <c r="F1005">
        <v>95.42</v>
      </c>
      <c r="G1005">
        <v>73.31</v>
      </c>
      <c r="H1005">
        <v>78.59</v>
      </c>
      <c r="I1005">
        <v>78.349999999999994</v>
      </c>
      <c r="J1005">
        <v>102.25</v>
      </c>
      <c r="K1005">
        <v>30</v>
      </c>
      <c r="L1005">
        <v>74558.52</v>
      </c>
      <c r="M1005">
        <v>45962.07</v>
      </c>
      <c r="N1005">
        <v>9.4700000000000006</v>
      </c>
      <c r="O1005">
        <v>5.3069999999999999E-2</v>
      </c>
      <c r="P1005">
        <v>2.0089999999999999</v>
      </c>
      <c r="Q1005">
        <v>126.33</v>
      </c>
      <c r="R1005">
        <v>28.605</v>
      </c>
      <c r="S1005">
        <v>152.85</v>
      </c>
    </row>
    <row r="1006" spans="1:19" x14ac:dyDescent="0.25">
      <c r="A1006" s="6">
        <v>45329</v>
      </c>
      <c r="B1006">
        <v>63.95</v>
      </c>
      <c r="C1006">
        <v>78.739999999999995</v>
      </c>
      <c r="D1006">
        <v>88.83</v>
      </c>
      <c r="E1006">
        <v>92.22</v>
      </c>
      <c r="F1006">
        <v>95.42</v>
      </c>
      <c r="G1006">
        <v>73.86</v>
      </c>
      <c r="H1006">
        <v>79.209999999999994</v>
      </c>
      <c r="I1006">
        <v>78.849999999999994</v>
      </c>
      <c r="J1006">
        <v>102.22</v>
      </c>
      <c r="K1006">
        <v>30.5</v>
      </c>
      <c r="L1006">
        <v>74313.440000000002</v>
      </c>
      <c r="M1006">
        <v>45773.56</v>
      </c>
      <c r="N1006">
        <v>9.4499999999999993</v>
      </c>
      <c r="O1006">
        <v>5.2909999999999999E-2</v>
      </c>
      <c r="P1006">
        <v>1.9670000000000001</v>
      </c>
      <c r="Q1006">
        <v>128.08000000000001</v>
      </c>
      <c r="R1006">
        <v>28.184999999999999</v>
      </c>
      <c r="S1006">
        <v>145.1</v>
      </c>
    </row>
    <row r="1007" spans="1:19" x14ac:dyDescent="0.25">
      <c r="A1007" s="6">
        <v>45330</v>
      </c>
      <c r="B1007">
        <v>63.95</v>
      </c>
      <c r="C1007">
        <v>78.739999999999995</v>
      </c>
      <c r="D1007">
        <v>88.83</v>
      </c>
      <c r="E1007">
        <v>92.22</v>
      </c>
      <c r="F1007">
        <v>95.42</v>
      </c>
      <c r="G1007">
        <v>76.22</v>
      </c>
      <c r="H1007">
        <v>81.63</v>
      </c>
      <c r="I1007">
        <v>80.56</v>
      </c>
      <c r="J1007">
        <v>103.97</v>
      </c>
      <c r="K1007">
        <v>29.95</v>
      </c>
      <c r="L1007">
        <v>73725.38</v>
      </c>
      <c r="M1007">
        <v>44219.48</v>
      </c>
      <c r="N1007">
        <v>9.4499999999999993</v>
      </c>
      <c r="O1007">
        <v>5.271E-2</v>
      </c>
      <c r="P1007">
        <v>1.917</v>
      </c>
      <c r="Q1007">
        <v>134.12</v>
      </c>
      <c r="R1007">
        <v>27.81</v>
      </c>
      <c r="S1007">
        <v>144.44999999999999</v>
      </c>
    </row>
    <row r="1008" spans="1:19" x14ac:dyDescent="0.25">
      <c r="A1008" s="6">
        <v>45331</v>
      </c>
      <c r="B1008">
        <v>65.8</v>
      </c>
      <c r="C1008">
        <v>81.73</v>
      </c>
      <c r="D1008">
        <v>91</v>
      </c>
      <c r="E1008">
        <v>92.22</v>
      </c>
      <c r="F1008">
        <v>96.54</v>
      </c>
      <c r="G1008">
        <v>76.84</v>
      </c>
      <c r="H1008">
        <v>82.19</v>
      </c>
      <c r="I1008">
        <v>80.66</v>
      </c>
      <c r="J1008">
        <v>101.77</v>
      </c>
      <c r="K1008">
        <v>29.9</v>
      </c>
      <c r="L1008">
        <v>73423.3</v>
      </c>
      <c r="M1008">
        <v>43238.2</v>
      </c>
      <c r="N1008">
        <v>9.4350000000000005</v>
      </c>
      <c r="O1008">
        <v>5.2470000000000003E-2</v>
      </c>
      <c r="P1008">
        <v>1.847</v>
      </c>
      <c r="Q1008">
        <v>135.49</v>
      </c>
      <c r="R1008">
        <v>27.114999999999998</v>
      </c>
      <c r="S1008">
        <v>143.75</v>
      </c>
    </row>
    <row r="1009" spans="1:19" x14ac:dyDescent="0.25">
      <c r="A1009" s="6">
        <v>45334</v>
      </c>
      <c r="B1009">
        <v>65.8</v>
      </c>
      <c r="C1009">
        <v>81.73</v>
      </c>
      <c r="D1009">
        <v>91</v>
      </c>
      <c r="E1009">
        <v>92.87</v>
      </c>
      <c r="F1009">
        <v>96.54</v>
      </c>
      <c r="G1009">
        <v>76.92</v>
      </c>
      <c r="H1009">
        <v>82</v>
      </c>
      <c r="I1009">
        <v>80.59</v>
      </c>
      <c r="J1009">
        <v>103.17</v>
      </c>
      <c r="K1009">
        <v>30.235135135135124</v>
      </c>
      <c r="L1009">
        <v>73722.100000000006</v>
      </c>
      <c r="M1009">
        <v>43271.24</v>
      </c>
      <c r="N1009">
        <v>9.4350000000000005</v>
      </c>
      <c r="O1009">
        <v>5.287E-2</v>
      </c>
      <c r="P1009">
        <v>1.768</v>
      </c>
      <c r="Q1009">
        <v>135.46</v>
      </c>
      <c r="R1009">
        <v>25.73</v>
      </c>
      <c r="S1009">
        <v>140</v>
      </c>
    </row>
    <row r="1010" spans="1:19" x14ac:dyDescent="0.25">
      <c r="A1010" s="6">
        <v>45335</v>
      </c>
      <c r="B1010">
        <v>65.8</v>
      </c>
      <c r="C1010">
        <v>81.73</v>
      </c>
      <c r="D1010">
        <v>91</v>
      </c>
      <c r="E1010">
        <v>92.87</v>
      </c>
      <c r="F1010">
        <v>96.54</v>
      </c>
      <c r="G1010">
        <v>77.87</v>
      </c>
      <c r="H1010">
        <v>82.77</v>
      </c>
      <c r="I1010">
        <v>81.099999999999994</v>
      </c>
      <c r="J1010">
        <v>101.34</v>
      </c>
      <c r="K1010">
        <v>30.24795471146831</v>
      </c>
      <c r="L1010">
        <v>73062.59</v>
      </c>
      <c r="M1010">
        <v>42486.85</v>
      </c>
      <c r="N1010">
        <v>9.4049999999999994</v>
      </c>
      <c r="O1010">
        <v>5.228E-2</v>
      </c>
      <c r="P1010">
        <v>1.6890000000000001</v>
      </c>
      <c r="Q1010">
        <v>134.41</v>
      </c>
      <c r="R1010">
        <v>25.434999999999999</v>
      </c>
      <c r="S1010">
        <v>144.5</v>
      </c>
    </row>
    <row r="1011" spans="1:19" x14ac:dyDescent="0.25">
      <c r="A1011" s="6">
        <v>45336</v>
      </c>
      <c r="B1011">
        <v>65.8</v>
      </c>
      <c r="C1011">
        <v>81.73</v>
      </c>
      <c r="D1011">
        <v>91</v>
      </c>
      <c r="E1011">
        <v>92.87</v>
      </c>
      <c r="F1011">
        <v>96.54</v>
      </c>
      <c r="G1011">
        <v>76.64</v>
      </c>
      <c r="H1011">
        <v>81.599999999999994</v>
      </c>
      <c r="I1011">
        <v>80.41</v>
      </c>
      <c r="J1011">
        <v>100.84</v>
      </c>
      <c r="K1011">
        <v>29.75</v>
      </c>
      <c r="L1011">
        <v>73009.740000000005</v>
      </c>
      <c r="M1011">
        <v>42106.75</v>
      </c>
      <c r="N1011">
        <v>9.3650000000000002</v>
      </c>
      <c r="O1011">
        <v>5.246E-2</v>
      </c>
      <c r="P1011">
        <v>1.609</v>
      </c>
      <c r="Q1011">
        <v>136.66</v>
      </c>
      <c r="R1011">
        <v>24.855</v>
      </c>
      <c r="S1011">
        <v>143.94999999999999</v>
      </c>
    </row>
    <row r="1012" spans="1:19" x14ac:dyDescent="0.25">
      <c r="A1012" s="6">
        <v>45337</v>
      </c>
      <c r="B1012">
        <v>65.8</v>
      </c>
      <c r="C1012">
        <v>81.73</v>
      </c>
      <c r="D1012">
        <v>91</v>
      </c>
      <c r="E1012">
        <v>92.87</v>
      </c>
      <c r="F1012">
        <v>96.54</v>
      </c>
      <c r="G1012">
        <v>78.03</v>
      </c>
      <c r="H1012">
        <v>82.86</v>
      </c>
      <c r="I1012">
        <v>81.02</v>
      </c>
      <c r="J1012">
        <v>103.73</v>
      </c>
      <c r="K1012">
        <v>29.9</v>
      </c>
      <c r="L1012">
        <v>73218.44</v>
      </c>
      <c r="M1012">
        <v>43875.96</v>
      </c>
      <c r="N1012">
        <v>9.3469999999999995</v>
      </c>
      <c r="O1012">
        <v>5.2769999999999997E-2</v>
      </c>
      <c r="P1012">
        <v>1.647</v>
      </c>
      <c r="Q1012">
        <v>136.88999999999999</v>
      </c>
      <c r="R1012">
        <v>24.965</v>
      </c>
      <c r="S1012">
        <v>144.6</v>
      </c>
    </row>
    <row r="1013" spans="1:19" x14ac:dyDescent="0.25">
      <c r="A1013" s="6">
        <v>45338</v>
      </c>
      <c r="B1013">
        <v>65.88</v>
      </c>
      <c r="C1013">
        <v>82.04</v>
      </c>
      <c r="D1013">
        <v>90.98</v>
      </c>
      <c r="E1013">
        <v>92.87</v>
      </c>
      <c r="F1013">
        <v>96.79</v>
      </c>
      <c r="G1013">
        <v>79.19</v>
      </c>
      <c r="H1013">
        <v>83.47</v>
      </c>
      <c r="I1013">
        <v>81.239999999999995</v>
      </c>
      <c r="J1013">
        <v>103.73</v>
      </c>
      <c r="K1013">
        <v>29.9</v>
      </c>
      <c r="L1013">
        <v>73616.06</v>
      </c>
      <c r="M1013">
        <v>43415.92</v>
      </c>
      <c r="N1013">
        <v>8.57</v>
      </c>
      <c r="O1013">
        <v>5.289E-2</v>
      </c>
      <c r="P1013">
        <v>1.68</v>
      </c>
      <c r="Q1013">
        <v>137.12</v>
      </c>
      <c r="R1013">
        <v>24.82</v>
      </c>
      <c r="S1013">
        <v>145.65</v>
      </c>
    </row>
    <row r="1014" spans="1:19" x14ac:dyDescent="0.25">
      <c r="A1014" s="6">
        <v>45341</v>
      </c>
      <c r="B1014">
        <v>65.88</v>
      </c>
      <c r="C1014">
        <v>82.04</v>
      </c>
      <c r="D1014">
        <v>90.98</v>
      </c>
      <c r="E1014">
        <v>93.15</v>
      </c>
      <c r="F1014">
        <v>96.79</v>
      </c>
      <c r="G1014">
        <v>78.11</v>
      </c>
      <c r="H1014">
        <v>83.56</v>
      </c>
      <c r="I1014">
        <v>81.009999999999991</v>
      </c>
      <c r="J1014">
        <v>103.24000000000001</v>
      </c>
      <c r="K1014">
        <v>31.15</v>
      </c>
      <c r="L1014">
        <v>73580.88</v>
      </c>
      <c r="M1014">
        <v>43764.2</v>
      </c>
      <c r="N1014">
        <v>8.755216216216013</v>
      </c>
      <c r="O1014">
        <v>5.2690000000000001E-2</v>
      </c>
      <c r="P1014">
        <v>1.5580000000000001</v>
      </c>
      <c r="Q1014">
        <v>136.77500000000001</v>
      </c>
      <c r="R1014">
        <v>23.6</v>
      </c>
      <c r="S1014">
        <v>145.75</v>
      </c>
    </row>
    <row r="1015" spans="1:19" x14ac:dyDescent="0.25">
      <c r="A1015" s="6">
        <v>45342</v>
      </c>
      <c r="B1015">
        <v>65.88</v>
      </c>
      <c r="C1015">
        <v>82.04</v>
      </c>
      <c r="D1015">
        <v>90.98</v>
      </c>
      <c r="E1015">
        <v>93.15</v>
      </c>
      <c r="F1015">
        <v>96.79</v>
      </c>
      <c r="G1015">
        <v>78.180000000000007</v>
      </c>
      <c r="H1015">
        <v>82.34</v>
      </c>
      <c r="I1015">
        <v>80.78</v>
      </c>
      <c r="J1015">
        <v>102.75</v>
      </c>
      <c r="K1015">
        <v>30.95</v>
      </c>
      <c r="L1015">
        <v>72946.009999999995</v>
      </c>
      <c r="M1015">
        <v>44079.96</v>
      </c>
      <c r="N1015">
        <v>8.3699999999999992</v>
      </c>
      <c r="O1015">
        <v>5.2850000000000001E-2</v>
      </c>
      <c r="P1015">
        <v>1.6459999999999999</v>
      </c>
      <c r="Q1015">
        <v>136.43</v>
      </c>
      <c r="R1015">
        <v>24.17</v>
      </c>
      <c r="S1015">
        <v>146.44999999999999</v>
      </c>
    </row>
    <row r="1016" spans="1:19" x14ac:dyDescent="0.25">
      <c r="A1016" s="6">
        <v>45343</v>
      </c>
      <c r="B1016">
        <v>65.88</v>
      </c>
      <c r="C1016">
        <v>82.04</v>
      </c>
      <c r="D1016">
        <v>90.98</v>
      </c>
      <c r="E1016">
        <v>93.15</v>
      </c>
      <c r="F1016">
        <v>96.79</v>
      </c>
      <c r="G1016">
        <v>77.91</v>
      </c>
      <c r="H1016">
        <v>83.03</v>
      </c>
      <c r="I1016">
        <v>81.02</v>
      </c>
      <c r="J1016">
        <v>104.85</v>
      </c>
      <c r="K1016">
        <v>30.75</v>
      </c>
      <c r="L1016">
        <v>73029.61</v>
      </c>
      <c r="M1016">
        <v>42593.14</v>
      </c>
      <c r="N1016">
        <v>8.2949999999999999</v>
      </c>
      <c r="O1016">
        <v>5.2780000000000001E-2</v>
      </c>
      <c r="P1016">
        <v>1.863</v>
      </c>
      <c r="Q1016">
        <v>136.69</v>
      </c>
      <c r="R1016">
        <v>23.975000000000001</v>
      </c>
      <c r="S1016">
        <v>144.30000000000001</v>
      </c>
    </row>
    <row r="1017" spans="1:19" x14ac:dyDescent="0.25">
      <c r="A1017" s="6">
        <v>45344</v>
      </c>
      <c r="B1017">
        <v>65.88</v>
      </c>
      <c r="C1017">
        <v>82.04</v>
      </c>
      <c r="D1017">
        <v>90.98</v>
      </c>
      <c r="E1017">
        <v>93.15</v>
      </c>
      <c r="F1017">
        <v>96.79</v>
      </c>
      <c r="G1017">
        <v>78.61</v>
      </c>
      <c r="H1017">
        <v>83.67</v>
      </c>
      <c r="I1017">
        <v>81.19</v>
      </c>
      <c r="J1017">
        <v>104.76</v>
      </c>
      <c r="K1017">
        <v>32.299999999999997</v>
      </c>
      <c r="L1017">
        <v>74112.740000000005</v>
      </c>
      <c r="M1017">
        <v>42627.49</v>
      </c>
      <c r="N1017">
        <v>8.1549999999999994</v>
      </c>
      <c r="O1017">
        <v>5.219E-2</v>
      </c>
      <c r="P1017">
        <v>1.8320000000000001</v>
      </c>
      <c r="Q1017">
        <v>139.29</v>
      </c>
      <c r="R1017">
        <v>23.195</v>
      </c>
      <c r="S1017">
        <v>144.85</v>
      </c>
    </row>
    <row r="1018" spans="1:19" x14ac:dyDescent="0.25">
      <c r="A1018" s="6">
        <v>45345</v>
      </c>
      <c r="B1018">
        <v>66.13</v>
      </c>
      <c r="C1018">
        <v>82.13</v>
      </c>
      <c r="D1018">
        <v>91.23</v>
      </c>
      <c r="E1018">
        <v>93.15</v>
      </c>
      <c r="F1018">
        <v>97.82</v>
      </c>
      <c r="G1018">
        <v>76.489999999999995</v>
      </c>
      <c r="H1018">
        <v>81.62</v>
      </c>
      <c r="I1018">
        <v>80.709999999999994</v>
      </c>
      <c r="J1018">
        <v>103.84</v>
      </c>
      <c r="K1018">
        <v>31.6</v>
      </c>
      <c r="L1018">
        <v>74213.39</v>
      </c>
      <c r="M1018">
        <v>42804.28</v>
      </c>
      <c r="N1018">
        <v>8.125</v>
      </c>
      <c r="O1018">
        <v>5.1749999999999997E-2</v>
      </c>
      <c r="P1018">
        <v>1.603</v>
      </c>
      <c r="Q1018">
        <v>138.38</v>
      </c>
      <c r="R1018">
        <v>22.934000000000001</v>
      </c>
      <c r="S1018">
        <v>147</v>
      </c>
    </row>
    <row r="1019" spans="1:19" x14ac:dyDescent="0.25">
      <c r="A1019" s="6">
        <v>45348</v>
      </c>
      <c r="B1019">
        <v>66.13</v>
      </c>
      <c r="C1019">
        <v>82.13</v>
      </c>
      <c r="D1019">
        <v>91.23</v>
      </c>
      <c r="E1019">
        <v>92.42</v>
      </c>
      <c r="F1019">
        <v>97.82</v>
      </c>
      <c r="G1019">
        <v>77.58</v>
      </c>
      <c r="H1019">
        <v>82.53</v>
      </c>
      <c r="I1019">
        <v>80.83</v>
      </c>
      <c r="J1019">
        <v>104.25</v>
      </c>
      <c r="K1019">
        <v>31.2</v>
      </c>
      <c r="L1019">
        <v>73621.240000000005</v>
      </c>
      <c r="M1019">
        <v>42978.79</v>
      </c>
      <c r="N1019">
        <v>8.3000000000000007</v>
      </c>
      <c r="O1019">
        <v>5.1810000000000002E-2</v>
      </c>
      <c r="P1019">
        <v>1.659</v>
      </c>
      <c r="Q1019">
        <v>137.91</v>
      </c>
      <c r="R1019">
        <v>24.01</v>
      </c>
      <c r="S1019">
        <v>147.05000000000001</v>
      </c>
    </row>
    <row r="1020" spans="1:19" x14ac:dyDescent="0.25">
      <c r="A1020" s="6">
        <v>45349</v>
      </c>
      <c r="B1020">
        <v>66.13</v>
      </c>
      <c r="C1020">
        <v>82.13</v>
      </c>
      <c r="D1020">
        <v>91.23</v>
      </c>
      <c r="E1020">
        <v>92.42</v>
      </c>
      <c r="F1020">
        <v>97.82</v>
      </c>
      <c r="G1020">
        <v>78.87</v>
      </c>
      <c r="H1020">
        <v>83.65</v>
      </c>
      <c r="I1020">
        <v>80.930000000000007</v>
      </c>
      <c r="J1020">
        <v>104.03</v>
      </c>
      <c r="K1020">
        <v>31.25</v>
      </c>
      <c r="L1020">
        <v>73142.11</v>
      </c>
      <c r="M1020">
        <v>43097.91</v>
      </c>
      <c r="N1020">
        <v>8.2200000000000006</v>
      </c>
      <c r="O1020">
        <v>5.2350000000000001E-2</v>
      </c>
      <c r="P1020">
        <v>1.615</v>
      </c>
      <c r="Q1020">
        <v>138.63</v>
      </c>
      <c r="R1020">
        <v>24.39</v>
      </c>
      <c r="S1020">
        <v>145.19999999999999</v>
      </c>
    </row>
    <row r="1021" spans="1:19" x14ac:dyDescent="0.25">
      <c r="A1021" s="6">
        <v>45350</v>
      </c>
      <c r="B1021">
        <v>66.13</v>
      </c>
      <c r="C1021">
        <v>82.13</v>
      </c>
      <c r="D1021">
        <v>91.23</v>
      </c>
      <c r="E1021">
        <v>92.42</v>
      </c>
      <c r="F1021">
        <v>97.82</v>
      </c>
      <c r="G1021">
        <v>78.540000000000006</v>
      </c>
      <c r="H1021">
        <v>83.68</v>
      </c>
      <c r="I1021">
        <v>80.86</v>
      </c>
      <c r="J1021">
        <v>104.32</v>
      </c>
      <c r="K1021">
        <v>31.25</v>
      </c>
      <c r="L1021">
        <v>72204.53</v>
      </c>
      <c r="M1021">
        <v>42415.55</v>
      </c>
      <c r="N1021">
        <v>8.4949999999999992</v>
      </c>
      <c r="O1021">
        <v>5.1880000000000003E-2</v>
      </c>
      <c r="P1021">
        <v>1.885</v>
      </c>
      <c r="Q1021">
        <v>138.84</v>
      </c>
      <c r="R1021">
        <v>25.619</v>
      </c>
      <c r="S1021">
        <v>140.9</v>
      </c>
    </row>
    <row r="1022" spans="1:19" x14ac:dyDescent="0.25">
      <c r="A1022" s="6">
        <v>45351</v>
      </c>
      <c r="B1022">
        <v>66.13</v>
      </c>
      <c r="C1022">
        <v>82.13</v>
      </c>
      <c r="D1022">
        <v>91.23</v>
      </c>
      <c r="E1022">
        <v>92.42</v>
      </c>
      <c r="F1022">
        <v>97.82</v>
      </c>
      <c r="G1022">
        <v>78.260000000000005</v>
      </c>
      <c r="H1022">
        <v>83.62</v>
      </c>
      <c r="I1022">
        <v>80.88</v>
      </c>
      <c r="J1022">
        <v>104.52</v>
      </c>
      <c r="K1022">
        <v>30.25</v>
      </c>
      <c r="L1022">
        <v>72729.73</v>
      </c>
      <c r="M1022">
        <v>43808.68</v>
      </c>
      <c r="N1022">
        <v>8.3699999999999992</v>
      </c>
      <c r="O1022">
        <v>5.2060000000000002E-2</v>
      </c>
      <c r="P1022">
        <v>1.86</v>
      </c>
      <c r="Q1022">
        <v>138.41999999999999</v>
      </c>
      <c r="R1022">
        <v>24.864999999999998</v>
      </c>
      <c r="S1022">
        <v>142.15</v>
      </c>
    </row>
    <row r="1023" spans="1:19" x14ac:dyDescent="0.25">
      <c r="A1023" s="6">
        <v>45352</v>
      </c>
      <c r="B1023">
        <v>69.47</v>
      </c>
      <c r="C1023">
        <v>85.62</v>
      </c>
      <c r="D1023">
        <v>95.38</v>
      </c>
      <c r="E1023">
        <v>92.42</v>
      </c>
      <c r="F1023">
        <v>101.32</v>
      </c>
      <c r="G1023">
        <v>79.97</v>
      </c>
      <c r="H1023">
        <v>83.55</v>
      </c>
      <c r="I1023">
        <v>83.07</v>
      </c>
      <c r="J1023">
        <v>105.84</v>
      </c>
      <c r="K1023">
        <v>30.55</v>
      </c>
      <c r="L1023">
        <v>72775.490000000005</v>
      </c>
      <c r="M1023">
        <v>43579.61</v>
      </c>
      <c r="N1023">
        <v>8.3000000000000007</v>
      </c>
      <c r="O1023">
        <v>5.2290000000000003E-2</v>
      </c>
      <c r="P1023">
        <v>1.835</v>
      </c>
      <c r="Q1023">
        <v>138.57</v>
      </c>
      <c r="R1023">
        <v>25.809000000000001</v>
      </c>
      <c r="S1023">
        <v>144.35</v>
      </c>
    </row>
    <row r="1024" spans="1:19" x14ac:dyDescent="0.25">
      <c r="A1024" s="6">
        <v>45355</v>
      </c>
      <c r="B1024">
        <v>69.47</v>
      </c>
      <c r="C1024">
        <v>85.62</v>
      </c>
      <c r="D1024">
        <v>95.38</v>
      </c>
      <c r="E1024">
        <v>94.9</v>
      </c>
      <c r="F1024">
        <v>101.32</v>
      </c>
      <c r="G1024">
        <v>78.739999999999995</v>
      </c>
      <c r="H1024">
        <v>82.8</v>
      </c>
      <c r="I1024">
        <v>82.06</v>
      </c>
      <c r="J1024">
        <v>104.36</v>
      </c>
      <c r="K1024">
        <v>31.25</v>
      </c>
      <c r="L1024">
        <v>72633.149999999994</v>
      </c>
      <c r="M1024">
        <v>44922.06</v>
      </c>
      <c r="N1024">
        <v>8.34</v>
      </c>
      <c r="O1024">
        <v>5.2510000000000001E-2</v>
      </c>
      <c r="P1024">
        <v>1.9159999999999999</v>
      </c>
      <c r="Q1024">
        <v>138.07</v>
      </c>
      <c r="R1024">
        <v>26.885000000000002</v>
      </c>
      <c r="S1024">
        <v>153.55000000000001</v>
      </c>
    </row>
    <row r="1025" spans="1:19" x14ac:dyDescent="0.25">
      <c r="A1025" s="6">
        <v>45356</v>
      </c>
      <c r="B1025">
        <v>69.47</v>
      </c>
      <c r="C1025">
        <v>85.62</v>
      </c>
      <c r="D1025">
        <v>95.38</v>
      </c>
      <c r="E1025">
        <v>94.9</v>
      </c>
      <c r="F1025">
        <v>101.32</v>
      </c>
      <c r="G1025">
        <v>78.150000000000006</v>
      </c>
      <c r="H1025">
        <v>82.04</v>
      </c>
      <c r="I1025">
        <v>81.62</v>
      </c>
      <c r="J1025">
        <v>105.64</v>
      </c>
      <c r="K1025">
        <v>30.8</v>
      </c>
      <c r="L1025">
        <v>72241.72</v>
      </c>
      <c r="M1025">
        <v>46588.77</v>
      </c>
      <c r="N1025">
        <v>8.3800000000000008</v>
      </c>
      <c r="O1025">
        <v>5.2690000000000001E-2</v>
      </c>
      <c r="P1025">
        <v>1.9570000000000001</v>
      </c>
      <c r="Q1025">
        <v>139.41999999999999</v>
      </c>
      <c r="R1025">
        <v>27.47</v>
      </c>
      <c r="S1025">
        <v>149.75</v>
      </c>
    </row>
    <row r="1026" spans="1:19" x14ac:dyDescent="0.25">
      <c r="A1026" s="6">
        <v>45357</v>
      </c>
      <c r="B1026">
        <v>69.47</v>
      </c>
      <c r="C1026">
        <v>85.62</v>
      </c>
      <c r="D1026">
        <v>95.38</v>
      </c>
      <c r="E1026">
        <v>94.9</v>
      </c>
      <c r="F1026">
        <v>101.32</v>
      </c>
      <c r="G1026">
        <v>79.13</v>
      </c>
      <c r="H1026">
        <v>82.96</v>
      </c>
      <c r="I1026">
        <v>82.42</v>
      </c>
      <c r="J1026">
        <v>106.77</v>
      </c>
      <c r="K1026">
        <v>31.2</v>
      </c>
      <c r="L1026">
        <v>73578.179999999993</v>
      </c>
      <c r="M1026">
        <v>47236.11</v>
      </c>
      <c r="N1026">
        <v>8.4149999999999991</v>
      </c>
      <c r="O1026">
        <v>5.3089999999999998E-2</v>
      </c>
      <c r="P1026">
        <v>1.929</v>
      </c>
      <c r="Q1026">
        <v>139.43</v>
      </c>
      <c r="R1026">
        <v>26.57</v>
      </c>
      <c r="S1026">
        <v>147.6</v>
      </c>
    </row>
    <row r="1027" spans="1:19" x14ac:dyDescent="0.25">
      <c r="A1027" s="6">
        <v>45358</v>
      </c>
      <c r="B1027">
        <v>69.47</v>
      </c>
      <c r="C1027">
        <v>85.62</v>
      </c>
      <c r="D1027">
        <v>95.38</v>
      </c>
      <c r="E1027">
        <v>94.9</v>
      </c>
      <c r="F1027">
        <v>101.32</v>
      </c>
      <c r="G1027">
        <v>78.930000000000007</v>
      </c>
      <c r="H1027">
        <v>82.96</v>
      </c>
      <c r="I1027">
        <v>82.44</v>
      </c>
      <c r="J1027">
        <v>107.37</v>
      </c>
      <c r="K1027">
        <v>31.3</v>
      </c>
      <c r="L1027">
        <v>73604.11</v>
      </c>
      <c r="M1027">
        <v>48397.48</v>
      </c>
      <c r="N1027">
        <v>8.4</v>
      </c>
      <c r="O1027">
        <v>5.3510000000000002E-2</v>
      </c>
      <c r="P1027">
        <v>1.8180000000000001</v>
      </c>
      <c r="Q1027">
        <v>138.85</v>
      </c>
      <c r="R1027">
        <v>25.99</v>
      </c>
      <c r="S1027">
        <v>147.85</v>
      </c>
    </row>
    <row r="1028" spans="1:19" x14ac:dyDescent="0.25">
      <c r="A1028" s="6">
        <v>45359</v>
      </c>
      <c r="B1028">
        <v>72.42</v>
      </c>
      <c r="C1028">
        <v>90.49</v>
      </c>
      <c r="D1028">
        <v>101.98</v>
      </c>
      <c r="E1028">
        <v>94.9</v>
      </c>
      <c r="F1028">
        <v>106.86</v>
      </c>
      <c r="G1028">
        <v>78.010000000000005</v>
      </c>
      <c r="H1028">
        <v>82.08</v>
      </c>
      <c r="I1028">
        <v>81.97</v>
      </c>
      <c r="J1028">
        <v>108.38</v>
      </c>
      <c r="K1028">
        <v>31.15</v>
      </c>
      <c r="L1028">
        <v>73717.78</v>
      </c>
      <c r="M1028">
        <v>48876.58</v>
      </c>
      <c r="N1028">
        <v>8.4600000000000009</v>
      </c>
      <c r="O1028">
        <v>5.339E-2</v>
      </c>
      <c r="P1028">
        <v>1.8049999999999999</v>
      </c>
      <c r="Q1028">
        <v>138.66</v>
      </c>
      <c r="R1028">
        <v>26.39</v>
      </c>
      <c r="S1028">
        <v>143.6</v>
      </c>
    </row>
    <row r="1029" spans="1:19" x14ac:dyDescent="0.25">
      <c r="A1029" s="6">
        <v>45362</v>
      </c>
      <c r="B1029">
        <v>72.42</v>
      </c>
      <c r="C1029">
        <v>90.49</v>
      </c>
      <c r="D1029">
        <v>101.98</v>
      </c>
      <c r="E1029">
        <v>97.24</v>
      </c>
      <c r="F1029">
        <v>106.86</v>
      </c>
      <c r="G1029">
        <v>77.930000000000007</v>
      </c>
      <c r="H1029">
        <v>82.21</v>
      </c>
      <c r="I1029">
        <v>82.28</v>
      </c>
      <c r="J1029">
        <v>109.02</v>
      </c>
      <c r="K1029">
        <v>29.9</v>
      </c>
      <c r="L1029">
        <v>73481.740000000005</v>
      </c>
      <c r="M1029">
        <v>49745.06</v>
      </c>
      <c r="N1029">
        <v>8.4649999999999999</v>
      </c>
      <c r="O1029">
        <v>5.3519999999999998E-2</v>
      </c>
      <c r="P1029">
        <v>1.7589999999999999</v>
      </c>
      <c r="Q1029">
        <v>136.97</v>
      </c>
      <c r="R1029">
        <v>24.93</v>
      </c>
      <c r="S1029">
        <v>143.6</v>
      </c>
    </row>
    <row r="1030" spans="1:19" x14ac:dyDescent="0.25">
      <c r="A1030" s="6">
        <v>45363</v>
      </c>
      <c r="B1030">
        <v>72.42</v>
      </c>
      <c r="C1030">
        <v>90.49</v>
      </c>
      <c r="D1030">
        <v>101.98</v>
      </c>
      <c r="E1030">
        <v>97.24</v>
      </c>
      <c r="F1030">
        <v>106.86</v>
      </c>
      <c r="G1030">
        <v>77.56</v>
      </c>
      <c r="H1030">
        <v>81.92</v>
      </c>
      <c r="I1030">
        <v>82.14</v>
      </c>
      <c r="J1030">
        <v>108.32</v>
      </c>
      <c r="K1030">
        <v>30.25</v>
      </c>
      <c r="L1030">
        <v>73484.56</v>
      </c>
      <c r="M1030">
        <v>48143.13</v>
      </c>
      <c r="N1030">
        <v>8.4649999999999999</v>
      </c>
      <c r="O1030">
        <v>5.3539999999999997E-2</v>
      </c>
      <c r="P1030">
        <v>1.714</v>
      </c>
      <c r="Q1030">
        <v>136.99</v>
      </c>
      <c r="R1030">
        <v>24.774999999999999</v>
      </c>
      <c r="S1030">
        <v>141</v>
      </c>
    </row>
    <row r="1031" spans="1:19" x14ac:dyDescent="0.25">
      <c r="A1031" s="6">
        <v>45364</v>
      </c>
      <c r="B1031">
        <v>72.42</v>
      </c>
      <c r="C1031">
        <v>90.49</v>
      </c>
      <c r="D1031">
        <v>101.98</v>
      </c>
      <c r="E1031">
        <v>97.24</v>
      </c>
      <c r="F1031">
        <v>106.86</v>
      </c>
      <c r="G1031">
        <v>79.72</v>
      </c>
      <c r="H1031">
        <v>84.03</v>
      </c>
      <c r="I1031">
        <v>83.46</v>
      </c>
      <c r="J1031">
        <v>109.53</v>
      </c>
      <c r="K1031">
        <v>30.55</v>
      </c>
      <c r="L1031">
        <v>74258.63</v>
      </c>
      <c r="M1031">
        <v>50364.52</v>
      </c>
      <c r="N1031">
        <v>8.4749999999999996</v>
      </c>
      <c r="O1031">
        <v>5.3830000000000003E-2</v>
      </c>
      <c r="P1031">
        <v>1.6579999999999999</v>
      </c>
      <c r="Q1031">
        <v>137.47</v>
      </c>
      <c r="R1031">
        <v>24.905000000000001</v>
      </c>
      <c r="S1031">
        <v>133.1</v>
      </c>
    </row>
    <row r="1032" spans="1:19" x14ac:dyDescent="0.25">
      <c r="A1032" s="6">
        <v>45365</v>
      </c>
      <c r="B1032">
        <v>72.42</v>
      </c>
      <c r="C1032">
        <v>90.49</v>
      </c>
      <c r="D1032">
        <v>101.98</v>
      </c>
      <c r="E1032">
        <v>97.24</v>
      </c>
      <c r="F1032">
        <v>106.86</v>
      </c>
      <c r="G1032">
        <v>81.260000000000005</v>
      </c>
      <c r="H1032">
        <v>85.42</v>
      </c>
      <c r="I1032">
        <v>83.9</v>
      </c>
      <c r="J1032">
        <v>111.47</v>
      </c>
      <c r="K1032">
        <v>30.6</v>
      </c>
      <c r="L1032">
        <v>73866.789999999994</v>
      </c>
      <c r="M1032">
        <v>49574.45</v>
      </c>
      <c r="N1032">
        <v>8.49</v>
      </c>
      <c r="O1032">
        <v>5.3370000000000001E-2</v>
      </c>
      <c r="P1032">
        <v>1.7410000000000001</v>
      </c>
      <c r="Q1032">
        <v>135.44999999999999</v>
      </c>
      <c r="R1032">
        <v>26.05</v>
      </c>
      <c r="S1032">
        <v>137.19999999999999</v>
      </c>
    </row>
    <row r="1033" spans="1:19" x14ac:dyDescent="0.25">
      <c r="A1033" s="6">
        <v>45366</v>
      </c>
      <c r="B1033">
        <v>70.930000000000007</v>
      </c>
      <c r="C1033">
        <v>89.59</v>
      </c>
      <c r="D1033">
        <v>99.84</v>
      </c>
      <c r="E1033">
        <v>97.24</v>
      </c>
      <c r="F1033">
        <v>107.45</v>
      </c>
      <c r="G1033">
        <v>81.040000000000006</v>
      </c>
      <c r="H1033">
        <v>85.34</v>
      </c>
      <c r="I1033">
        <v>83.82</v>
      </c>
      <c r="J1033">
        <v>111.27</v>
      </c>
      <c r="K1033">
        <v>30.05</v>
      </c>
      <c r="L1033">
        <v>72990.7</v>
      </c>
      <c r="M1033">
        <v>48961.88</v>
      </c>
      <c r="N1033">
        <v>8.5210000000000008</v>
      </c>
      <c r="O1033">
        <v>5.3330000000000002E-2</v>
      </c>
      <c r="P1033">
        <v>1.655</v>
      </c>
      <c r="Q1033">
        <v>134.63999999999999</v>
      </c>
      <c r="R1033">
        <v>27.026</v>
      </c>
      <c r="S1033">
        <v>136.85</v>
      </c>
    </row>
    <row r="1034" spans="1:19" x14ac:dyDescent="0.25">
      <c r="A1034" s="6">
        <v>45369</v>
      </c>
      <c r="B1034">
        <v>70.930000000000007</v>
      </c>
      <c r="C1034">
        <v>89.59</v>
      </c>
      <c r="D1034">
        <v>99.84</v>
      </c>
      <c r="E1034">
        <v>100.64</v>
      </c>
      <c r="F1034">
        <v>107.45</v>
      </c>
      <c r="G1034">
        <v>82.72</v>
      </c>
      <c r="H1034">
        <v>86.89</v>
      </c>
      <c r="I1034">
        <v>84.47</v>
      </c>
      <c r="J1034">
        <v>112.3</v>
      </c>
      <c r="K1034">
        <v>29.5</v>
      </c>
      <c r="L1034">
        <v>72430.460000000006</v>
      </c>
      <c r="M1034">
        <v>47418.96</v>
      </c>
      <c r="N1034">
        <v>9.8800000000000008</v>
      </c>
      <c r="O1034">
        <v>5.2769999999999997E-2</v>
      </c>
      <c r="P1034">
        <v>1.7030000000000001</v>
      </c>
      <c r="Q1034">
        <v>134.4</v>
      </c>
      <c r="R1034">
        <v>28.82</v>
      </c>
      <c r="S1034">
        <v>136.44999999999999</v>
      </c>
    </row>
    <row r="1035" spans="1:19" x14ac:dyDescent="0.25">
      <c r="A1035" s="6">
        <v>45370</v>
      </c>
      <c r="B1035">
        <v>70.930000000000007</v>
      </c>
      <c r="C1035">
        <v>89.59</v>
      </c>
      <c r="D1035">
        <v>99.84</v>
      </c>
      <c r="E1035">
        <v>100.64</v>
      </c>
      <c r="F1035">
        <v>107.45</v>
      </c>
      <c r="G1035">
        <v>83.47</v>
      </c>
      <c r="H1035">
        <v>87.38</v>
      </c>
      <c r="I1035">
        <v>84.62</v>
      </c>
      <c r="J1035">
        <v>113.09</v>
      </c>
      <c r="K1035">
        <v>29.75</v>
      </c>
      <c r="L1035">
        <v>71868.070000000007</v>
      </c>
      <c r="M1035">
        <v>46154.21</v>
      </c>
      <c r="N1035">
        <v>9.9</v>
      </c>
      <c r="O1035">
        <v>5.2880000000000003E-2</v>
      </c>
      <c r="P1035">
        <v>1.744</v>
      </c>
      <c r="Q1035">
        <v>135.5</v>
      </c>
      <c r="R1035">
        <v>28.864999999999998</v>
      </c>
      <c r="S1035">
        <v>134.5</v>
      </c>
    </row>
    <row r="1036" spans="1:19" x14ac:dyDescent="0.25">
      <c r="A1036" s="6">
        <v>45371</v>
      </c>
      <c r="B1036">
        <v>70.930000000000007</v>
      </c>
      <c r="C1036">
        <v>89.59</v>
      </c>
      <c r="D1036">
        <v>99.84</v>
      </c>
      <c r="E1036">
        <v>100.64</v>
      </c>
      <c r="F1036">
        <v>107.45</v>
      </c>
      <c r="G1036">
        <v>81.680000000000007</v>
      </c>
      <c r="H1036">
        <v>85.95</v>
      </c>
      <c r="I1036">
        <v>84.15</v>
      </c>
      <c r="J1036">
        <v>112.99</v>
      </c>
      <c r="K1036">
        <v>29.6</v>
      </c>
      <c r="L1036">
        <v>72419.7</v>
      </c>
      <c r="M1036">
        <v>47701.43</v>
      </c>
      <c r="N1036">
        <v>9.57</v>
      </c>
      <c r="O1036">
        <v>5.3440000000000001E-2</v>
      </c>
      <c r="P1036">
        <v>1.6990000000000001</v>
      </c>
      <c r="Q1036">
        <v>136.1</v>
      </c>
      <c r="R1036">
        <v>27.74</v>
      </c>
      <c r="S1036">
        <v>133.75</v>
      </c>
    </row>
    <row r="1037" spans="1:19" x14ac:dyDescent="0.25">
      <c r="A1037" s="6">
        <v>45372</v>
      </c>
      <c r="B1037">
        <v>70.930000000000007</v>
      </c>
      <c r="C1037">
        <v>89.59</v>
      </c>
      <c r="D1037">
        <v>99.84</v>
      </c>
      <c r="E1037">
        <v>100.64</v>
      </c>
      <c r="F1037">
        <v>107.45</v>
      </c>
      <c r="G1037">
        <v>81.069999999999993</v>
      </c>
      <c r="H1037">
        <v>85.78</v>
      </c>
      <c r="I1037">
        <v>84.14</v>
      </c>
      <c r="J1037">
        <v>113.49</v>
      </c>
      <c r="K1037">
        <v>30.65</v>
      </c>
      <c r="L1037">
        <v>71641.539437750354</v>
      </c>
      <c r="M1037">
        <v>46173.753855422139</v>
      </c>
      <c r="N1037">
        <v>9.2850000000000001</v>
      </c>
      <c r="O1037">
        <v>5.3120000000000001E-2</v>
      </c>
      <c r="P1037">
        <v>1.6830000000000001</v>
      </c>
      <c r="Q1037">
        <v>138.1</v>
      </c>
      <c r="R1037">
        <v>26.4</v>
      </c>
      <c r="S1037">
        <v>135.94999999999999</v>
      </c>
    </row>
    <row r="1038" spans="1:19" x14ac:dyDescent="0.25">
      <c r="A1038" s="6">
        <v>45373</v>
      </c>
      <c r="B1038">
        <v>70.16</v>
      </c>
      <c r="C1038">
        <v>89.59</v>
      </c>
      <c r="D1038">
        <v>99.51</v>
      </c>
      <c r="E1038">
        <v>100.91</v>
      </c>
      <c r="F1038">
        <v>105.39</v>
      </c>
      <c r="G1038">
        <v>80.63</v>
      </c>
      <c r="H1038">
        <v>85.43</v>
      </c>
      <c r="I1038">
        <v>84.03</v>
      </c>
      <c r="J1038">
        <v>113.49</v>
      </c>
      <c r="K1038">
        <v>30.1</v>
      </c>
      <c r="L1038">
        <v>73254.19</v>
      </c>
      <c r="M1038">
        <v>50298.41</v>
      </c>
      <c r="N1038">
        <v>9.4450000000000003</v>
      </c>
      <c r="O1038">
        <v>5.2630000000000003E-2</v>
      </c>
      <c r="P1038">
        <v>1.659</v>
      </c>
      <c r="Q1038">
        <v>136.22999999999999</v>
      </c>
      <c r="R1038">
        <v>27.776</v>
      </c>
      <c r="S1038">
        <v>135.85</v>
      </c>
    </row>
    <row r="1039" spans="1:19" x14ac:dyDescent="0.25">
      <c r="A1039" s="6">
        <v>45376</v>
      </c>
      <c r="B1039">
        <v>70.16</v>
      </c>
      <c r="C1039">
        <v>89.59</v>
      </c>
      <c r="D1039">
        <v>99.51</v>
      </c>
      <c r="E1039">
        <v>100.91</v>
      </c>
      <c r="F1039">
        <v>105.39</v>
      </c>
      <c r="G1039">
        <v>81.95</v>
      </c>
      <c r="H1039">
        <v>86.75</v>
      </c>
      <c r="I1039">
        <v>84.23</v>
      </c>
      <c r="J1039">
        <v>114.65</v>
      </c>
      <c r="K1039">
        <v>30.5</v>
      </c>
      <c r="L1039">
        <v>73282.899999999994</v>
      </c>
      <c r="M1039">
        <v>50676</v>
      </c>
      <c r="N1039">
        <v>9.7149999999999999</v>
      </c>
      <c r="O1039">
        <v>5.2940000000000001E-2</v>
      </c>
      <c r="P1039">
        <v>1.615</v>
      </c>
      <c r="Q1039">
        <v>135.81</v>
      </c>
      <c r="R1039">
        <v>28.49</v>
      </c>
      <c r="S1039">
        <v>134.05000000000001</v>
      </c>
    </row>
    <row r="1040" spans="1:19" x14ac:dyDescent="0.25">
      <c r="A1040" s="6">
        <v>45377</v>
      </c>
      <c r="B1040">
        <v>70.16</v>
      </c>
      <c r="C1040">
        <v>89.59</v>
      </c>
      <c r="D1040">
        <v>99.51</v>
      </c>
      <c r="E1040">
        <v>100.91</v>
      </c>
      <c r="F1040">
        <v>105.39</v>
      </c>
      <c r="G1040">
        <v>81.62</v>
      </c>
      <c r="H1040">
        <v>86.25</v>
      </c>
      <c r="I1040">
        <v>84.14</v>
      </c>
      <c r="J1040">
        <v>113.79</v>
      </c>
      <c r="K1040">
        <v>30.2</v>
      </c>
      <c r="L1040">
        <v>73608.070000000007</v>
      </c>
      <c r="M1040">
        <v>50569.760000000002</v>
      </c>
      <c r="N1040">
        <v>9.5749999999999993</v>
      </c>
      <c r="O1040">
        <v>5.2740000000000002E-2</v>
      </c>
      <c r="P1040">
        <v>1.575</v>
      </c>
      <c r="Q1040">
        <v>137.12</v>
      </c>
      <c r="R1040">
        <v>27.13</v>
      </c>
      <c r="S1040">
        <v>134.05000000000001</v>
      </c>
    </row>
    <row r="1041" spans="1:19" x14ac:dyDescent="0.25">
      <c r="A1041" s="6">
        <v>45378</v>
      </c>
      <c r="B1041">
        <v>70.16</v>
      </c>
      <c r="C1041">
        <v>89.59</v>
      </c>
      <c r="D1041">
        <v>99.51</v>
      </c>
      <c r="E1041">
        <v>100.91</v>
      </c>
      <c r="F1041">
        <v>105.39</v>
      </c>
      <c r="G1041">
        <v>81.349999999999994</v>
      </c>
      <c r="H1041">
        <v>86.09</v>
      </c>
      <c r="I1041">
        <v>84.11</v>
      </c>
      <c r="J1041">
        <v>114.97</v>
      </c>
      <c r="K1041">
        <v>30.4</v>
      </c>
      <c r="L1041">
        <v>73909.47</v>
      </c>
      <c r="M1041">
        <v>50407.9</v>
      </c>
      <c r="N1041">
        <v>9.4</v>
      </c>
      <c r="O1041">
        <v>5.2850000000000001E-2</v>
      </c>
      <c r="P1041">
        <v>1.718</v>
      </c>
      <c r="Q1041">
        <v>136.97999999999999</v>
      </c>
      <c r="R1041">
        <v>27.687000000000001</v>
      </c>
      <c r="S1041">
        <v>133.55000000000001</v>
      </c>
    </row>
    <row r="1042" spans="1:19" x14ac:dyDescent="0.25">
      <c r="A1042" s="6">
        <v>45379</v>
      </c>
      <c r="B1042">
        <v>73.17</v>
      </c>
      <c r="C1042">
        <v>91.01</v>
      </c>
      <c r="D1042">
        <v>102.58</v>
      </c>
      <c r="E1042">
        <v>100.91</v>
      </c>
      <c r="F1042">
        <v>105.67</v>
      </c>
      <c r="G1042">
        <v>83.17</v>
      </c>
      <c r="H1042">
        <v>87.48</v>
      </c>
      <c r="I1042">
        <v>84.15</v>
      </c>
      <c r="J1042">
        <v>116.24</v>
      </c>
      <c r="K1042">
        <v>30.75</v>
      </c>
      <c r="L1042">
        <v>74535.990000000005</v>
      </c>
      <c r="M1042">
        <v>51964.11</v>
      </c>
      <c r="N1042">
        <v>9.5350000000000001</v>
      </c>
      <c r="O1042">
        <v>5.28E-2</v>
      </c>
      <c r="P1042">
        <v>1.7629999999999999</v>
      </c>
      <c r="Q1042">
        <v>137.43</v>
      </c>
      <c r="R1042">
        <v>27.34</v>
      </c>
      <c r="S1042">
        <v>134.35</v>
      </c>
    </row>
    <row r="1043" spans="1:19" x14ac:dyDescent="0.25">
      <c r="A1043" s="6">
        <v>45380</v>
      </c>
      <c r="B1043">
        <v>73.17</v>
      </c>
      <c r="C1043">
        <v>91.01</v>
      </c>
      <c r="D1043">
        <v>102.58</v>
      </c>
      <c r="E1043">
        <v>100.91</v>
      </c>
      <c r="F1043">
        <v>105.67</v>
      </c>
      <c r="G1043">
        <v>83.44</v>
      </c>
      <c r="H1043">
        <v>87.45</v>
      </c>
      <c r="I1043">
        <v>85.960000000000008</v>
      </c>
      <c r="J1043">
        <v>116.61499999999999</v>
      </c>
      <c r="K1043">
        <v>30.517381974248906</v>
      </c>
      <c r="L1043">
        <v>74667.979236258194</v>
      </c>
      <c r="M1043">
        <v>52343.597726356238</v>
      </c>
      <c r="N1043">
        <v>9.5995278969958235</v>
      </c>
      <c r="O1043">
        <v>5.296E-2</v>
      </c>
      <c r="P1043">
        <v>1.9184999999999999</v>
      </c>
      <c r="Q1043">
        <v>137.23000000000002</v>
      </c>
      <c r="R1043">
        <v>27.34</v>
      </c>
      <c r="S1043">
        <v>140.30000000000001</v>
      </c>
    </row>
    <row r="1044" spans="1:19" x14ac:dyDescent="0.25">
      <c r="A1044" s="6">
        <v>45383</v>
      </c>
      <c r="B1044">
        <v>73.17</v>
      </c>
      <c r="C1044">
        <v>91.01</v>
      </c>
      <c r="D1044">
        <v>102.58</v>
      </c>
      <c r="E1044">
        <v>100.91</v>
      </c>
      <c r="F1044">
        <v>105.67</v>
      </c>
      <c r="G1044">
        <v>83.71</v>
      </c>
      <c r="H1044">
        <v>87.42</v>
      </c>
      <c r="I1044">
        <v>87.77</v>
      </c>
      <c r="J1044">
        <v>116.99</v>
      </c>
      <c r="K1044">
        <v>30.816268414337628</v>
      </c>
      <c r="L1044">
        <v>75164.678111964837</v>
      </c>
      <c r="M1044">
        <v>52642.697321224958</v>
      </c>
      <c r="N1044">
        <v>9.5350000000000001</v>
      </c>
      <c r="O1044">
        <v>5.2780000000000001E-2</v>
      </c>
      <c r="P1044">
        <v>2.0739999999999998</v>
      </c>
      <c r="Q1044">
        <v>137.03</v>
      </c>
      <c r="R1044">
        <v>27.34</v>
      </c>
      <c r="S1044">
        <v>140.30000000000001</v>
      </c>
    </row>
    <row r="1045" spans="1:19" x14ac:dyDescent="0.25">
      <c r="A1045" s="6">
        <v>45384</v>
      </c>
      <c r="B1045">
        <v>73.17</v>
      </c>
      <c r="C1045">
        <v>91.01</v>
      </c>
      <c r="D1045">
        <v>102.58</v>
      </c>
      <c r="E1045">
        <v>102.51</v>
      </c>
      <c r="F1045">
        <v>105.67</v>
      </c>
      <c r="G1045">
        <v>85.15</v>
      </c>
      <c r="H1045">
        <v>88.92</v>
      </c>
      <c r="I1045">
        <v>89.24</v>
      </c>
      <c r="J1045">
        <v>119.28</v>
      </c>
      <c r="K1045">
        <v>31.6</v>
      </c>
      <c r="L1045">
        <v>74429.48</v>
      </c>
      <c r="M1045">
        <v>52831.44</v>
      </c>
      <c r="N1045">
        <v>9.4649999999999999</v>
      </c>
      <c r="O1045">
        <v>5.3260000000000002E-2</v>
      </c>
      <c r="P1045">
        <v>2.105</v>
      </c>
      <c r="Q1045">
        <v>137.5</v>
      </c>
      <c r="R1045">
        <v>26.204999999999998</v>
      </c>
      <c r="S1045">
        <v>142.4</v>
      </c>
    </row>
    <row r="1046" spans="1:19" x14ac:dyDescent="0.25">
      <c r="A1046" s="6">
        <v>45385</v>
      </c>
      <c r="B1046">
        <v>73.17</v>
      </c>
      <c r="C1046">
        <v>91.01</v>
      </c>
      <c r="D1046">
        <v>102.58</v>
      </c>
      <c r="E1046">
        <v>102.51</v>
      </c>
      <c r="F1046">
        <v>105.67</v>
      </c>
      <c r="G1046">
        <v>85.43</v>
      </c>
      <c r="H1046">
        <v>89.35</v>
      </c>
      <c r="I1046">
        <v>89.63</v>
      </c>
      <c r="J1046">
        <v>119.3</v>
      </c>
      <c r="K1046">
        <v>31.6</v>
      </c>
      <c r="L1046">
        <v>74097.929999999993</v>
      </c>
      <c r="M1046">
        <v>53079.49</v>
      </c>
      <c r="N1046">
        <v>9.5</v>
      </c>
      <c r="O1046">
        <v>5.3539999999999997E-2</v>
      </c>
      <c r="P1046">
        <v>2.0670000000000002</v>
      </c>
      <c r="Q1046">
        <v>137.38999999999999</v>
      </c>
      <c r="R1046">
        <v>25.565000000000001</v>
      </c>
      <c r="S1046">
        <v>143.85</v>
      </c>
    </row>
    <row r="1047" spans="1:19" x14ac:dyDescent="0.25">
      <c r="A1047" s="6">
        <v>45386</v>
      </c>
      <c r="B1047">
        <v>73.17</v>
      </c>
      <c r="C1047">
        <v>91.01</v>
      </c>
      <c r="D1047">
        <v>102.58</v>
      </c>
      <c r="E1047">
        <v>102.51</v>
      </c>
      <c r="F1047">
        <v>105.67</v>
      </c>
      <c r="G1047">
        <v>86.59</v>
      </c>
      <c r="H1047">
        <v>90.65</v>
      </c>
      <c r="I1047">
        <v>90.53</v>
      </c>
      <c r="J1047">
        <v>119.72</v>
      </c>
      <c r="K1047">
        <v>31.681732497791018</v>
      </c>
      <c r="L1047">
        <v>75372.98</v>
      </c>
      <c r="M1047">
        <v>55374.71</v>
      </c>
      <c r="N1047">
        <v>9.5449999999999999</v>
      </c>
      <c r="O1047">
        <v>5.3420000000000002E-2</v>
      </c>
      <c r="P1047">
        <v>1.9970000000000001</v>
      </c>
      <c r="Q1047">
        <v>136.69999999999999</v>
      </c>
      <c r="R1047">
        <v>26.204999999999998</v>
      </c>
      <c r="S1047">
        <v>144.80000000000001</v>
      </c>
    </row>
    <row r="1048" spans="1:19" x14ac:dyDescent="0.25">
      <c r="A1048" s="6">
        <v>45387</v>
      </c>
      <c r="B1048">
        <v>75.430000000000007</v>
      </c>
      <c r="C1048">
        <v>93</v>
      </c>
      <c r="D1048">
        <v>103.63</v>
      </c>
      <c r="E1048">
        <v>102.51</v>
      </c>
      <c r="F1048">
        <v>105.16</v>
      </c>
      <c r="G1048">
        <v>86.91</v>
      </c>
      <c r="H1048">
        <v>91.17</v>
      </c>
      <c r="I1048">
        <v>90.74</v>
      </c>
      <c r="J1048">
        <v>121.37</v>
      </c>
      <c r="K1048">
        <v>31.35</v>
      </c>
      <c r="L1048">
        <v>74774.720000000001</v>
      </c>
      <c r="M1048">
        <v>54937.99</v>
      </c>
      <c r="N1048">
        <v>9.5449999999999999</v>
      </c>
      <c r="O1048">
        <v>5.3530000000000001E-2</v>
      </c>
      <c r="P1048">
        <v>2.0099999999999998</v>
      </c>
      <c r="Q1048">
        <v>137.87</v>
      </c>
      <c r="R1048">
        <v>26.605</v>
      </c>
      <c r="S1048">
        <v>145.44999999999999</v>
      </c>
    </row>
    <row r="1049" spans="1:19" x14ac:dyDescent="0.25">
      <c r="A1049" s="6">
        <v>45390</v>
      </c>
      <c r="B1049">
        <v>75.430000000000007</v>
      </c>
      <c r="C1049">
        <v>93</v>
      </c>
      <c r="D1049">
        <v>103.63</v>
      </c>
      <c r="E1049">
        <v>106.93</v>
      </c>
      <c r="F1049">
        <v>105.16</v>
      </c>
      <c r="G1049">
        <v>86.43</v>
      </c>
      <c r="H1049">
        <v>90.38</v>
      </c>
      <c r="I1049">
        <v>90.02</v>
      </c>
      <c r="J1049">
        <v>120.55</v>
      </c>
      <c r="K1049">
        <v>31.9</v>
      </c>
      <c r="L1049">
        <v>75334.92</v>
      </c>
      <c r="M1049">
        <v>56513.61</v>
      </c>
      <c r="N1049">
        <v>9.5749999999999993</v>
      </c>
      <c r="O1049">
        <v>5.364E-2</v>
      </c>
      <c r="P1049">
        <v>2.0510000000000002</v>
      </c>
      <c r="Q1049">
        <v>136.88</v>
      </c>
      <c r="R1049">
        <v>27.91</v>
      </c>
      <c r="S1049">
        <v>145.5</v>
      </c>
    </row>
    <row r="1050" spans="1:19" x14ac:dyDescent="0.25">
      <c r="A1050" s="6">
        <v>45391</v>
      </c>
      <c r="B1050">
        <v>75.430000000000007</v>
      </c>
      <c r="C1050">
        <v>93</v>
      </c>
      <c r="D1050">
        <v>103.63</v>
      </c>
      <c r="E1050">
        <v>106.93</v>
      </c>
      <c r="F1050">
        <v>105.16</v>
      </c>
      <c r="G1050">
        <v>85.23</v>
      </c>
      <c r="H1050">
        <v>89.42</v>
      </c>
      <c r="I1050">
        <v>89.43</v>
      </c>
      <c r="J1050">
        <v>121.18</v>
      </c>
      <c r="K1050">
        <v>31.85</v>
      </c>
      <c r="L1050">
        <v>75486.92</v>
      </c>
      <c r="M1050">
        <v>57249.65</v>
      </c>
      <c r="N1050">
        <v>9.5850000000000009</v>
      </c>
      <c r="O1050">
        <v>5.416E-2</v>
      </c>
      <c r="P1050">
        <v>2.0640000000000001</v>
      </c>
      <c r="Q1050">
        <v>135.06</v>
      </c>
      <c r="R1050">
        <v>27.35</v>
      </c>
      <c r="S1050">
        <v>147.94999999999999</v>
      </c>
    </row>
    <row r="1051" spans="1:19" x14ac:dyDescent="0.25">
      <c r="A1051" s="6">
        <v>45392</v>
      </c>
      <c r="B1051">
        <v>75.430000000000007</v>
      </c>
      <c r="C1051">
        <v>93</v>
      </c>
      <c r="D1051">
        <v>103.63</v>
      </c>
      <c r="E1051">
        <v>106.93</v>
      </c>
      <c r="F1051">
        <v>105.16</v>
      </c>
      <c r="G1051">
        <v>86.21</v>
      </c>
      <c r="H1051">
        <v>90.48</v>
      </c>
      <c r="I1051">
        <v>90.13</v>
      </c>
      <c r="J1051">
        <v>122.2</v>
      </c>
      <c r="K1051">
        <v>32.6</v>
      </c>
      <c r="L1051">
        <v>75520.37</v>
      </c>
      <c r="M1051">
        <v>56819.96</v>
      </c>
      <c r="N1051">
        <v>9.5850000000000009</v>
      </c>
      <c r="O1051">
        <v>5.3249999999999999E-2</v>
      </c>
      <c r="P1051">
        <v>2.0739999999999998</v>
      </c>
      <c r="Q1051">
        <v>132.94</v>
      </c>
      <c r="R1051">
        <v>27.1</v>
      </c>
      <c r="S1051">
        <v>150.44999999999999</v>
      </c>
    </row>
    <row r="1052" spans="1:19" x14ac:dyDescent="0.25">
      <c r="A1052" s="6">
        <v>45393</v>
      </c>
      <c r="B1052">
        <v>75.430000000000007</v>
      </c>
      <c r="C1052">
        <v>93</v>
      </c>
      <c r="D1052">
        <v>103.63</v>
      </c>
      <c r="E1052">
        <v>106.93</v>
      </c>
      <c r="F1052">
        <v>105.16</v>
      </c>
      <c r="G1052">
        <v>85.02</v>
      </c>
      <c r="H1052">
        <v>89.74</v>
      </c>
      <c r="I1052">
        <v>89.79</v>
      </c>
      <c r="J1052">
        <v>121.79</v>
      </c>
      <c r="K1052">
        <v>32.9</v>
      </c>
      <c r="L1052">
        <v>75303.25</v>
      </c>
      <c r="M1052">
        <v>57350.080000000002</v>
      </c>
      <c r="N1052">
        <v>9.61</v>
      </c>
      <c r="O1052">
        <v>5.3370000000000001E-2</v>
      </c>
      <c r="P1052">
        <v>2</v>
      </c>
      <c r="Q1052">
        <v>133.47999999999999</v>
      </c>
      <c r="R1052">
        <v>29.375</v>
      </c>
      <c r="S1052">
        <v>151.85</v>
      </c>
    </row>
    <row r="1053" spans="1:19" x14ac:dyDescent="0.25">
      <c r="A1053" s="6">
        <v>45394</v>
      </c>
      <c r="B1053">
        <v>72.41</v>
      </c>
      <c r="C1053">
        <v>92.75</v>
      </c>
      <c r="D1053">
        <v>104.42</v>
      </c>
      <c r="E1053">
        <v>106.93</v>
      </c>
      <c r="F1053">
        <v>106.36</v>
      </c>
      <c r="G1053">
        <v>85.66</v>
      </c>
      <c r="H1053">
        <v>90.45</v>
      </c>
      <c r="I1053">
        <v>90.22</v>
      </c>
      <c r="J1053">
        <v>120.37</v>
      </c>
      <c r="K1053">
        <v>32.299999999999997</v>
      </c>
      <c r="L1053">
        <v>75311.759999999995</v>
      </c>
      <c r="M1053">
        <v>62086.95</v>
      </c>
      <c r="N1053">
        <v>9.6449999999999996</v>
      </c>
      <c r="O1053">
        <v>5.2999999999999999E-2</v>
      </c>
      <c r="P1053">
        <v>2.0289999999999999</v>
      </c>
      <c r="Q1053">
        <v>133.55000000000001</v>
      </c>
      <c r="R1053">
        <v>30.731999999999999</v>
      </c>
      <c r="S1053">
        <v>151.85</v>
      </c>
    </row>
    <row r="1054" spans="1:19" x14ac:dyDescent="0.25">
      <c r="A1054" s="6">
        <v>45397</v>
      </c>
      <c r="B1054">
        <v>72.41</v>
      </c>
      <c r="C1054">
        <v>92.75</v>
      </c>
      <c r="D1054">
        <v>104.42</v>
      </c>
      <c r="E1054">
        <v>110.95</v>
      </c>
      <c r="F1054">
        <v>106.36</v>
      </c>
      <c r="G1054">
        <v>85.41</v>
      </c>
      <c r="H1054">
        <v>90.1</v>
      </c>
      <c r="I1054">
        <v>89.96</v>
      </c>
      <c r="J1054">
        <v>119.68</v>
      </c>
      <c r="K1054">
        <v>32.700000000000003</v>
      </c>
      <c r="L1054">
        <v>74518.63</v>
      </c>
      <c r="M1054">
        <v>59131.13</v>
      </c>
      <c r="N1054">
        <v>9.6869999999999994</v>
      </c>
      <c r="O1054">
        <v>5.2630000000000003E-2</v>
      </c>
      <c r="P1054">
        <v>1.6910000000000001</v>
      </c>
      <c r="Q1054">
        <v>130.54</v>
      </c>
      <c r="R1054">
        <v>31.145</v>
      </c>
      <c r="S1054">
        <v>146.5</v>
      </c>
    </row>
    <row r="1055" spans="1:19" x14ac:dyDescent="0.25">
      <c r="A1055" s="6">
        <v>45398</v>
      </c>
      <c r="B1055">
        <v>72.41</v>
      </c>
      <c r="C1055">
        <v>92.75</v>
      </c>
      <c r="D1055">
        <v>104.42</v>
      </c>
      <c r="E1055">
        <v>110.95</v>
      </c>
      <c r="F1055">
        <v>106.36</v>
      </c>
      <c r="G1055">
        <v>85.36</v>
      </c>
      <c r="H1055">
        <v>90.02</v>
      </c>
      <c r="I1055">
        <v>89.91</v>
      </c>
      <c r="J1055">
        <v>118.69</v>
      </c>
      <c r="K1055">
        <v>32.75</v>
      </c>
      <c r="L1055">
        <v>72999.600000000006</v>
      </c>
      <c r="M1055">
        <v>57148.23</v>
      </c>
      <c r="N1055">
        <v>11.26</v>
      </c>
      <c r="O1055">
        <v>5.246E-2</v>
      </c>
      <c r="P1055">
        <v>1.732</v>
      </c>
      <c r="Q1055">
        <v>129.9</v>
      </c>
      <c r="R1055">
        <v>33.14</v>
      </c>
      <c r="S1055">
        <v>148.19999999999999</v>
      </c>
    </row>
    <row r="1056" spans="1:19" x14ac:dyDescent="0.25">
      <c r="A1056" s="6">
        <v>45399</v>
      </c>
      <c r="B1056">
        <v>72.41</v>
      </c>
      <c r="C1056">
        <v>92.75</v>
      </c>
      <c r="D1056">
        <v>104.42</v>
      </c>
      <c r="E1056">
        <v>110.95</v>
      </c>
      <c r="F1056">
        <v>106.36</v>
      </c>
      <c r="G1056">
        <v>82.69</v>
      </c>
      <c r="H1056">
        <v>87.29</v>
      </c>
      <c r="I1056">
        <v>88.84</v>
      </c>
      <c r="J1056">
        <v>118.63</v>
      </c>
      <c r="K1056">
        <v>32.6</v>
      </c>
      <c r="L1056">
        <v>72995.179999999993</v>
      </c>
      <c r="M1056">
        <v>58769.31</v>
      </c>
      <c r="N1056">
        <v>10.744999999999999</v>
      </c>
      <c r="O1056">
        <v>5.2510000000000001E-2</v>
      </c>
      <c r="P1056">
        <v>1.712</v>
      </c>
      <c r="Q1056">
        <v>130.74</v>
      </c>
      <c r="R1056">
        <v>31.29</v>
      </c>
      <c r="S1056">
        <v>144.94999999999999</v>
      </c>
    </row>
    <row r="1057" spans="1:19" x14ac:dyDescent="0.25">
      <c r="A1057" s="6">
        <v>45400</v>
      </c>
      <c r="B1057">
        <v>72.41</v>
      </c>
      <c r="C1057">
        <v>92.75</v>
      </c>
      <c r="D1057">
        <v>104.42</v>
      </c>
      <c r="E1057">
        <v>110.95</v>
      </c>
      <c r="F1057">
        <v>106.36</v>
      </c>
      <c r="G1057">
        <v>82.73</v>
      </c>
      <c r="H1057">
        <v>87.11</v>
      </c>
      <c r="I1057">
        <v>88.81</v>
      </c>
      <c r="J1057">
        <v>118.52</v>
      </c>
      <c r="K1057">
        <v>32.700000000000003</v>
      </c>
      <c r="L1057">
        <v>73271.429999999993</v>
      </c>
      <c r="M1057">
        <v>58326.14</v>
      </c>
      <c r="N1057">
        <v>10.88</v>
      </c>
      <c r="O1057">
        <v>5.2200000000000003E-2</v>
      </c>
      <c r="P1057">
        <v>1.7569999999999999</v>
      </c>
      <c r="Q1057">
        <v>130.97999999999999</v>
      </c>
      <c r="R1057">
        <v>32.31</v>
      </c>
      <c r="S1057">
        <v>144.94999999999999</v>
      </c>
    </row>
    <row r="1058" spans="1:19" x14ac:dyDescent="0.25">
      <c r="A1058" s="6">
        <v>45401</v>
      </c>
      <c r="B1058">
        <v>75.709999999999994</v>
      </c>
      <c r="C1058">
        <v>95.8</v>
      </c>
      <c r="D1058">
        <v>108.91</v>
      </c>
      <c r="E1058">
        <v>110.95</v>
      </c>
      <c r="F1058">
        <v>108.06</v>
      </c>
      <c r="G1058">
        <v>83.14</v>
      </c>
      <c r="H1058">
        <v>87.29</v>
      </c>
      <c r="I1058">
        <v>88.82</v>
      </c>
      <c r="J1058">
        <v>119.88</v>
      </c>
      <c r="K1058">
        <v>32.85</v>
      </c>
      <c r="L1058">
        <v>73363.56</v>
      </c>
      <c r="M1058">
        <v>58277.95</v>
      </c>
      <c r="N1058">
        <v>10.5</v>
      </c>
      <c r="O1058">
        <v>5.2310000000000002E-2</v>
      </c>
      <c r="P1058">
        <v>1.752</v>
      </c>
      <c r="Q1058">
        <v>131.21</v>
      </c>
      <c r="R1058">
        <v>30.757999999999999</v>
      </c>
      <c r="S1058">
        <v>147.65</v>
      </c>
    </row>
    <row r="1059" spans="1:19" x14ac:dyDescent="0.25">
      <c r="A1059" s="6">
        <v>45404</v>
      </c>
      <c r="B1059">
        <v>75.709999999999994</v>
      </c>
      <c r="C1059">
        <v>95.8</v>
      </c>
      <c r="D1059">
        <v>108.91</v>
      </c>
      <c r="E1059">
        <v>106.69</v>
      </c>
      <c r="F1059">
        <v>108.06</v>
      </c>
      <c r="G1059">
        <v>82.85</v>
      </c>
      <c r="H1059">
        <v>87</v>
      </c>
      <c r="I1059">
        <v>88.72</v>
      </c>
      <c r="J1059">
        <v>120.56</v>
      </c>
      <c r="K1059">
        <v>31.65</v>
      </c>
      <c r="L1059">
        <v>73551.12</v>
      </c>
      <c r="M1059">
        <v>55296.51</v>
      </c>
      <c r="N1059">
        <v>10.53</v>
      </c>
      <c r="O1059">
        <v>5.2089999999999997E-2</v>
      </c>
      <c r="P1059">
        <v>1.7909999999999999</v>
      </c>
      <c r="Q1059">
        <v>131.65</v>
      </c>
      <c r="R1059">
        <v>29.31</v>
      </c>
      <c r="S1059">
        <v>148.9</v>
      </c>
    </row>
    <row r="1060" spans="1:19" x14ac:dyDescent="0.25">
      <c r="A1060" s="6">
        <v>45405</v>
      </c>
      <c r="B1060">
        <v>75.709999999999994</v>
      </c>
      <c r="C1060">
        <v>95.8</v>
      </c>
      <c r="D1060">
        <v>108.91</v>
      </c>
      <c r="E1060">
        <v>106.69</v>
      </c>
      <c r="F1060">
        <v>108.06</v>
      </c>
      <c r="G1060">
        <v>83.36</v>
      </c>
      <c r="H1060">
        <v>88.42</v>
      </c>
      <c r="I1060">
        <v>89.04</v>
      </c>
      <c r="J1060">
        <v>121.03</v>
      </c>
      <c r="K1060">
        <v>31.55</v>
      </c>
      <c r="L1060">
        <v>74010.83</v>
      </c>
      <c r="M1060">
        <v>54400.73</v>
      </c>
      <c r="N1060">
        <v>10.225</v>
      </c>
      <c r="O1060">
        <v>5.2310000000000002E-2</v>
      </c>
      <c r="P1060">
        <v>1.8120000000000001</v>
      </c>
      <c r="Q1060">
        <v>132.33000000000001</v>
      </c>
      <c r="R1060">
        <v>28.414999999999999</v>
      </c>
      <c r="S1060">
        <v>153.1</v>
      </c>
    </row>
    <row r="1061" spans="1:19" x14ac:dyDescent="0.25">
      <c r="A1061" s="6">
        <v>45406</v>
      </c>
      <c r="B1061">
        <v>75.709999999999994</v>
      </c>
      <c r="C1061">
        <v>95.8</v>
      </c>
      <c r="D1061">
        <v>108.91</v>
      </c>
      <c r="E1061">
        <v>106.69</v>
      </c>
      <c r="F1061">
        <v>108.06</v>
      </c>
      <c r="G1061">
        <v>82.81</v>
      </c>
      <c r="H1061">
        <v>88.02</v>
      </c>
      <c r="I1061">
        <v>89.02</v>
      </c>
      <c r="J1061">
        <v>121.05</v>
      </c>
      <c r="K1061">
        <v>31.7</v>
      </c>
      <c r="L1061">
        <v>74513.929999999993</v>
      </c>
      <c r="M1061">
        <v>54758.04</v>
      </c>
      <c r="N1061">
        <v>10.435</v>
      </c>
      <c r="O1061">
        <v>5.1999999999999998E-2</v>
      </c>
      <c r="P1061">
        <v>1.653</v>
      </c>
      <c r="Q1061">
        <v>132.57</v>
      </c>
      <c r="R1061">
        <v>29.02</v>
      </c>
      <c r="S1061">
        <v>153.85</v>
      </c>
    </row>
    <row r="1062" spans="1:19" x14ac:dyDescent="0.25">
      <c r="A1062" s="6">
        <v>45407</v>
      </c>
      <c r="B1062">
        <v>75.709999999999994</v>
      </c>
      <c r="C1062">
        <v>95.8</v>
      </c>
      <c r="D1062">
        <v>108.91</v>
      </c>
      <c r="E1062">
        <v>106.69</v>
      </c>
      <c r="F1062">
        <v>108.06</v>
      </c>
      <c r="G1062">
        <v>83.57</v>
      </c>
      <c r="H1062">
        <v>89.01</v>
      </c>
      <c r="I1062">
        <v>89.18</v>
      </c>
      <c r="J1062">
        <v>121.33</v>
      </c>
      <c r="K1062">
        <v>32.1</v>
      </c>
      <c r="L1062">
        <v>74329.37</v>
      </c>
      <c r="M1062">
        <v>54455.13</v>
      </c>
      <c r="N1062">
        <v>10.43</v>
      </c>
      <c r="O1062">
        <v>5.2490000000000002E-2</v>
      </c>
      <c r="P1062">
        <v>1.6379999999999999</v>
      </c>
      <c r="Q1062">
        <v>131.82</v>
      </c>
      <c r="R1062">
        <v>29.77</v>
      </c>
      <c r="S1062">
        <v>159.35</v>
      </c>
    </row>
    <row r="1063" spans="1:19" x14ac:dyDescent="0.25">
      <c r="A1063" s="6">
        <v>45408</v>
      </c>
      <c r="B1063">
        <v>71.77</v>
      </c>
      <c r="C1063">
        <v>91.31</v>
      </c>
      <c r="D1063">
        <v>103.78</v>
      </c>
      <c r="E1063">
        <v>106.69</v>
      </c>
      <c r="F1063">
        <v>107.74</v>
      </c>
      <c r="G1063">
        <v>83.85</v>
      </c>
      <c r="H1063">
        <v>89.5</v>
      </c>
      <c r="I1063">
        <v>89.19</v>
      </c>
      <c r="J1063">
        <v>117.96</v>
      </c>
      <c r="K1063">
        <v>31.95</v>
      </c>
      <c r="L1063">
        <v>75370.990000000005</v>
      </c>
      <c r="M1063">
        <v>54809.63</v>
      </c>
      <c r="N1063">
        <v>10.324999999999999</v>
      </c>
      <c r="O1063">
        <v>5.3150000000000003E-2</v>
      </c>
      <c r="P1063">
        <v>1.6140000000000001</v>
      </c>
      <c r="Q1063">
        <v>131.69999999999999</v>
      </c>
      <c r="R1063">
        <v>28.885000000000002</v>
      </c>
      <c r="S1063">
        <v>158.85</v>
      </c>
    </row>
    <row r="1064" spans="1:19" x14ac:dyDescent="0.25">
      <c r="A1064" s="6">
        <v>45411</v>
      </c>
      <c r="B1064">
        <v>71.77</v>
      </c>
      <c r="C1064">
        <v>91.31</v>
      </c>
      <c r="D1064">
        <v>103.78</v>
      </c>
      <c r="E1064">
        <v>103.58</v>
      </c>
      <c r="F1064">
        <v>107.74</v>
      </c>
      <c r="G1064">
        <v>82.63</v>
      </c>
      <c r="H1064">
        <v>88.4</v>
      </c>
      <c r="I1064">
        <v>89.11</v>
      </c>
      <c r="J1064">
        <v>119.64</v>
      </c>
      <c r="K1064">
        <v>32.15</v>
      </c>
      <c r="L1064">
        <v>76456.149999999994</v>
      </c>
      <c r="M1064">
        <v>56596.21</v>
      </c>
      <c r="N1064">
        <v>10.210000000000001</v>
      </c>
      <c r="O1064">
        <v>5.3690000000000002E-2</v>
      </c>
      <c r="P1064">
        <v>2.0299999999999998</v>
      </c>
      <c r="Q1064">
        <v>130.78</v>
      </c>
      <c r="R1064">
        <v>27.994</v>
      </c>
      <c r="S1064">
        <v>155.30000000000001</v>
      </c>
    </row>
    <row r="1065" spans="1:19" x14ac:dyDescent="0.25">
      <c r="A1065" s="6">
        <v>45412</v>
      </c>
      <c r="B1065">
        <v>71.77</v>
      </c>
      <c r="C1065">
        <v>91.31</v>
      </c>
      <c r="D1065">
        <v>103.78</v>
      </c>
      <c r="E1065">
        <v>103.58</v>
      </c>
      <c r="F1065">
        <v>107.74</v>
      </c>
      <c r="G1065">
        <v>81.93</v>
      </c>
      <c r="H1065">
        <v>87.86</v>
      </c>
      <c r="I1065">
        <v>89.17</v>
      </c>
      <c r="J1065">
        <v>118.27</v>
      </c>
      <c r="K1065">
        <v>32.700000000000003</v>
      </c>
      <c r="L1065">
        <v>76076.17</v>
      </c>
      <c r="M1065">
        <v>53283.85</v>
      </c>
      <c r="N1065">
        <v>10.335000000000001</v>
      </c>
      <c r="O1065">
        <v>5.3220000000000003E-2</v>
      </c>
      <c r="P1065">
        <v>1.9910000000000001</v>
      </c>
      <c r="Q1065">
        <v>128.76</v>
      </c>
      <c r="R1065">
        <v>29.12</v>
      </c>
      <c r="S1065">
        <v>156.30000000000001</v>
      </c>
    </row>
    <row r="1066" spans="1:19" x14ac:dyDescent="0.25">
      <c r="A1066" s="6">
        <v>45413</v>
      </c>
      <c r="B1066">
        <v>71.77</v>
      </c>
      <c r="C1066">
        <v>91.31</v>
      </c>
      <c r="D1066">
        <v>103.78</v>
      </c>
      <c r="E1066">
        <v>103.58</v>
      </c>
      <c r="F1066">
        <v>107.74</v>
      </c>
      <c r="G1066">
        <v>79</v>
      </c>
      <c r="H1066">
        <v>83.44</v>
      </c>
      <c r="I1066">
        <v>83.46</v>
      </c>
      <c r="J1066">
        <v>116.03</v>
      </c>
      <c r="K1066">
        <v>32.656652360515181</v>
      </c>
      <c r="L1066">
        <v>76763.827682403848</v>
      </c>
      <c r="M1066">
        <v>54845.881244635209</v>
      </c>
      <c r="N1066">
        <v>10.234999999999999</v>
      </c>
      <c r="O1066">
        <v>5.3760000000000002E-2</v>
      </c>
      <c r="P1066">
        <v>1.9319999999999999</v>
      </c>
      <c r="Q1066">
        <v>128.68</v>
      </c>
      <c r="R1066">
        <v>28.73</v>
      </c>
      <c r="S1066">
        <v>156.19999999999999</v>
      </c>
    </row>
    <row r="1067" spans="1:19" x14ac:dyDescent="0.25">
      <c r="A1067" s="6">
        <v>45414</v>
      </c>
      <c r="B1067">
        <v>71.77</v>
      </c>
      <c r="C1067">
        <v>91.31</v>
      </c>
      <c r="D1067">
        <v>103.78</v>
      </c>
      <c r="E1067">
        <v>103.58</v>
      </c>
      <c r="F1067">
        <v>107.74</v>
      </c>
      <c r="G1067">
        <v>78.95</v>
      </c>
      <c r="H1067">
        <v>83.67</v>
      </c>
      <c r="I1067">
        <v>83.87</v>
      </c>
      <c r="J1067">
        <v>116.24</v>
      </c>
      <c r="K1067">
        <v>32.6</v>
      </c>
      <c r="L1067">
        <v>76046.850000000006</v>
      </c>
      <c r="M1067">
        <v>52363.42</v>
      </c>
      <c r="N1067">
        <v>10.41</v>
      </c>
      <c r="O1067">
        <v>5.3900000000000003E-2</v>
      </c>
      <c r="P1067">
        <v>2.0350000000000001</v>
      </c>
      <c r="Q1067">
        <v>126.54</v>
      </c>
      <c r="R1067">
        <v>30.914999999999999</v>
      </c>
      <c r="S1067">
        <v>156.19999999999999</v>
      </c>
    </row>
    <row r="1068" spans="1:19" x14ac:dyDescent="0.25">
      <c r="A1068" s="6">
        <v>45415</v>
      </c>
      <c r="B1068">
        <v>71.540000000000006</v>
      </c>
      <c r="C1068">
        <v>91.37</v>
      </c>
      <c r="D1068">
        <v>102.73</v>
      </c>
      <c r="E1068">
        <v>106.02</v>
      </c>
      <c r="F1068">
        <v>107.08</v>
      </c>
      <c r="G1068">
        <v>78.11</v>
      </c>
      <c r="H1068">
        <v>82.96</v>
      </c>
      <c r="I1068">
        <v>83.2</v>
      </c>
      <c r="J1068">
        <v>116</v>
      </c>
      <c r="K1068">
        <v>33.200000000000003</v>
      </c>
      <c r="L1068">
        <v>76428.33</v>
      </c>
      <c r="M1068">
        <v>51988.46</v>
      </c>
      <c r="N1068">
        <v>10.47</v>
      </c>
      <c r="O1068">
        <v>5.4010000000000002E-2</v>
      </c>
      <c r="P1068">
        <v>2.1419999999999999</v>
      </c>
      <c r="Q1068">
        <v>130.5</v>
      </c>
      <c r="R1068">
        <v>30.53</v>
      </c>
      <c r="S1068">
        <v>157.55000000000001</v>
      </c>
    </row>
    <row r="1069" spans="1:19" x14ac:dyDescent="0.25">
      <c r="A1069" s="6">
        <v>45418</v>
      </c>
      <c r="B1069">
        <v>71.540000000000006</v>
      </c>
      <c r="C1069">
        <v>91.37</v>
      </c>
      <c r="D1069">
        <v>102.73</v>
      </c>
      <c r="E1069">
        <v>106.02</v>
      </c>
      <c r="F1069">
        <v>107.08</v>
      </c>
      <c r="G1069">
        <v>78.48</v>
      </c>
      <c r="H1069">
        <v>83.33</v>
      </c>
      <c r="I1069">
        <v>83.56</v>
      </c>
      <c r="J1069">
        <v>116.75</v>
      </c>
      <c r="K1069">
        <v>33.549999999999997</v>
      </c>
      <c r="L1069">
        <v>76776.45</v>
      </c>
      <c r="M1069">
        <v>53586.93</v>
      </c>
      <c r="N1069">
        <v>10.47</v>
      </c>
      <c r="O1069">
        <v>5.4089999999999999E-2</v>
      </c>
      <c r="P1069">
        <v>2.1949999999999998</v>
      </c>
      <c r="Q1069">
        <v>131.28</v>
      </c>
      <c r="R1069">
        <v>31.8</v>
      </c>
      <c r="S1069">
        <v>152.94999999999999</v>
      </c>
    </row>
    <row r="1070" spans="1:19" x14ac:dyDescent="0.25">
      <c r="A1070" s="6">
        <v>45419</v>
      </c>
      <c r="B1070">
        <v>71.540000000000006</v>
      </c>
      <c r="C1070">
        <v>91.37</v>
      </c>
      <c r="D1070">
        <v>102.73</v>
      </c>
      <c r="E1070">
        <v>106.02</v>
      </c>
      <c r="F1070">
        <v>107.08</v>
      </c>
      <c r="G1070">
        <v>78.38</v>
      </c>
      <c r="H1070">
        <v>83.16</v>
      </c>
      <c r="I1070">
        <v>83.57</v>
      </c>
      <c r="J1070">
        <v>116.17</v>
      </c>
      <c r="K1070">
        <v>33.9</v>
      </c>
      <c r="L1070">
        <v>76929.48</v>
      </c>
      <c r="M1070">
        <v>52907.35</v>
      </c>
      <c r="N1070">
        <v>10.5</v>
      </c>
      <c r="O1070">
        <v>5.398E-2</v>
      </c>
      <c r="P1070">
        <v>2.2069999999999999</v>
      </c>
      <c r="Q1070">
        <v>133.72</v>
      </c>
      <c r="R1070">
        <v>31.065000000000001</v>
      </c>
      <c r="S1070">
        <v>148.69999999999999</v>
      </c>
    </row>
    <row r="1071" spans="1:19" x14ac:dyDescent="0.25">
      <c r="A1071" s="6">
        <v>45420</v>
      </c>
      <c r="B1071">
        <v>71.540000000000006</v>
      </c>
      <c r="C1071">
        <v>91.37</v>
      </c>
      <c r="D1071">
        <v>102.73</v>
      </c>
      <c r="E1071">
        <v>106.02</v>
      </c>
      <c r="F1071">
        <v>107.08</v>
      </c>
      <c r="G1071">
        <v>78.989999999999995</v>
      </c>
      <c r="H1071">
        <v>83.58</v>
      </c>
      <c r="I1071">
        <v>84.16</v>
      </c>
      <c r="J1071">
        <v>116.15</v>
      </c>
      <c r="K1071">
        <v>34.450000000000003</v>
      </c>
      <c r="L1071">
        <v>77177.429999999993</v>
      </c>
      <c r="M1071">
        <v>53084.93</v>
      </c>
      <c r="N1071">
        <v>10.46</v>
      </c>
      <c r="O1071">
        <v>5.3839999999999999E-2</v>
      </c>
      <c r="P1071">
        <v>2.1869999999999998</v>
      </c>
      <c r="Q1071">
        <v>133.38999999999999</v>
      </c>
      <c r="R1071">
        <v>30.61</v>
      </c>
      <c r="S1071">
        <v>147.5</v>
      </c>
    </row>
    <row r="1072" spans="1:19" x14ac:dyDescent="0.25">
      <c r="A1072" s="6">
        <v>45421</v>
      </c>
      <c r="B1072">
        <v>71.540000000000006</v>
      </c>
      <c r="C1072">
        <v>91.37</v>
      </c>
      <c r="D1072">
        <v>102.73</v>
      </c>
      <c r="E1072">
        <v>106.02</v>
      </c>
      <c r="F1072">
        <v>107.08</v>
      </c>
      <c r="G1072">
        <v>79.260000000000005</v>
      </c>
      <c r="H1072">
        <v>83.88</v>
      </c>
      <c r="I1072">
        <v>84.18</v>
      </c>
      <c r="J1072">
        <v>118.44</v>
      </c>
      <c r="K1072">
        <v>34.4</v>
      </c>
      <c r="L1072">
        <v>77539.149999999994</v>
      </c>
      <c r="M1072">
        <v>53977.68</v>
      </c>
      <c r="N1072">
        <v>10.46</v>
      </c>
      <c r="O1072">
        <v>5.4100000000000002E-2</v>
      </c>
      <c r="P1072">
        <v>2.3010000000000002</v>
      </c>
      <c r="Q1072">
        <v>134.94999999999999</v>
      </c>
      <c r="R1072">
        <v>30.864999999999998</v>
      </c>
      <c r="S1072">
        <v>142.80000000000001</v>
      </c>
    </row>
    <row r="1073" spans="1:19" x14ac:dyDescent="0.25">
      <c r="A1073" s="6">
        <v>45422</v>
      </c>
      <c r="B1073">
        <v>72.05</v>
      </c>
      <c r="C1073">
        <v>92.93</v>
      </c>
      <c r="D1073">
        <v>104.89</v>
      </c>
      <c r="E1073">
        <v>106.02</v>
      </c>
      <c r="F1073">
        <v>108.05</v>
      </c>
      <c r="G1073">
        <v>78.260000000000005</v>
      </c>
      <c r="H1073">
        <v>82.79</v>
      </c>
      <c r="I1073">
        <v>83.65</v>
      </c>
      <c r="J1073">
        <v>117.96</v>
      </c>
      <c r="K1073">
        <v>36.5</v>
      </c>
      <c r="L1073">
        <v>78464.22</v>
      </c>
      <c r="M1073">
        <v>55943.14</v>
      </c>
      <c r="N1073">
        <v>10.475</v>
      </c>
      <c r="O1073">
        <v>5.4170000000000003E-2</v>
      </c>
      <c r="P1073">
        <v>2.2519999999999998</v>
      </c>
      <c r="Q1073">
        <v>133.99</v>
      </c>
      <c r="R1073">
        <v>30.03</v>
      </c>
      <c r="S1073">
        <v>145.05000000000001</v>
      </c>
    </row>
    <row r="1074" spans="1:19" x14ac:dyDescent="0.25">
      <c r="A1074" s="6">
        <v>45425</v>
      </c>
      <c r="B1074">
        <v>72.05</v>
      </c>
      <c r="C1074">
        <v>92.93</v>
      </c>
      <c r="D1074">
        <v>104.89</v>
      </c>
      <c r="E1074">
        <v>106.05</v>
      </c>
      <c r="F1074">
        <v>108.05</v>
      </c>
      <c r="G1074">
        <v>79.12</v>
      </c>
      <c r="H1074">
        <v>83.36</v>
      </c>
      <c r="I1074">
        <v>84.14</v>
      </c>
      <c r="J1074">
        <v>117.91</v>
      </c>
      <c r="K1074">
        <v>36.15</v>
      </c>
      <c r="L1074">
        <v>78686.89</v>
      </c>
      <c r="M1074">
        <v>55453.2</v>
      </c>
      <c r="N1074">
        <v>10.45</v>
      </c>
      <c r="O1074">
        <v>5.4429999999999999E-2</v>
      </c>
      <c r="P1074">
        <v>2.3809999999999998</v>
      </c>
      <c r="Q1074">
        <v>133.74</v>
      </c>
      <c r="R1074">
        <v>29.58</v>
      </c>
      <c r="S1074">
        <v>145.1</v>
      </c>
    </row>
    <row r="1075" spans="1:19" x14ac:dyDescent="0.25">
      <c r="A1075" s="6">
        <v>45426</v>
      </c>
      <c r="B1075">
        <v>72.05</v>
      </c>
      <c r="C1075">
        <v>92.93</v>
      </c>
      <c r="D1075">
        <v>104.89</v>
      </c>
      <c r="E1075">
        <v>106.05</v>
      </c>
      <c r="F1075">
        <v>108.05</v>
      </c>
      <c r="G1075">
        <v>78.02</v>
      </c>
      <c r="H1075">
        <v>82.38</v>
      </c>
      <c r="I1075">
        <v>83.56</v>
      </c>
      <c r="J1075">
        <v>117.67</v>
      </c>
      <c r="K1075">
        <v>35.549999999999997</v>
      </c>
      <c r="L1075">
        <v>78632.58</v>
      </c>
      <c r="M1075">
        <v>55351.62</v>
      </c>
      <c r="N1075">
        <v>10.45</v>
      </c>
      <c r="O1075">
        <v>5.4449999999999998E-2</v>
      </c>
      <c r="P1075">
        <v>2.3439999999999999</v>
      </c>
      <c r="Q1075">
        <v>134.38999999999999</v>
      </c>
      <c r="R1075">
        <v>29.67</v>
      </c>
      <c r="S1075">
        <v>144.85</v>
      </c>
    </row>
    <row r="1076" spans="1:19" x14ac:dyDescent="0.25">
      <c r="A1076" s="6">
        <v>45427</v>
      </c>
      <c r="B1076">
        <v>72.05</v>
      </c>
      <c r="C1076">
        <v>92.93</v>
      </c>
      <c r="D1076">
        <v>104.89</v>
      </c>
      <c r="E1076">
        <v>106.05</v>
      </c>
      <c r="F1076">
        <v>108.05</v>
      </c>
      <c r="G1076">
        <v>78.63</v>
      </c>
      <c r="H1076">
        <v>82.75</v>
      </c>
      <c r="I1076">
        <v>83.67</v>
      </c>
      <c r="J1076">
        <v>118.58</v>
      </c>
      <c r="K1076">
        <v>36.464163090129659</v>
      </c>
      <c r="L1076">
        <v>79361.570000000007</v>
      </c>
      <c r="M1076">
        <v>56268.57</v>
      </c>
      <c r="N1076">
        <v>10.468999999999999</v>
      </c>
      <c r="O1076">
        <v>5.4699999999999999E-2</v>
      </c>
      <c r="P1076">
        <v>2.4159999999999999</v>
      </c>
      <c r="Q1076">
        <v>137.87</v>
      </c>
      <c r="R1076">
        <v>29.734999999999999</v>
      </c>
      <c r="S1076">
        <v>145.55000000000001</v>
      </c>
    </row>
    <row r="1077" spans="1:19" x14ac:dyDescent="0.25">
      <c r="A1077" s="6">
        <v>45428</v>
      </c>
      <c r="B1077">
        <v>72.05</v>
      </c>
      <c r="C1077">
        <v>92.93</v>
      </c>
      <c r="D1077">
        <v>104.89</v>
      </c>
      <c r="E1077">
        <v>106.05</v>
      </c>
      <c r="F1077">
        <v>108.05</v>
      </c>
      <c r="G1077">
        <v>79.23</v>
      </c>
      <c r="H1077">
        <v>83.27</v>
      </c>
      <c r="I1077">
        <v>83.94</v>
      </c>
      <c r="J1077">
        <v>117.87</v>
      </c>
      <c r="K1077">
        <v>35.799999999999997</v>
      </c>
      <c r="L1077">
        <v>79508.98</v>
      </c>
      <c r="M1077">
        <v>55309.59</v>
      </c>
      <c r="N1077">
        <v>11.045</v>
      </c>
      <c r="O1077">
        <v>5.491E-2</v>
      </c>
      <c r="P1077">
        <v>2.4950000000000001</v>
      </c>
      <c r="Q1077">
        <v>137.11000000000001</v>
      </c>
      <c r="R1077">
        <v>30.25</v>
      </c>
      <c r="S1077">
        <v>148</v>
      </c>
    </row>
    <row r="1078" spans="1:19" x14ac:dyDescent="0.25">
      <c r="A1078" s="6">
        <v>45429</v>
      </c>
      <c r="B1078">
        <v>71.86</v>
      </c>
      <c r="C1078">
        <v>92.39</v>
      </c>
      <c r="D1078">
        <v>103.69</v>
      </c>
      <c r="E1078">
        <v>106.05</v>
      </c>
      <c r="F1078">
        <v>108.7</v>
      </c>
      <c r="G1078">
        <v>80.06</v>
      </c>
      <c r="H1078">
        <v>83.98</v>
      </c>
      <c r="I1078">
        <v>84.38</v>
      </c>
      <c r="J1078">
        <v>119.64</v>
      </c>
      <c r="K1078">
        <v>35.85</v>
      </c>
      <c r="L1078">
        <v>79530.63</v>
      </c>
      <c r="M1078">
        <v>56788.87</v>
      </c>
      <c r="N1078">
        <v>11.16</v>
      </c>
      <c r="O1078">
        <v>5.5059999999999998E-2</v>
      </c>
      <c r="P1078">
        <v>2.6259999999999999</v>
      </c>
      <c r="Q1078">
        <v>138.4</v>
      </c>
      <c r="R1078">
        <v>30.768999999999998</v>
      </c>
      <c r="S1078">
        <v>151.4</v>
      </c>
    </row>
    <row r="1079" spans="1:19" x14ac:dyDescent="0.25">
      <c r="A1079" s="6">
        <v>45432</v>
      </c>
      <c r="B1079">
        <v>71.86</v>
      </c>
      <c r="C1079">
        <v>92.39</v>
      </c>
      <c r="D1079">
        <v>103.69</v>
      </c>
      <c r="E1079">
        <v>110.38</v>
      </c>
      <c r="F1079">
        <v>108.7</v>
      </c>
      <c r="G1079">
        <v>79.8</v>
      </c>
      <c r="H1079">
        <v>83.71</v>
      </c>
      <c r="I1079">
        <v>84.33</v>
      </c>
      <c r="J1079">
        <v>118.67</v>
      </c>
      <c r="K1079">
        <v>36.25</v>
      </c>
      <c r="L1079">
        <v>80072.990000000005</v>
      </c>
      <c r="M1079">
        <v>58180.36</v>
      </c>
      <c r="N1079">
        <v>11.505000000000001</v>
      </c>
      <c r="O1079">
        <v>5.4899999999999997E-2</v>
      </c>
      <c r="P1079">
        <v>2.7509999999999999</v>
      </c>
      <c r="Q1079">
        <v>136.94999999999999</v>
      </c>
      <c r="R1079">
        <v>31.77</v>
      </c>
      <c r="S1079">
        <v>160.44999999999999</v>
      </c>
    </row>
    <row r="1080" spans="1:19" x14ac:dyDescent="0.25">
      <c r="A1080" s="6">
        <v>45433</v>
      </c>
      <c r="B1080">
        <v>71.86</v>
      </c>
      <c r="C1080">
        <v>92.39</v>
      </c>
      <c r="D1080">
        <v>103.69</v>
      </c>
      <c r="E1080">
        <v>110.38</v>
      </c>
      <c r="F1080">
        <v>108.7</v>
      </c>
      <c r="G1080">
        <v>79.260000000000005</v>
      </c>
      <c r="H1080">
        <v>82.88</v>
      </c>
      <c r="I1080">
        <v>84.13</v>
      </c>
      <c r="J1080">
        <v>117.85</v>
      </c>
      <c r="K1080">
        <v>36.85</v>
      </c>
      <c r="L1080">
        <v>79808.070000000007</v>
      </c>
      <c r="M1080">
        <v>57529.74</v>
      </c>
      <c r="N1080">
        <v>11.824999999999999</v>
      </c>
      <c r="O1080">
        <v>5.5289999999999999E-2</v>
      </c>
      <c r="P1080">
        <v>2.6709999999999998</v>
      </c>
      <c r="Q1080">
        <v>137.27000000000001</v>
      </c>
      <c r="R1080">
        <v>33.005000000000003</v>
      </c>
      <c r="S1080">
        <v>160.44999999999999</v>
      </c>
    </row>
    <row r="1081" spans="1:19" x14ac:dyDescent="0.25">
      <c r="A1081" s="6">
        <v>45434</v>
      </c>
      <c r="B1081">
        <v>71.86</v>
      </c>
      <c r="C1081">
        <v>92.39</v>
      </c>
      <c r="D1081">
        <v>103.69</v>
      </c>
      <c r="E1081">
        <v>110.38</v>
      </c>
      <c r="F1081">
        <v>108.7</v>
      </c>
      <c r="G1081">
        <v>77.569999999999993</v>
      </c>
      <c r="H1081">
        <v>81.900000000000006</v>
      </c>
      <c r="I1081">
        <v>83.76</v>
      </c>
      <c r="J1081">
        <v>115.48</v>
      </c>
      <c r="K1081">
        <v>36.450000000000003</v>
      </c>
      <c r="L1081">
        <v>79492.570000000007</v>
      </c>
      <c r="M1081">
        <v>56242.51</v>
      </c>
      <c r="N1081">
        <v>11.975</v>
      </c>
      <c r="O1081">
        <v>5.4730000000000001E-2</v>
      </c>
      <c r="P1081">
        <v>2.8420000000000001</v>
      </c>
      <c r="Q1081">
        <v>136.88999999999999</v>
      </c>
      <c r="R1081">
        <v>34.39</v>
      </c>
      <c r="S1081">
        <v>154.5</v>
      </c>
    </row>
    <row r="1082" spans="1:19" x14ac:dyDescent="0.25">
      <c r="A1082" s="6">
        <v>45435</v>
      </c>
      <c r="B1082">
        <v>71.86</v>
      </c>
      <c r="C1082">
        <v>92.39</v>
      </c>
      <c r="D1082">
        <v>103.69</v>
      </c>
      <c r="E1082">
        <v>110.38</v>
      </c>
      <c r="F1082">
        <v>108.7</v>
      </c>
      <c r="G1082">
        <v>76.87</v>
      </c>
      <c r="H1082">
        <v>81.36</v>
      </c>
      <c r="I1082">
        <v>83.65</v>
      </c>
      <c r="J1082">
        <v>113.51</v>
      </c>
      <c r="K1082">
        <v>36.65</v>
      </c>
      <c r="L1082">
        <v>78956.070000000007</v>
      </c>
      <c r="M1082">
        <v>54500.95</v>
      </c>
      <c r="N1082">
        <v>12.255000000000001</v>
      </c>
      <c r="O1082">
        <v>5.4080000000000003E-2</v>
      </c>
      <c r="P1082">
        <v>2.657</v>
      </c>
      <c r="Q1082">
        <v>135.4</v>
      </c>
      <c r="R1082">
        <v>35.229999999999997</v>
      </c>
      <c r="S1082">
        <v>155.75</v>
      </c>
    </row>
    <row r="1083" spans="1:19" x14ac:dyDescent="0.25">
      <c r="A1083" s="6">
        <v>45436</v>
      </c>
      <c r="B1083">
        <v>74.87</v>
      </c>
      <c r="C1083">
        <v>95.36</v>
      </c>
      <c r="D1083">
        <v>107.11</v>
      </c>
      <c r="E1083">
        <v>111.35</v>
      </c>
      <c r="F1083">
        <v>111.29</v>
      </c>
      <c r="G1083">
        <v>77.72</v>
      </c>
      <c r="H1083">
        <v>82.12</v>
      </c>
      <c r="I1083">
        <v>83.83</v>
      </c>
      <c r="J1083">
        <v>113.42</v>
      </c>
      <c r="K1083">
        <v>36.25</v>
      </c>
      <c r="L1083">
        <v>79150.84</v>
      </c>
      <c r="M1083">
        <v>55282.35</v>
      </c>
      <c r="N1083">
        <v>11.94</v>
      </c>
      <c r="O1083">
        <v>5.4190000000000002E-2</v>
      </c>
      <c r="P1083">
        <v>2.52</v>
      </c>
      <c r="Q1083">
        <v>136.34</v>
      </c>
      <c r="R1083">
        <v>34.115000000000002</v>
      </c>
      <c r="S1083">
        <v>157.75</v>
      </c>
    </row>
    <row r="1084" spans="1:19" x14ac:dyDescent="0.25">
      <c r="A1084" s="6">
        <v>45439</v>
      </c>
      <c r="B1084">
        <v>74.87</v>
      </c>
      <c r="C1084">
        <v>95.36</v>
      </c>
      <c r="D1084">
        <v>107.11</v>
      </c>
      <c r="E1084">
        <v>111.35</v>
      </c>
      <c r="F1084">
        <v>111.29</v>
      </c>
      <c r="G1084">
        <v>78.650000000000006</v>
      </c>
      <c r="H1084">
        <v>83.1</v>
      </c>
      <c r="I1084">
        <v>83.990000000000009</v>
      </c>
      <c r="J1084">
        <v>114.15</v>
      </c>
      <c r="K1084">
        <v>36.85</v>
      </c>
      <c r="L1084">
        <v>78920.88</v>
      </c>
      <c r="M1084">
        <v>55974.62</v>
      </c>
      <c r="N1084">
        <v>12.605945945945678</v>
      </c>
      <c r="O1084">
        <v>5.4449999999999998E-2</v>
      </c>
      <c r="P1084">
        <v>2.78</v>
      </c>
      <c r="Q1084">
        <v>135.005</v>
      </c>
      <c r="R1084">
        <v>34.799999999999997</v>
      </c>
      <c r="S1084">
        <v>160.80000000000001</v>
      </c>
    </row>
    <row r="1085" spans="1:19" x14ac:dyDescent="0.25">
      <c r="A1085" s="6">
        <v>45440</v>
      </c>
      <c r="B1085">
        <v>74.87</v>
      </c>
      <c r="C1085">
        <v>95.36</v>
      </c>
      <c r="D1085">
        <v>107.11</v>
      </c>
      <c r="E1085">
        <v>111.35</v>
      </c>
      <c r="F1085">
        <v>111.29</v>
      </c>
      <c r="G1085">
        <v>79.83</v>
      </c>
      <c r="H1085">
        <v>84.22</v>
      </c>
      <c r="I1085">
        <v>84.15</v>
      </c>
      <c r="J1085">
        <v>114.88</v>
      </c>
      <c r="K1085">
        <v>37.65</v>
      </c>
      <c r="L1085">
        <v>78576.14</v>
      </c>
      <c r="M1085">
        <v>55218.1</v>
      </c>
      <c r="N1085">
        <v>11.955</v>
      </c>
      <c r="O1085">
        <v>5.4690000000000003E-2</v>
      </c>
      <c r="P1085">
        <v>2.59</v>
      </c>
      <c r="Q1085">
        <v>133.66999999999999</v>
      </c>
      <c r="R1085">
        <v>33.534999999999997</v>
      </c>
      <c r="S1085">
        <v>157.15</v>
      </c>
    </row>
    <row r="1086" spans="1:19" x14ac:dyDescent="0.25">
      <c r="A1086" s="6">
        <v>45441</v>
      </c>
      <c r="B1086">
        <v>74.87</v>
      </c>
      <c r="C1086">
        <v>95.36</v>
      </c>
      <c r="D1086">
        <v>107.11</v>
      </c>
      <c r="E1086">
        <v>111.35</v>
      </c>
      <c r="F1086">
        <v>111.29</v>
      </c>
      <c r="G1086">
        <v>79.23</v>
      </c>
      <c r="H1086">
        <v>83.6</v>
      </c>
      <c r="I1086">
        <v>84.05</v>
      </c>
      <c r="J1086">
        <v>113.63</v>
      </c>
      <c r="K1086">
        <v>38.200000000000003</v>
      </c>
      <c r="L1086">
        <v>78472.562231759541</v>
      </c>
      <c r="M1086">
        <v>54973.614635192789</v>
      </c>
      <c r="N1086">
        <v>11.83</v>
      </c>
      <c r="O1086">
        <v>5.4289999999999998E-2</v>
      </c>
      <c r="P1086">
        <v>2.4929999999999999</v>
      </c>
      <c r="Q1086">
        <v>131.94999999999999</v>
      </c>
      <c r="R1086">
        <v>33.880000000000003</v>
      </c>
      <c r="S1086">
        <v>156.80000000000001</v>
      </c>
    </row>
    <row r="1087" spans="1:19" x14ac:dyDescent="0.25">
      <c r="A1087" s="6">
        <v>45442</v>
      </c>
      <c r="B1087">
        <v>74.87</v>
      </c>
      <c r="C1087">
        <v>95.36</v>
      </c>
      <c r="D1087">
        <v>107.11</v>
      </c>
      <c r="E1087">
        <v>111.35</v>
      </c>
      <c r="F1087">
        <v>111.29</v>
      </c>
      <c r="G1087">
        <v>77.91</v>
      </c>
      <c r="H1087">
        <v>81.86</v>
      </c>
      <c r="I1087">
        <v>84</v>
      </c>
      <c r="J1087">
        <v>113.99</v>
      </c>
      <c r="K1087">
        <v>37.5</v>
      </c>
      <c r="L1087">
        <v>77161.710000000006</v>
      </c>
      <c r="M1087">
        <v>54703.4</v>
      </c>
      <c r="N1087">
        <v>11.96</v>
      </c>
      <c r="O1087">
        <v>5.33E-2</v>
      </c>
      <c r="P1087">
        <v>2.5720000000000001</v>
      </c>
      <c r="Q1087">
        <v>133.24</v>
      </c>
      <c r="R1087">
        <v>35.192</v>
      </c>
      <c r="S1087">
        <v>154.30000000000001</v>
      </c>
    </row>
    <row r="1088" spans="1:19" x14ac:dyDescent="0.25">
      <c r="A1088" s="6">
        <v>45443</v>
      </c>
      <c r="B1088">
        <v>76.97</v>
      </c>
      <c r="C1088">
        <v>98.19</v>
      </c>
      <c r="D1088">
        <v>110.11</v>
      </c>
      <c r="E1088">
        <v>111.35</v>
      </c>
      <c r="F1088">
        <v>111.73</v>
      </c>
      <c r="G1088">
        <v>76.989999999999995</v>
      </c>
      <c r="H1088">
        <v>81.62</v>
      </c>
      <c r="I1088">
        <v>84.04</v>
      </c>
      <c r="J1088">
        <v>117.26</v>
      </c>
      <c r="K1088">
        <v>37.950000000000003</v>
      </c>
      <c r="L1088">
        <v>76704.259999999995</v>
      </c>
      <c r="M1088">
        <v>53620.26</v>
      </c>
      <c r="N1088">
        <v>11.904999999999999</v>
      </c>
      <c r="O1088">
        <v>5.3129999999999997E-2</v>
      </c>
      <c r="P1088">
        <v>2.5870000000000002</v>
      </c>
      <c r="Q1088">
        <v>133.9</v>
      </c>
      <c r="R1088">
        <v>34.222999999999999</v>
      </c>
      <c r="S1088">
        <v>153.15</v>
      </c>
    </row>
    <row r="1089" spans="1:19" x14ac:dyDescent="0.25">
      <c r="A1089" s="6">
        <v>45446</v>
      </c>
      <c r="B1089">
        <v>76.97</v>
      </c>
      <c r="C1089">
        <v>98.19</v>
      </c>
      <c r="D1089">
        <v>110.11</v>
      </c>
      <c r="E1089">
        <v>109.62</v>
      </c>
      <c r="F1089">
        <v>111.73</v>
      </c>
      <c r="G1089">
        <v>74.22</v>
      </c>
      <c r="H1089">
        <v>78.22</v>
      </c>
      <c r="I1089">
        <v>79.17</v>
      </c>
      <c r="J1089">
        <v>114.45</v>
      </c>
      <c r="K1089">
        <v>38.1</v>
      </c>
      <c r="L1089">
        <v>77746.23</v>
      </c>
      <c r="M1089">
        <v>53005.87</v>
      </c>
      <c r="N1089">
        <v>12.05</v>
      </c>
      <c r="O1089">
        <v>5.4030000000000002E-2</v>
      </c>
      <c r="P1089">
        <v>2.8039999999999998</v>
      </c>
      <c r="Q1089">
        <v>133.65</v>
      </c>
      <c r="R1089">
        <v>36.015000000000001</v>
      </c>
      <c r="S1089">
        <v>157.80000000000001</v>
      </c>
    </row>
    <row r="1090" spans="1:19" x14ac:dyDescent="0.25">
      <c r="A1090" s="6">
        <v>45447</v>
      </c>
      <c r="B1090">
        <v>76.97</v>
      </c>
      <c r="C1090">
        <v>98.19</v>
      </c>
      <c r="D1090">
        <v>110.11</v>
      </c>
      <c r="E1090">
        <v>109.62</v>
      </c>
      <c r="F1090">
        <v>111.73</v>
      </c>
      <c r="G1090">
        <v>73.25</v>
      </c>
      <c r="H1090">
        <v>77.27</v>
      </c>
      <c r="I1090">
        <v>78.459999999999994</v>
      </c>
      <c r="J1090">
        <v>112.67</v>
      </c>
      <c r="K1090">
        <v>37.65</v>
      </c>
      <c r="L1090">
        <v>76832.740000000005</v>
      </c>
      <c r="M1090">
        <v>50842.04</v>
      </c>
      <c r="N1090">
        <v>11.99</v>
      </c>
      <c r="O1090">
        <v>5.3409999999999999E-2</v>
      </c>
      <c r="P1090">
        <v>2.67</v>
      </c>
      <c r="Q1090">
        <v>134.76</v>
      </c>
      <c r="R1090">
        <v>33.795000000000002</v>
      </c>
      <c r="S1090">
        <v>145.15</v>
      </c>
    </row>
    <row r="1091" spans="1:19" x14ac:dyDescent="0.25">
      <c r="A1091" s="6">
        <v>45448</v>
      </c>
      <c r="B1091">
        <v>76.97</v>
      </c>
      <c r="C1091">
        <v>98.19</v>
      </c>
      <c r="D1091">
        <v>110.11</v>
      </c>
      <c r="E1091">
        <v>109.62</v>
      </c>
      <c r="F1091">
        <v>111.73</v>
      </c>
      <c r="G1091">
        <v>74.069999999999993</v>
      </c>
      <c r="H1091">
        <v>78.040000000000006</v>
      </c>
      <c r="I1091">
        <v>78.87</v>
      </c>
      <c r="J1091">
        <v>113.12</v>
      </c>
      <c r="K1091">
        <v>38.049999999999997</v>
      </c>
      <c r="L1091">
        <v>76829.13</v>
      </c>
      <c r="M1091">
        <v>51970.59</v>
      </c>
      <c r="N1091">
        <v>11.97</v>
      </c>
      <c r="O1091">
        <v>5.28E-2</v>
      </c>
      <c r="P1091">
        <v>2.8279999999999998</v>
      </c>
      <c r="Q1091">
        <v>135.34</v>
      </c>
      <c r="R1091">
        <v>33.354999999999997</v>
      </c>
      <c r="S1091">
        <v>156.94999999999999</v>
      </c>
    </row>
    <row r="1092" spans="1:19" x14ac:dyDescent="0.25">
      <c r="A1092" s="6">
        <v>45449</v>
      </c>
      <c r="B1092">
        <v>76.97</v>
      </c>
      <c r="C1092">
        <v>98.19</v>
      </c>
      <c r="D1092">
        <v>110.11</v>
      </c>
      <c r="E1092">
        <v>109.62</v>
      </c>
      <c r="F1092">
        <v>111.73</v>
      </c>
      <c r="G1092">
        <v>75.55</v>
      </c>
      <c r="H1092">
        <v>79.5</v>
      </c>
      <c r="I1092">
        <v>80.010000000000005</v>
      </c>
      <c r="J1092">
        <v>113.97</v>
      </c>
      <c r="K1092">
        <v>39.25</v>
      </c>
      <c r="L1092">
        <v>77123.64</v>
      </c>
      <c r="M1092">
        <v>52735.64</v>
      </c>
      <c r="N1092">
        <v>11.984999999999999</v>
      </c>
      <c r="O1092">
        <v>5.2699999999999997E-2</v>
      </c>
      <c r="P1092">
        <v>2.8919999999999999</v>
      </c>
      <c r="Q1092">
        <v>134.86000000000001</v>
      </c>
      <c r="R1092">
        <v>33.685000000000002</v>
      </c>
      <c r="S1092">
        <v>162.55000000000001</v>
      </c>
    </row>
    <row r="1093" spans="1:19" x14ac:dyDescent="0.25">
      <c r="A1093" s="6">
        <v>45450</v>
      </c>
      <c r="B1093">
        <v>76.13</v>
      </c>
      <c r="C1093">
        <v>96.98</v>
      </c>
      <c r="D1093">
        <v>108.91</v>
      </c>
      <c r="E1093">
        <v>109.62</v>
      </c>
      <c r="F1093">
        <v>112.64</v>
      </c>
      <c r="G1093">
        <v>75.53</v>
      </c>
      <c r="H1093">
        <v>79.34</v>
      </c>
      <c r="I1093">
        <v>79.790000000000006</v>
      </c>
      <c r="J1093">
        <v>112.75</v>
      </c>
      <c r="K1093">
        <v>39.799999999999997</v>
      </c>
      <c r="L1093">
        <v>76851.78</v>
      </c>
      <c r="M1093">
        <v>51250.81</v>
      </c>
      <c r="N1093">
        <v>11.97</v>
      </c>
      <c r="O1093">
        <v>5.2979999999999999E-2</v>
      </c>
      <c r="P1093">
        <v>2.996</v>
      </c>
      <c r="Q1093">
        <v>133.79</v>
      </c>
      <c r="R1093">
        <v>33.109000000000002</v>
      </c>
      <c r="S1093">
        <v>163.5</v>
      </c>
    </row>
    <row r="1094" spans="1:19" x14ac:dyDescent="0.25">
      <c r="A1094" s="6">
        <v>45453</v>
      </c>
      <c r="B1094">
        <v>76.13</v>
      </c>
      <c r="C1094">
        <v>96.98</v>
      </c>
      <c r="D1094">
        <v>108.91</v>
      </c>
      <c r="E1094">
        <v>107.81</v>
      </c>
      <c r="F1094">
        <v>112.64</v>
      </c>
      <c r="G1094">
        <v>77.739999999999995</v>
      </c>
      <c r="H1094">
        <v>81.23</v>
      </c>
      <c r="I1094">
        <v>81.260000000000005</v>
      </c>
      <c r="J1094">
        <v>113.08</v>
      </c>
      <c r="K1094">
        <v>39.901351351352787</v>
      </c>
      <c r="L1094">
        <v>76188.160000000003</v>
      </c>
      <c r="M1094">
        <v>50440.12</v>
      </c>
      <c r="N1094">
        <v>11.965</v>
      </c>
      <c r="O1094">
        <v>5.3370000000000001E-2</v>
      </c>
      <c r="P1094">
        <v>2.9769999999999999</v>
      </c>
      <c r="Q1094">
        <v>133.88</v>
      </c>
      <c r="R1094">
        <v>34.26</v>
      </c>
      <c r="S1094">
        <v>165.43</v>
      </c>
    </row>
    <row r="1095" spans="1:19" x14ac:dyDescent="0.25">
      <c r="A1095" s="6">
        <v>45454</v>
      </c>
      <c r="B1095">
        <v>76.13</v>
      </c>
      <c r="C1095">
        <v>96.98</v>
      </c>
      <c r="D1095">
        <v>108.91</v>
      </c>
      <c r="E1095">
        <v>107.81</v>
      </c>
      <c r="F1095">
        <v>112.64</v>
      </c>
      <c r="G1095">
        <v>77.900000000000006</v>
      </c>
      <c r="H1095">
        <v>81.540000000000006</v>
      </c>
      <c r="I1095">
        <v>81.36</v>
      </c>
      <c r="J1095">
        <v>112.17</v>
      </c>
      <c r="K1095">
        <v>38.6</v>
      </c>
      <c r="L1095">
        <v>76077.3</v>
      </c>
      <c r="M1095">
        <v>49609.36</v>
      </c>
      <c r="N1095">
        <v>12</v>
      </c>
      <c r="O1095">
        <v>5.373E-2</v>
      </c>
      <c r="P1095">
        <v>3.1930000000000001</v>
      </c>
      <c r="Q1095">
        <v>134.59</v>
      </c>
      <c r="R1095">
        <v>34.284999999999997</v>
      </c>
      <c r="S1095">
        <v>168.68</v>
      </c>
    </row>
    <row r="1096" spans="1:19" x14ac:dyDescent="0.25">
      <c r="A1096" s="6">
        <v>45455</v>
      </c>
      <c r="B1096">
        <v>76.13</v>
      </c>
      <c r="C1096">
        <v>96.98</v>
      </c>
      <c r="D1096">
        <v>108.91</v>
      </c>
      <c r="E1096">
        <v>107.81</v>
      </c>
      <c r="F1096">
        <v>112.64</v>
      </c>
      <c r="G1096">
        <v>78.5</v>
      </c>
      <c r="H1096">
        <v>82.15</v>
      </c>
      <c r="I1096">
        <v>81.680000000000007</v>
      </c>
      <c r="J1096">
        <v>110.93</v>
      </c>
      <c r="K1096">
        <v>39.6</v>
      </c>
      <c r="L1096">
        <v>77050.8</v>
      </c>
      <c r="M1096">
        <v>50790.98</v>
      </c>
      <c r="N1096">
        <v>12.03</v>
      </c>
      <c r="O1096">
        <v>5.4379999999999998E-2</v>
      </c>
      <c r="P1096">
        <v>3.1219999999999999</v>
      </c>
      <c r="Q1096">
        <v>136.05000000000001</v>
      </c>
      <c r="R1096">
        <v>35.295000000000002</v>
      </c>
      <c r="S1096">
        <v>173.61</v>
      </c>
    </row>
    <row r="1097" spans="1:19" x14ac:dyDescent="0.25">
      <c r="A1097" s="6">
        <v>45456</v>
      </c>
      <c r="B1097">
        <v>76.13</v>
      </c>
      <c r="C1097">
        <v>96.98</v>
      </c>
      <c r="D1097">
        <v>108.91</v>
      </c>
      <c r="E1097">
        <v>107.81</v>
      </c>
      <c r="F1097">
        <v>112.64</v>
      </c>
      <c r="G1097">
        <v>78.62</v>
      </c>
      <c r="H1097">
        <v>82.3</v>
      </c>
      <c r="I1097">
        <v>81.599999999999994</v>
      </c>
      <c r="J1097">
        <v>110.04</v>
      </c>
      <c r="K1097">
        <v>39.6</v>
      </c>
      <c r="L1097">
        <v>76382.02</v>
      </c>
      <c r="M1097">
        <v>48107.39</v>
      </c>
      <c r="N1097">
        <v>12.095000000000001</v>
      </c>
      <c r="O1097">
        <v>5.4219999999999997E-2</v>
      </c>
      <c r="P1097">
        <v>3.0369999999999999</v>
      </c>
      <c r="Q1097">
        <v>135.26</v>
      </c>
      <c r="R1097">
        <v>35.725000000000001</v>
      </c>
      <c r="S1097">
        <v>178.25</v>
      </c>
    </row>
    <row r="1098" spans="1:19" x14ac:dyDescent="0.25">
      <c r="A1098" s="6">
        <v>45457</v>
      </c>
      <c r="B1098">
        <v>72.77</v>
      </c>
      <c r="C1098">
        <v>94.88</v>
      </c>
      <c r="D1098">
        <v>107.09</v>
      </c>
      <c r="E1098">
        <v>107.81</v>
      </c>
      <c r="F1098">
        <v>111.61</v>
      </c>
      <c r="G1098">
        <v>78.45</v>
      </c>
      <c r="H1098">
        <v>82.08</v>
      </c>
      <c r="I1098">
        <v>81.53</v>
      </c>
      <c r="J1098">
        <v>109.11</v>
      </c>
      <c r="K1098">
        <v>39.6</v>
      </c>
      <c r="L1098">
        <v>77053.78</v>
      </c>
      <c r="M1098">
        <v>47117.91</v>
      </c>
      <c r="N1098">
        <v>12.138</v>
      </c>
      <c r="O1098">
        <v>5.4440000000000002E-2</v>
      </c>
      <c r="P1098">
        <v>2.9630000000000001</v>
      </c>
      <c r="Q1098">
        <v>135.66999999999999</v>
      </c>
      <c r="R1098">
        <v>35.36</v>
      </c>
      <c r="S1098">
        <v>179.67</v>
      </c>
    </row>
    <row r="1099" spans="1:19" x14ac:dyDescent="0.25">
      <c r="A1099" s="6">
        <v>45460</v>
      </c>
      <c r="B1099">
        <v>72.77</v>
      </c>
      <c r="C1099">
        <v>94.88</v>
      </c>
      <c r="D1099">
        <v>107.09</v>
      </c>
      <c r="E1099">
        <v>106.83</v>
      </c>
      <c r="F1099">
        <v>111.61</v>
      </c>
      <c r="G1099">
        <v>80.33</v>
      </c>
      <c r="H1099">
        <v>84.25</v>
      </c>
      <c r="I1099">
        <v>82.15</v>
      </c>
      <c r="J1099">
        <v>108.36</v>
      </c>
      <c r="K1099">
        <v>38.75</v>
      </c>
      <c r="L1099">
        <v>76748.256756756688</v>
      </c>
      <c r="M1099">
        <v>46405.290810808539</v>
      </c>
      <c r="N1099">
        <v>12.574999999999999</v>
      </c>
      <c r="O1099">
        <v>5.4760000000000003E-2</v>
      </c>
      <c r="P1099">
        <v>2.7879999999999998</v>
      </c>
      <c r="Q1099">
        <v>136.19999999999999</v>
      </c>
      <c r="R1099">
        <v>34.21</v>
      </c>
      <c r="S1099">
        <v>185.87</v>
      </c>
    </row>
    <row r="1100" spans="1:19" x14ac:dyDescent="0.25">
      <c r="A1100" s="6">
        <v>45461</v>
      </c>
      <c r="B1100">
        <v>72.77</v>
      </c>
      <c r="C1100">
        <v>94.88</v>
      </c>
      <c r="D1100">
        <v>107.09</v>
      </c>
      <c r="E1100">
        <v>106.83</v>
      </c>
      <c r="F1100">
        <v>111.61</v>
      </c>
      <c r="G1100">
        <v>81.569999999999993</v>
      </c>
      <c r="H1100">
        <v>85.33</v>
      </c>
      <c r="I1100">
        <v>82.49</v>
      </c>
      <c r="J1100">
        <v>109.38</v>
      </c>
      <c r="K1100">
        <v>38.9</v>
      </c>
      <c r="L1100">
        <v>79748.83</v>
      </c>
      <c r="M1100">
        <v>47877.32</v>
      </c>
      <c r="N1100">
        <v>12.6</v>
      </c>
      <c r="O1100">
        <v>5.5410000000000001E-2</v>
      </c>
      <c r="P1100">
        <v>2.9089999999999998</v>
      </c>
      <c r="Q1100">
        <v>136.38</v>
      </c>
      <c r="R1100">
        <v>34.700000000000003</v>
      </c>
      <c r="S1100">
        <v>185.87</v>
      </c>
    </row>
    <row r="1101" spans="1:19" x14ac:dyDescent="0.25">
      <c r="A1101" s="6">
        <v>45462</v>
      </c>
      <c r="B1101">
        <v>72.77</v>
      </c>
      <c r="C1101">
        <v>94.88</v>
      </c>
      <c r="D1101">
        <v>107.09</v>
      </c>
      <c r="E1101">
        <v>106.83</v>
      </c>
      <c r="F1101">
        <v>111.61</v>
      </c>
      <c r="G1101">
        <v>80.59</v>
      </c>
      <c r="H1101">
        <v>85.07</v>
      </c>
      <c r="I1101">
        <v>82.53</v>
      </c>
      <c r="J1101">
        <v>110.56</v>
      </c>
      <c r="K1101">
        <v>39.9</v>
      </c>
      <c r="L1101">
        <v>80713.72</v>
      </c>
      <c r="M1101">
        <v>49306.879999999997</v>
      </c>
      <c r="N1101">
        <v>12.703957081545013</v>
      </c>
      <c r="O1101">
        <v>5.5629999999999999E-2</v>
      </c>
      <c r="P1101">
        <v>2.9159999999999999</v>
      </c>
      <c r="Q1101">
        <v>136.745</v>
      </c>
      <c r="R1101">
        <v>35.35</v>
      </c>
      <c r="S1101">
        <v>181.25</v>
      </c>
    </row>
    <row r="1102" spans="1:19" x14ac:dyDescent="0.25">
      <c r="A1102" s="6">
        <v>45463</v>
      </c>
      <c r="B1102">
        <v>72.77</v>
      </c>
      <c r="C1102">
        <v>94.88</v>
      </c>
      <c r="D1102">
        <v>107.09</v>
      </c>
      <c r="E1102">
        <v>106.83</v>
      </c>
      <c r="F1102">
        <v>111.61</v>
      </c>
      <c r="G1102">
        <v>82.17</v>
      </c>
      <c r="H1102">
        <v>85.71</v>
      </c>
      <c r="I1102">
        <v>82.57</v>
      </c>
      <c r="J1102">
        <v>111.74</v>
      </c>
      <c r="K1102">
        <v>40.299999999999997</v>
      </c>
      <c r="L1102">
        <v>80073.05</v>
      </c>
      <c r="M1102">
        <v>50006.26</v>
      </c>
      <c r="N1102">
        <v>12.6</v>
      </c>
      <c r="O1102">
        <v>5.5599999999999997E-2</v>
      </c>
      <c r="P1102">
        <v>2.7410000000000001</v>
      </c>
      <c r="Q1102">
        <v>137.11000000000001</v>
      </c>
      <c r="R1102">
        <v>34.465000000000003</v>
      </c>
      <c r="S1102">
        <v>180.99</v>
      </c>
    </row>
    <row r="1103" spans="1:19" x14ac:dyDescent="0.25">
      <c r="A1103" s="6">
        <v>45464</v>
      </c>
      <c r="B1103">
        <v>73.3</v>
      </c>
      <c r="C1103">
        <v>94.56</v>
      </c>
      <c r="D1103">
        <v>107.31</v>
      </c>
      <c r="E1103">
        <v>106.83</v>
      </c>
      <c r="F1103">
        <v>111.2</v>
      </c>
      <c r="G1103">
        <v>80.73</v>
      </c>
      <c r="H1103">
        <v>85.24</v>
      </c>
      <c r="I1103">
        <v>82.42</v>
      </c>
      <c r="J1103">
        <v>110.76</v>
      </c>
      <c r="K1103">
        <v>39.549999999999997</v>
      </c>
      <c r="L1103">
        <v>79767.56</v>
      </c>
      <c r="M1103">
        <v>50079.71</v>
      </c>
      <c r="N1103">
        <v>12.465</v>
      </c>
      <c r="O1103">
        <v>5.5620000000000003E-2</v>
      </c>
      <c r="P1103">
        <v>2.7050000000000001</v>
      </c>
      <c r="Q1103">
        <v>137.84</v>
      </c>
      <c r="R1103">
        <v>33.936</v>
      </c>
      <c r="S1103">
        <v>181.76</v>
      </c>
    </row>
    <row r="1104" spans="1:19" x14ac:dyDescent="0.25">
      <c r="A1104" s="6">
        <v>45467</v>
      </c>
      <c r="B1104">
        <v>73.3</v>
      </c>
      <c r="C1104">
        <v>94.56</v>
      </c>
      <c r="D1104">
        <v>107.31</v>
      </c>
      <c r="E1104">
        <v>106.22</v>
      </c>
      <c r="F1104">
        <v>111.2</v>
      </c>
      <c r="G1104">
        <v>81.63</v>
      </c>
      <c r="H1104">
        <v>86.01</v>
      </c>
      <c r="I1104">
        <v>82.6</v>
      </c>
      <c r="J1104">
        <v>114.05</v>
      </c>
      <c r="K1104">
        <v>39.549999999999997</v>
      </c>
      <c r="L1104">
        <v>80263.14</v>
      </c>
      <c r="M1104">
        <v>51492.93</v>
      </c>
      <c r="N1104">
        <v>12.61</v>
      </c>
      <c r="O1104">
        <v>5.5169999999999997E-2</v>
      </c>
      <c r="P1104">
        <v>2.8109999999999999</v>
      </c>
      <c r="Q1104">
        <v>138.72</v>
      </c>
      <c r="R1104">
        <v>34.08</v>
      </c>
      <c r="S1104">
        <v>182.69</v>
      </c>
    </row>
    <row r="1105" spans="1:19" x14ac:dyDescent="0.25">
      <c r="A1105" s="6">
        <v>45468</v>
      </c>
      <c r="B1105">
        <v>73.3</v>
      </c>
      <c r="C1105">
        <v>94.56</v>
      </c>
      <c r="D1105">
        <v>107.31</v>
      </c>
      <c r="E1105">
        <v>106.22</v>
      </c>
      <c r="F1105">
        <v>111.2</v>
      </c>
      <c r="G1105">
        <v>80.83</v>
      </c>
      <c r="H1105">
        <v>85.01</v>
      </c>
      <c r="I1105">
        <v>82.42</v>
      </c>
      <c r="J1105">
        <v>114.37</v>
      </c>
      <c r="K1105">
        <v>39.5</v>
      </c>
      <c r="L1105">
        <v>79577.570000000007</v>
      </c>
      <c r="M1105">
        <v>51015.62</v>
      </c>
      <c r="N1105">
        <v>12.734999999999999</v>
      </c>
      <c r="O1105">
        <v>5.4820000000000001E-2</v>
      </c>
      <c r="P1105">
        <v>2.7559999999999998</v>
      </c>
      <c r="Q1105">
        <v>137.33000000000001</v>
      </c>
      <c r="R1105">
        <v>34.854999999999997</v>
      </c>
      <c r="S1105">
        <v>179.47</v>
      </c>
    </row>
    <row r="1106" spans="1:19" x14ac:dyDescent="0.25">
      <c r="A1106" s="6">
        <v>45469</v>
      </c>
      <c r="B1106">
        <v>73.3</v>
      </c>
      <c r="C1106">
        <v>94.56</v>
      </c>
      <c r="D1106">
        <v>107.31</v>
      </c>
      <c r="E1106">
        <v>106.22</v>
      </c>
      <c r="F1106">
        <v>111.2</v>
      </c>
      <c r="G1106">
        <v>80.900000000000006</v>
      </c>
      <c r="H1106">
        <v>85.25</v>
      </c>
      <c r="I1106">
        <v>82.47</v>
      </c>
      <c r="J1106">
        <v>114.41</v>
      </c>
      <c r="K1106">
        <v>39.700000000000003</v>
      </c>
      <c r="L1106">
        <v>79252.39</v>
      </c>
      <c r="M1106">
        <v>50943.54</v>
      </c>
      <c r="N1106">
        <v>12.62</v>
      </c>
      <c r="O1106">
        <v>5.4969999999999998E-2</v>
      </c>
      <c r="P1106">
        <v>2.6280000000000001</v>
      </c>
      <c r="Q1106">
        <v>137.38999999999999</v>
      </c>
      <c r="R1106">
        <v>33.825000000000003</v>
      </c>
      <c r="S1106">
        <v>178.68</v>
      </c>
    </row>
    <row r="1107" spans="1:19" x14ac:dyDescent="0.25">
      <c r="A1107" s="6">
        <v>45470</v>
      </c>
      <c r="B1107">
        <v>73.3</v>
      </c>
      <c r="C1107">
        <v>94.56</v>
      </c>
      <c r="D1107">
        <v>107.31</v>
      </c>
      <c r="E1107">
        <v>106.22</v>
      </c>
      <c r="F1107">
        <v>111.2</v>
      </c>
      <c r="G1107">
        <v>81.739999999999995</v>
      </c>
      <c r="H1107">
        <v>86.39</v>
      </c>
      <c r="I1107">
        <v>82.49</v>
      </c>
      <c r="J1107">
        <v>114.9</v>
      </c>
      <c r="K1107">
        <v>35.15</v>
      </c>
      <c r="L1107">
        <v>78969.33</v>
      </c>
      <c r="M1107">
        <v>52018.94</v>
      </c>
      <c r="N1107">
        <v>12.66</v>
      </c>
      <c r="O1107">
        <v>5.4109999999999998E-2</v>
      </c>
      <c r="P1107">
        <v>2.6850000000000001</v>
      </c>
      <c r="Q1107">
        <v>137.47</v>
      </c>
      <c r="R1107">
        <v>34.564999999999998</v>
      </c>
      <c r="S1107">
        <v>179.83</v>
      </c>
    </row>
    <row r="1108" spans="1:19" x14ac:dyDescent="0.25">
      <c r="A1108" s="6">
        <v>45471</v>
      </c>
      <c r="B1108">
        <v>71.38</v>
      </c>
      <c r="C1108">
        <v>92.08</v>
      </c>
      <c r="D1108">
        <v>103.68</v>
      </c>
      <c r="E1108">
        <v>106.22</v>
      </c>
      <c r="F1108">
        <v>109.15</v>
      </c>
      <c r="G1108">
        <v>81.540000000000006</v>
      </c>
      <c r="H1108">
        <v>86.41</v>
      </c>
      <c r="I1108">
        <v>82.55</v>
      </c>
      <c r="J1108">
        <v>115.12</v>
      </c>
      <c r="K1108">
        <v>35.950000000000003</v>
      </c>
      <c r="L1108">
        <v>79707.11</v>
      </c>
      <c r="M1108">
        <v>51308.87</v>
      </c>
      <c r="N1108">
        <v>12.635</v>
      </c>
      <c r="O1108">
        <v>5.4949999999999999E-2</v>
      </c>
      <c r="P1108">
        <v>2.601</v>
      </c>
      <c r="Q1108">
        <v>136.88999999999999</v>
      </c>
      <c r="R1108">
        <v>34.479999999999997</v>
      </c>
      <c r="S1108">
        <v>180.54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Mahir Sama</cp:lastModifiedBy>
  <dcterms:modified xsi:type="dcterms:W3CDTF">2026-03-16T05:34:09Z</dcterms:modified>
</cp:coreProperties>
</file>